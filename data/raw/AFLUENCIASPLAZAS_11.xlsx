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ink/ink1.xml" ContentType="application/inkml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arcomexicocom-my.sharepoint.com/personal/evalenzuela_arcomexico_com/Documents/DEO/AFLUENCIAS/2024/"/>
    </mc:Choice>
  </mc:AlternateContent>
  <xr:revisionPtr revIDLastSave="4859" documentId="8_{79F69483-4A82-664B-997A-4CF37A3FF663}" xr6:coauthVersionLast="47" xr6:coauthVersionMax="47" xr10:uidLastSave="{AAFCED22-0565-A849-B7A1-B384B44758AD}"/>
  <bookViews>
    <workbookView xWindow="31440" yWindow="800" windowWidth="36660" windowHeight="21920" firstSheet="1" activeTab="1" xr2:uid="{4592773A-46B3-4037-B636-06F468231D69}"/>
  </bookViews>
  <sheets>
    <sheet name="RATIOS" sheetId="12" r:id="rId1"/>
    <sheet name="SEMANAL-2026" sheetId="18" r:id="rId2"/>
    <sheet name="MENSUAL" sheetId="1" r:id="rId3"/>
    <sheet name="AFORO" sheetId="13" r:id="rId4"/>
    <sheet name="MUNDIAL 2026" sheetId="19" r:id="rId5"/>
    <sheet name="SEMANAL-2025" sheetId="11" r:id="rId6"/>
    <sheet name="SEMANAL-2024" sheetId="10" r:id="rId7"/>
    <sheet name="SEMANAL-2023" sheetId="2" r:id="rId8"/>
    <sheet name="DIA PADRE" sheetId="16" r:id="rId9"/>
    <sheet name="DIA MADRES" sheetId="15" r:id="rId10"/>
    <sheet name="DIA DEL NIÑO" sheetId="14" r:id="rId11"/>
    <sheet name="BUEN FIN" sheetId="17" r:id="rId12"/>
  </sheets>
  <externalReferences>
    <externalReference r:id="rId13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9" i="18" l="1"/>
  <c r="F73" i="18"/>
  <c r="AP35" i="18"/>
  <c r="AL59" i="18"/>
  <c r="F71" i="18"/>
  <c r="AG59" i="18"/>
  <c r="F70" i="18"/>
  <c r="AB59" i="18"/>
  <c r="F69" i="18"/>
  <c r="W59" i="18"/>
  <c r="F68" i="18"/>
  <c r="R59" i="18"/>
  <c r="F67" i="18"/>
  <c r="Q35" i="18"/>
  <c r="P35" i="18"/>
  <c r="F66" i="18"/>
  <c r="M59" i="18"/>
  <c r="G35" i="18"/>
  <c r="F35" i="18"/>
  <c r="E63" i="18"/>
  <c r="S30" i="1" l="1"/>
  <c r="S29" i="1"/>
  <c r="R27" i="1"/>
  <c r="R28" i="1"/>
  <c r="R29" i="1"/>
  <c r="R30" i="1"/>
  <c r="R31" i="1"/>
  <c r="R26" i="1"/>
  <c r="N31" i="1"/>
  <c r="O31" i="1"/>
  <c r="P31" i="1"/>
  <c r="Q31" i="1"/>
  <c r="M31" i="1"/>
  <c r="O30" i="1"/>
  <c r="P30" i="1"/>
  <c r="Q30" i="1"/>
  <c r="N30" i="1"/>
  <c r="M29" i="1"/>
  <c r="N29" i="1"/>
  <c r="O29" i="1"/>
  <c r="P29" i="1"/>
  <c r="Q29" i="1"/>
  <c r="L29" i="1"/>
  <c r="M28" i="1"/>
  <c r="N28" i="1"/>
  <c r="O28" i="1"/>
  <c r="P28" i="1"/>
  <c r="Q28" i="1"/>
  <c r="L28" i="1"/>
  <c r="M27" i="1"/>
  <c r="N27" i="1"/>
  <c r="O27" i="1"/>
  <c r="P27" i="1"/>
  <c r="Q27" i="1"/>
  <c r="L27" i="1"/>
  <c r="M26" i="1"/>
  <c r="N26" i="1"/>
  <c r="O26" i="1"/>
  <c r="P26" i="1"/>
  <c r="Q26" i="1"/>
  <c r="L26" i="1"/>
  <c r="AT22" i="13" l="1"/>
  <c r="AT21" i="13"/>
  <c r="AD22" i="13"/>
  <c r="AD21" i="13"/>
  <c r="F22" i="13"/>
  <c r="F21" i="13"/>
  <c r="AB8" i="19" l="1"/>
  <c r="AC8" i="19"/>
  <c r="AB9" i="19"/>
  <c r="AC9" i="19"/>
  <c r="AB10" i="19"/>
  <c r="AC10" i="19"/>
  <c r="AB11" i="19"/>
  <c r="AC11" i="19"/>
  <c r="AB12" i="19"/>
  <c r="AC12" i="19"/>
  <c r="AB13" i="19"/>
  <c r="AC13" i="19"/>
  <c r="AB15" i="19"/>
  <c r="AC15" i="19"/>
  <c r="AC7" i="19"/>
  <c r="AB7" i="19"/>
  <c r="Y15" i="19"/>
  <c r="X15" i="19"/>
  <c r="Z13" i="19"/>
  <c r="Z12" i="19"/>
  <c r="Z11" i="19"/>
  <c r="Z10" i="19"/>
  <c r="Z9" i="19"/>
  <c r="Z8" i="19"/>
  <c r="Z7" i="19"/>
  <c r="AP34" i="18"/>
  <c r="P34" i="18"/>
  <c r="Q34" i="18"/>
  <c r="AP33" i="18"/>
  <c r="P33" i="18"/>
  <c r="Q33" i="18"/>
  <c r="Z15" i="19" l="1"/>
  <c r="BG19" i="13"/>
  <c r="AE19" i="13"/>
  <c r="AP32" i="18" l="1"/>
  <c r="Q32" i="18"/>
  <c r="P32" i="18"/>
  <c r="G19" i="13" l="1"/>
  <c r="S19" i="13"/>
  <c r="M19" i="13"/>
  <c r="Y19" i="13"/>
  <c r="AK19" i="13"/>
  <c r="U15" i="19"/>
  <c r="V15" i="19" s="1"/>
  <c r="V8" i="19"/>
  <c r="V9" i="19"/>
  <c r="V10" i="19"/>
  <c r="V11" i="19"/>
  <c r="V12" i="19"/>
  <c r="V13" i="19"/>
  <c r="V7" i="19"/>
  <c r="T15" i="19"/>
  <c r="AD8" i="19"/>
  <c r="AD10" i="19"/>
  <c r="AD13" i="19"/>
  <c r="B25" i="1"/>
  <c r="BL11" i="1"/>
  <c r="BS11" i="1" s="1"/>
  <c r="AP31" i="18"/>
  <c r="Q31" i="18"/>
  <c r="P31" i="18"/>
  <c r="Q15" i="19"/>
  <c r="P15" i="19"/>
  <c r="R13" i="19"/>
  <c r="R12" i="19"/>
  <c r="R11" i="19"/>
  <c r="R10" i="19"/>
  <c r="R9" i="19"/>
  <c r="R8" i="19"/>
  <c r="R7" i="19"/>
  <c r="AD9" i="19" l="1"/>
  <c r="AD7" i="19"/>
  <c r="AD11" i="19"/>
  <c r="AD12" i="19"/>
  <c r="R15" i="19"/>
  <c r="E7" i="16" l="1"/>
  <c r="E8" i="16"/>
  <c r="E9" i="16"/>
  <c r="E10" i="16"/>
  <c r="E11" i="16"/>
  <c r="E12" i="16"/>
  <c r="E14" i="16"/>
  <c r="E6" i="16"/>
  <c r="C14" i="16"/>
  <c r="AP30" i="18"/>
  <c r="P30" i="18"/>
  <c r="Q30" i="18"/>
  <c r="P28" i="18" l="1"/>
  <c r="Q28" i="18"/>
  <c r="P29" i="18"/>
  <c r="Q29" i="18"/>
  <c r="AP29" i="18" s="1"/>
  <c r="BD22" i="1"/>
  <c r="M15" i="19"/>
  <c r="L15" i="19"/>
  <c r="N13" i="19"/>
  <c r="N12" i="19"/>
  <c r="N11" i="19"/>
  <c r="N10" i="19"/>
  <c r="N9" i="19"/>
  <c r="N8" i="19"/>
  <c r="N7" i="19"/>
  <c r="J7" i="19"/>
  <c r="J8" i="19"/>
  <c r="J9" i="19"/>
  <c r="J10" i="19"/>
  <c r="J11" i="19"/>
  <c r="J12" i="19"/>
  <c r="J13" i="19"/>
  <c r="H15" i="19"/>
  <c r="I15" i="19"/>
  <c r="F8" i="19"/>
  <c r="F9" i="19"/>
  <c r="F10" i="19"/>
  <c r="F11" i="19"/>
  <c r="F12" i="19"/>
  <c r="F13" i="19"/>
  <c r="E15" i="19"/>
  <c r="D15" i="19"/>
  <c r="F7" i="19"/>
  <c r="BR11" i="13"/>
  <c r="BY11" i="13" s="1"/>
  <c r="BZ11" i="13" s="1"/>
  <c r="AP28" i="18"/>
  <c r="AQ28" i="18" s="1"/>
  <c r="AP27" i="18"/>
  <c r="S10" i="13"/>
  <c r="S11" i="13"/>
  <c r="S12" i="13"/>
  <c r="BL10" i="1"/>
  <c r="BS10" i="1" s="1"/>
  <c r="AP26" i="18"/>
  <c r="AP25" i="18"/>
  <c r="AZ19" i="13"/>
  <c r="BA19" i="13" s="1"/>
  <c r="CI40" i="1"/>
  <c r="CI41" i="1" s="1"/>
  <c r="CI39" i="1"/>
  <c r="CI38" i="1"/>
  <c r="CI37" i="1"/>
  <c r="CI36" i="1"/>
  <c r="CH40" i="1"/>
  <c r="CH41" i="1" s="1"/>
  <c r="CH39" i="1"/>
  <c r="CH38" i="1"/>
  <c r="CH37" i="1"/>
  <c r="CG40" i="1"/>
  <c r="CG39" i="1"/>
  <c r="CG41" i="1" s="1"/>
  <c r="CG38" i="1"/>
  <c r="CG37" i="1"/>
  <c r="CM37" i="1" s="1"/>
  <c r="CG36" i="1"/>
  <c r="CG35" i="1"/>
  <c r="CF40" i="1"/>
  <c r="CF39" i="1"/>
  <c r="CF38" i="1"/>
  <c r="CF37" i="1"/>
  <c r="CF36" i="1"/>
  <c r="CF35" i="1"/>
  <c r="CF41" i="1"/>
  <c r="CE40" i="1"/>
  <c r="CE41" i="1" s="1"/>
  <c r="CE39" i="1"/>
  <c r="CE38" i="1"/>
  <c r="CE37" i="1"/>
  <c r="CE36" i="1"/>
  <c r="CE35" i="1"/>
  <c r="CD41" i="1"/>
  <c r="CD40" i="1"/>
  <c r="CD39" i="1"/>
  <c r="CD38" i="1"/>
  <c r="CD37" i="1"/>
  <c r="CL34" i="1" s="1"/>
  <c r="CD36" i="1"/>
  <c r="CD35" i="1"/>
  <c r="E7" i="15"/>
  <c r="E8" i="15"/>
  <c r="E9" i="15"/>
  <c r="E10" i="15"/>
  <c r="E11" i="15"/>
  <c r="E12" i="15"/>
  <c r="E14" i="15"/>
  <c r="E6" i="15"/>
  <c r="C14" i="15"/>
  <c r="AP24" i="18"/>
  <c r="R19" i="13"/>
  <c r="X19" i="13"/>
  <c r="AD19" i="13"/>
  <c r="L19" i="13"/>
  <c r="F19" i="13"/>
  <c r="AP20" i="18"/>
  <c r="AP21" i="18"/>
  <c r="AP22" i="18"/>
  <c r="AP23" i="18"/>
  <c r="AO21" i="18"/>
  <c r="AQ23" i="18"/>
  <c r="AL23" i="18"/>
  <c r="AK59" i="18"/>
  <c r="AG23" i="18"/>
  <c r="AF59" i="18"/>
  <c r="AB23" i="18"/>
  <c r="AA59" i="18"/>
  <c r="W23" i="18"/>
  <c r="V59" i="18"/>
  <c r="R23" i="18"/>
  <c r="Q59" i="18"/>
  <c r="L59" i="18"/>
  <c r="M23" i="18"/>
  <c r="H23" i="18"/>
  <c r="G59" i="18"/>
  <c r="H59" i="18" s="1"/>
  <c r="E7" i="14"/>
  <c r="E8" i="14"/>
  <c r="E9" i="14"/>
  <c r="E10" i="14"/>
  <c r="E11" i="14"/>
  <c r="E12" i="14"/>
  <c r="C14" i="14"/>
  <c r="D14" i="14"/>
  <c r="E14" i="14"/>
  <c r="E6" i="14"/>
  <c r="BL9" i="1"/>
  <c r="BM9" i="1" s="1"/>
  <c r="BS9" i="1"/>
  <c r="BD9" i="1"/>
  <c r="BC19" i="1"/>
  <c r="AV9" i="1"/>
  <c r="AU19" i="1"/>
  <c r="AP9" i="1"/>
  <c r="AO19" i="1"/>
  <c r="AI9" i="1"/>
  <c r="AH19" i="1"/>
  <c r="AA9" i="1"/>
  <c r="Z19" i="1"/>
  <c r="S9" i="1"/>
  <c r="R19" i="1"/>
  <c r="K9" i="1"/>
  <c r="J19" i="1"/>
  <c r="BR6" i="13"/>
  <c r="BY6" i="13" s="1"/>
  <c r="BZ6" i="13" s="1"/>
  <c r="BR7" i="13"/>
  <c r="BY7" i="13"/>
  <c r="BR8" i="13"/>
  <c r="BY8" i="13" s="1"/>
  <c r="BZ8" i="13" s="1"/>
  <c r="BR9" i="13"/>
  <c r="BY9" i="13" s="1"/>
  <c r="BR17" i="13"/>
  <c r="BY17" i="13"/>
  <c r="BR16" i="13"/>
  <c r="BY16" i="13"/>
  <c r="BR15" i="13"/>
  <c r="BY15" i="13"/>
  <c r="BR14" i="13"/>
  <c r="BS14" i="13" s="1"/>
  <c r="BY14" i="13"/>
  <c r="BZ14" i="13" s="1"/>
  <c r="BR13" i="13"/>
  <c r="BY13" i="13"/>
  <c r="BR12" i="13"/>
  <c r="BY12" i="13"/>
  <c r="BZ12" i="13" s="1"/>
  <c r="BR10" i="13"/>
  <c r="BS10" i="13" s="1"/>
  <c r="BQ6" i="13"/>
  <c r="BX6" i="13"/>
  <c r="BQ7" i="13"/>
  <c r="BX7" i="13"/>
  <c r="BQ8" i="13"/>
  <c r="BX8" i="13"/>
  <c r="BF19" i="13"/>
  <c r="AT19" i="13"/>
  <c r="AU19" i="13" s="1"/>
  <c r="AJ19" i="13"/>
  <c r="AP19" i="18"/>
  <c r="BS8" i="1"/>
  <c r="BL8" i="1"/>
  <c r="AP18" i="18"/>
  <c r="AP17" i="18"/>
  <c r="AQ17" i="18"/>
  <c r="BQ9" i="13"/>
  <c r="BQ10" i="13"/>
  <c r="BQ11" i="13"/>
  <c r="BQ12" i="13"/>
  <c r="BQ17" i="13"/>
  <c r="BQ16" i="13"/>
  <c r="BQ15" i="13"/>
  <c r="BQ14" i="13"/>
  <c r="BQ13" i="13"/>
  <c r="BQ19" i="13"/>
  <c r="BR20" i="13"/>
  <c r="BR25" i="13"/>
  <c r="BQ25" i="13"/>
  <c r="BP6" i="13"/>
  <c r="BP7" i="13"/>
  <c r="BP8" i="13"/>
  <c r="BP9" i="13"/>
  <c r="BP17" i="13"/>
  <c r="BP16" i="13"/>
  <c r="BP15" i="13"/>
  <c r="BP14" i="13"/>
  <c r="BP13" i="13"/>
  <c r="BP12" i="13"/>
  <c r="BP11" i="13"/>
  <c r="BP10" i="13"/>
  <c r="BP19" i="13"/>
  <c r="BP25" i="13"/>
  <c r="BR22" i="13"/>
  <c r="BP22" i="13"/>
  <c r="BQ22" i="13"/>
  <c r="AP16" i="18"/>
  <c r="AP15" i="18"/>
  <c r="BL19" i="13"/>
  <c r="BM19" i="13"/>
  <c r="AP14" i="18"/>
  <c r="BL7" i="1"/>
  <c r="BM7" i="1" s="1"/>
  <c r="AC6" i="12"/>
  <c r="Y6" i="12"/>
  <c r="U6" i="12"/>
  <c r="Q6" i="12"/>
  <c r="M6" i="12"/>
  <c r="I6" i="12"/>
  <c r="E6" i="12"/>
  <c r="AP13" i="18"/>
  <c r="AY19" i="13"/>
  <c r="BH25" i="13"/>
  <c r="BD29" i="13"/>
  <c r="BD28" i="13"/>
  <c r="BD27" i="13"/>
  <c r="BD26" i="13"/>
  <c r="AW36" i="13"/>
  <c r="AW37" i="13"/>
  <c r="AR45" i="1"/>
  <c r="AS45" i="1"/>
  <c r="AT45" i="1"/>
  <c r="AU45" i="1"/>
  <c r="AR46" i="1"/>
  <c r="AS46" i="1"/>
  <c r="AT46" i="1"/>
  <c r="AU46" i="1"/>
  <c r="AS44" i="1"/>
  <c r="AT44" i="1"/>
  <c r="AU44" i="1"/>
  <c r="AP12" i="18"/>
  <c r="AP11" i="18"/>
  <c r="BX9" i="13"/>
  <c r="BX10" i="13"/>
  <c r="BX11" i="13"/>
  <c r="BX12" i="13"/>
  <c r="BX13" i="13"/>
  <c r="BZ13" i="13"/>
  <c r="BX14" i="13"/>
  <c r="BX15" i="13"/>
  <c r="BZ15" i="13"/>
  <c r="BX16" i="13"/>
  <c r="BZ16" i="13"/>
  <c r="BX17" i="13"/>
  <c r="BZ17" i="13"/>
  <c r="BS12" i="13"/>
  <c r="BS13" i="13"/>
  <c r="BS15" i="13"/>
  <c r="BS16" i="13"/>
  <c r="BS17" i="13"/>
  <c r="BM6" i="13"/>
  <c r="AU6" i="13"/>
  <c r="AK6" i="13"/>
  <c r="AX36" i="13"/>
  <c r="AY36" i="13"/>
  <c r="AX37" i="13"/>
  <c r="AY37" i="13"/>
  <c r="BA26" i="13"/>
  <c r="BA27" i="13"/>
  <c r="BA28" i="13"/>
  <c r="BA29" i="13"/>
  <c r="BA30" i="13"/>
  <c r="BA31" i="13"/>
  <c r="BA32" i="13"/>
  <c r="BA33" i="13"/>
  <c r="BA34" i="13"/>
  <c r="BA35" i="13"/>
  <c r="BA36" i="13"/>
  <c r="BA37" i="13"/>
  <c r="AZ36" i="13"/>
  <c r="AZ37" i="13"/>
  <c r="AV36" i="1"/>
  <c r="AV37" i="1"/>
  <c r="AV38" i="1"/>
  <c r="AV39" i="1"/>
  <c r="AV40" i="1"/>
  <c r="AV41" i="1"/>
  <c r="AV42" i="1"/>
  <c r="AV43" i="1"/>
  <c r="AV44" i="1"/>
  <c r="AV35" i="1"/>
  <c r="BM17" i="13"/>
  <c r="BM16" i="13"/>
  <c r="BM15" i="13"/>
  <c r="BM14" i="13"/>
  <c r="BM13" i="13"/>
  <c r="BM12" i="13"/>
  <c r="BM11" i="13"/>
  <c r="BM10" i="13"/>
  <c r="BM9" i="13"/>
  <c r="BM8" i="13"/>
  <c r="BM7" i="13"/>
  <c r="BA17" i="13"/>
  <c r="BA16" i="13"/>
  <c r="BA15" i="13"/>
  <c r="BA14" i="13"/>
  <c r="BA13" i="13"/>
  <c r="BA12" i="13"/>
  <c r="BA11" i="13"/>
  <c r="BA10" i="13"/>
  <c r="BA9" i="13"/>
  <c r="BA8" i="13"/>
  <c r="BA7" i="13"/>
  <c r="AU17" i="13"/>
  <c r="AU16" i="13"/>
  <c r="AU15" i="13"/>
  <c r="AU14" i="13"/>
  <c r="AU13" i="13"/>
  <c r="AU12" i="13"/>
  <c r="AU11" i="13"/>
  <c r="AU10" i="13"/>
  <c r="AU9" i="13"/>
  <c r="AU8" i="13"/>
  <c r="AU7" i="13"/>
  <c r="BA6" i="13"/>
  <c r="AK17" i="13"/>
  <c r="AK16" i="13"/>
  <c r="AK15" i="13"/>
  <c r="AK14" i="13"/>
  <c r="AK13" i="13"/>
  <c r="AK12" i="13"/>
  <c r="AK11" i="13"/>
  <c r="AK10" i="13"/>
  <c r="AK9" i="13"/>
  <c r="AK8" i="13"/>
  <c r="AK7" i="13"/>
  <c r="BG7" i="13"/>
  <c r="BG8" i="13"/>
  <c r="BG9" i="13"/>
  <c r="BG10" i="13"/>
  <c r="BG11" i="13"/>
  <c r="BG12" i="13"/>
  <c r="BG13" i="13"/>
  <c r="BG14" i="13"/>
  <c r="BG15" i="13"/>
  <c r="BG16" i="13"/>
  <c r="BG17" i="13"/>
  <c r="BG6" i="13"/>
  <c r="AE7" i="13"/>
  <c r="AE8" i="13"/>
  <c r="AE9" i="13"/>
  <c r="AE10" i="13"/>
  <c r="AE11" i="13"/>
  <c r="AE12" i="13"/>
  <c r="AE13" i="13"/>
  <c r="AE14" i="13"/>
  <c r="AE15" i="13"/>
  <c r="AE16" i="13"/>
  <c r="AE17" i="13"/>
  <c r="AE6" i="13"/>
  <c r="Y7" i="13"/>
  <c r="Y8" i="13"/>
  <c r="Y9" i="13"/>
  <c r="Y10" i="13"/>
  <c r="Y11" i="13"/>
  <c r="Y12" i="13"/>
  <c r="Y13" i="13"/>
  <c r="Y14" i="13"/>
  <c r="Y15" i="13"/>
  <c r="Y16" i="13"/>
  <c r="Y17" i="13"/>
  <c r="Y6" i="13"/>
  <c r="S17" i="13"/>
  <c r="S16" i="13"/>
  <c r="S15" i="13"/>
  <c r="S14" i="13"/>
  <c r="S13" i="13"/>
  <c r="S9" i="13"/>
  <c r="S8" i="13"/>
  <c r="S7" i="13"/>
  <c r="S6" i="13"/>
  <c r="M17" i="13"/>
  <c r="M16" i="13"/>
  <c r="M15" i="13"/>
  <c r="M14" i="13"/>
  <c r="M13" i="13"/>
  <c r="M12" i="13"/>
  <c r="M11" i="13"/>
  <c r="M10" i="13"/>
  <c r="M9" i="13"/>
  <c r="M8" i="13"/>
  <c r="M7" i="13"/>
  <c r="M6" i="13"/>
  <c r="G17" i="13"/>
  <c r="G16" i="13"/>
  <c r="G15" i="13"/>
  <c r="G14" i="13"/>
  <c r="G13" i="13"/>
  <c r="G12" i="13"/>
  <c r="G11" i="13"/>
  <c r="G10" i="13"/>
  <c r="G9" i="13"/>
  <c r="G8" i="13"/>
  <c r="G7" i="13"/>
  <c r="G6" i="13"/>
  <c r="AP10" i="18"/>
  <c r="BL6" i="1"/>
  <c r="BD7" i="1"/>
  <c r="BD8" i="1"/>
  <c r="BD10" i="1"/>
  <c r="BD11" i="1"/>
  <c r="D32" i="1" s="1"/>
  <c r="BD12" i="1"/>
  <c r="BD13" i="1"/>
  <c r="BD14" i="1"/>
  <c r="BD15" i="1"/>
  <c r="BD16" i="1"/>
  <c r="BD17" i="1"/>
  <c r="BD6" i="1"/>
  <c r="AV7" i="1"/>
  <c r="AV8" i="1"/>
  <c r="AV10" i="1"/>
  <c r="AV11" i="1"/>
  <c r="D31" i="1" s="1"/>
  <c r="AV12" i="1"/>
  <c r="AV13" i="1"/>
  <c r="AV14" i="1"/>
  <c r="AV15" i="1"/>
  <c r="AV16" i="1"/>
  <c r="AV17" i="1"/>
  <c r="AV6" i="1"/>
  <c r="AP7" i="1"/>
  <c r="AP8" i="1"/>
  <c r="AP10" i="1"/>
  <c r="AP11" i="1"/>
  <c r="D30" i="1" s="1"/>
  <c r="AP12" i="1"/>
  <c r="AP13" i="1"/>
  <c r="AP14" i="1"/>
  <c r="AP15" i="1"/>
  <c r="AP16" i="1"/>
  <c r="AP17" i="1"/>
  <c r="AP6" i="1"/>
  <c r="AI7" i="1"/>
  <c r="AI8" i="1"/>
  <c r="AI10" i="1"/>
  <c r="AI11" i="1"/>
  <c r="D29" i="1" s="1"/>
  <c r="AI12" i="1"/>
  <c r="AI13" i="1"/>
  <c r="AI14" i="1"/>
  <c r="AI15" i="1"/>
  <c r="AI16" i="1"/>
  <c r="AI17" i="1"/>
  <c r="AI6" i="1"/>
  <c r="AA7" i="1"/>
  <c r="AA8" i="1"/>
  <c r="AA10" i="1"/>
  <c r="AA11" i="1"/>
  <c r="D28" i="1" s="1"/>
  <c r="AA12" i="1"/>
  <c r="AA13" i="1"/>
  <c r="AA14" i="1"/>
  <c r="AA15" i="1"/>
  <c r="AA16" i="1"/>
  <c r="AA17" i="1"/>
  <c r="AA6" i="1"/>
  <c r="S7" i="1"/>
  <c r="S8" i="1"/>
  <c r="S10" i="1"/>
  <c r="S11" i="1"/>
  <c r="D27" i="1" s="1"/>
  <c r="S12" i="1"/>
  <c r="S13" i="1"/>
  <c r="S14" i="1"/>
  <c r="S15" i="1"/>
  <c r="S16" i="1"/>
  <c r="S17" i="1"/>
  <c r="S6" i="1"/>
  <c r="K7" i="1"/>
  <c r="K8" i="1"/>
  <c r="K10" i="1"/>
  <c r="K11" i="1"/>
  <c r="D26" i="1" s="1"/>
  <c r="K12" i="1"/>
  <c r="K13" i="1"/>
  <c r="K14" i="1"/>
  <c r="K15" i="1"/>
  <c r="K16" i="1"/>
  <c r="K17" i="1"/>
  <c r="K6" i="1"/>
  <c r="AP9" i="18"/>
  <c r="AP8" i="18"/>
  <c r="AP7" i="18"/>
  <c r="AB17" i="12"/>
  <c r="AD17" i="12" s="1"/>
  <c r="X17" i="12"/>
  <c r="X16" i="12"/>
  <c r="T17" i="12"/>
  <c r="T16" i="12"/>
  <c r="P17" i="12"/>
  <c r="L17" i="12"/>
  <c r="N17" i="12" s="1"/>
  <c r="H17" i="12"/>
  <c r="D17" i="12"/>
  <c r="D16" i="12"/>
  <c r="AL7" i="18"/>
  <c r="AL8" i="18"/>
  <c r="AL9" i="18"/>
  <c r="AL10" i="18"/>
  <c r="AL11" i="18"/>
  <c r="AL12" i="18"/>
  <c r="AL13" i="18"/>
  <c r="AL14" i="18"/>
  <c r="AL15" i="18"/>
  <c r="AL16" i="18"/>
  <c r="AL17" i="18"/>
  <c r="AL18" i="18"/>
  <c r="AL19" i="18"/>
  <c r="AL20" i="18"/>
  <c r="AL21" i="18"/>
  <c r="AL22" i="18"/>
  <c r="AL24" i="18"/>
  <c r="AL25" i="18"/>
  <c r="AL26" i="18"/>
  <c r="AL27" i="18"/>
  <c r="AL28" i="18"/>
  <c r="AL29" i="18"/>
  <c r="AL30" i="18"/>
  <c r="AL31" i="18"/>
  <c r="AL32" i="18"/>
  <c r="AL33" i="18"/>
  <c r="AL34" i="18"/>
  <c r="AL35" i="18"/>
  <c r="AL36" i="18"/>
  <c r="AL37" i="18"/>
  <c r="AL38" i="18"/>
  <c r="AL39" i="18"/>
  <c r="AL40" i="18"/>
  <c r="AL41" i="18"/>
  <c r="AL42" i="18"/>
  <c r="AL43" i="18"/>
  <c r="AL44" i="18"/>
  <c r="AL45" i="18"/>
  <c r="AL46" i="18"/>
  <c r="AL47" i="18"/>
  <c r="AL48" i="18"/>
  <c r="AL49" i="18"/>
  <c r="AL50" i="18"/>
  <c r="AL51" i="18"/>
  <c r="AL52" i="18"/>
  <c r="AL53" i="18"/>
  <c r="AL54" i="18"/>
  <c r="AL55" i="18"/>
  <c r="AL56" i="18"/>
  <c r="AL57" i="18"/>
  <c r="AG7" i="18"/>
  <c r="AG8" i="18"/>
  <c r="AG9" i="18"/>
  <c r="AG10" i="18"/>
  <c r="AG11" i="18"/>
  <c r="AG12" i="18"/>
  <c r="AG13" i="18"/>
  <c r="AG14" i="18"/>
  <c r="AG15" i="18"/>
  <c r="AG16" i="18"/>
  <c r="AG17" i="18"/>
  <c r="AG18" i="18"/>
  <c r="AG19" i="18"/>
  <c r="AG20" i="18"/>
  <c r="AG21" i="18"/>
  <c r="AG22" i="18"/>
  <c r="AG24" i="18"/>
  <c r="AG25" i="18"/>
  <c r="AG26" i="18"/>
  <c r="AG27" i="18"/>
  <c r="AG28" i="18"/>
  <c r="AG29" i="18"/>
  <c r="AG30" i="18"/>
  <c r="AG31" i="18"/>
  <c r="AG32" i="18"/>
  <c r="AG33" i="18"/>
  <c r="AG34" i="18"/>
  <c r="AG35" i="18"/>
  <c r="AG36" i="18"/>
  <c r="AG37" i="18"/>
  <c r="AG38" i="18"/>
  <c r="AG39" i="18"/>
  <c r="AG40" i="18"/>
  <c r="AG41" i="18"/>
  <c r="AG42" i="18"/>
  <c r="AG43" i="18"/>
  <c r="AG44" i="18"/>
  <c r="AG45" i="18"/>
  <c r="AG46" i="18"/>
  <c r="AG47" i="18"/>
  <c r="AG48" i="18"/>
  <c r="AG49" i="18"/>
  <c r="AG50" i="18"/>
  <c r="AG51" i="18"/>
  <c r="AG52" i="18"/>
  <c r="AG53" i="18"/>
  <c r="AG54" i="18"/>
  <c r="AG55" i="18"/>
  <c r="AG56" i="18"/>
  <c r="AG57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B38" i="18"/>
  <c r="AB39" i="18"/>
  <c r="AB40" i="18"/>
  <c r="AB41" i="18"/>
  <c r="AB42" i="18"/>
  <c r="AB43" i="18"/>
  <c r="AB44" i="18"/>
  <c r="AB45" i="18"/>
  <c r="AB46" i="18"/>
  <c r="AB47" i="18"/>
  <c r="AB48" i="18"/>
  <c r="AB49" i="18"/>
  <c r="AB50" i="18"/>
  <c r="AB51" i="18"/>
  <c r="AB52" i="18"/>
  <c r="AB53" i="18"/>
  <c r="AB54" i="18"/>
  <c r="AB55" i="18"/>
  <c r="AB56" i="18"/>
  <c r="AB57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51" i="18"/>
  <c r="R52" i="18"/>
  <c r="R53" i="18"/>
  <c r="R54" i="18"/>
  <c r="R55" i="18"/>
  <c r="R56" i="18"/>
  <c r="R57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F65" i="18" s="1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AP6" i="18"/>
  <c r="AL6" i="18"/>
  <c r="AG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AB6" i="18"/>
  <c r="W6" i="18"/>
  <c r="R6" i="18"/>
  <c r="M6" i="18"/>
  <c r="H6" i="18"/>
  <c r="AJ59" i="18"/>
  <c r="AI59" i="18"/>
  <c r="AH59" i="18"/>
  <c r="AE59" i="18"/>
  <c r="AD59" i="18"/>
  <c r="AC59" i="18"/>
  <c r="Z59" i="18"/>
  <c r="Y59" i="18"/>
  <c r="X59" i="18"/>
  <c r="U59" i="18"/>
  <c r="T59" i="18"/>
  <c r="S59" i="18"/>
  <c r="P59" i="18"/>
  <c r="O59" i="18"/>
  <c r="N59" i="18"/>
  <c r="K59" i="18"/>
  <c r="J59" i="18"/>
  <c r="I59" i="18"/>
  <c r="F59" i="18"/>
  <c r="E59" i="18"/>
  <c r="D59" i="18"/>
  <c r="AO57" i="18"/>
  <c r="AQ57" i="18"/>
  <c r="AN57" i="18"/>
  <c r="AM57" i="18"/>
  <c r="AO56" i="18"/>
  <c r="AQ56" i="18"/>
  <c r="AN56" i="18"/>
  <c r="AM56" i="18"/>
  <c r="AO55" i="18"/>
  <c r="AQ55" i="18"/>
  <c r="AN55" i="18"/>
  <c r="AM55" i="18"/>
  <c r="AO54" i="18"/>
  <c r="AQ54" i="18"/>
  <c r="AN54" i="18"/>
  <c r="AM54" i="18"/>
  <c r="AO53" i="18"/>
  <c r="AQ53" i="18"/>
  <c r="AN53" i="18"/>
  <c r="AM53" i="18"/>
  <c r="AO52" i="18"/>
  <c r="AQ52" i="18"/>
  <c r="AN52" i="18"/>
  <c r="AM52" i="18"/>
  <c r="AO51" i="18"/>
  <c r="AQ51" i="18"/>
  <c r="AN51" i="18"/>
  <c r="AM51" i="18"/>
  <c r="AO50" i="18"/>
  <c r="AQ50" i="18"/>
  <c r="AN50" i="18"/>
  <c r="AM50" i="18"/>
  <c r="AO49" i="18"/>
  <c r="AQ49" i="18"/>
  <c r="AN49" i="18"/>
  <c r="AM49" i="18"/>
  <c r="AO48" i="18"/>
  <c r="AQ48" i="18"/>
  <c r="AN48" i="18"/>
  <c r="AM48" i="18"/>
  <c r="AO47" i="18"/>
  <c r="AQ47" i="18"/>
  <c r="AN47" i="18"/>
  <c r="AM47" i="18"/>
  <c r="AO46" i="18"/>
  <c r="AQ46" i="18"/>
  <c r="AN46" i="18"/>
  <c r="AM46" i="18"/>
  <c r="AO45" i="18"/>
  <c r="AQ45" i="18"/>
  <c r="AN45" i="18"/>
  <c r="AM45" i="18"/>
  <c r="AO44" i="18"/>
  <c r="AQ44" i="18"/>
  <c r="AN44" i="18"/>
  <c r="AM44" i="18"/>
  <c r="AO43" i="18"/>
  <c r="AQ43" i="18"/>
  <c r="AN43" i="18"/>
  <c r="AM43" i="18"/>
  <c r="AO42" i="18"/>
  <c r="AQ42" i="18"/>
  <c r="AN42" i="18"/>
  <c r="AM42" i="18"/>
  <c r="AO41" i="18"/>
  <c r="AQ41" i="18"/>
  <c r="AN41" i="18"/>
  <c r="AM41" i="18"/>
  <c r="AO40" i="18"/>
  <c r="AQ40" i="18"/>
  <c r="AN40" i="18"/>
  <c r="AM40" i="18"/>
  <c r="AO39" i="18"/>
  <c r="AQ39" i="18"/>
  <c r="AN39" i="18"/>
  <c r="AM39" i="18"/>
  <c r="AO38" i="18"/>
  <c r="AQ38" i="18"/>
  <c r="AN38" i="18"/>
  <c r="AM38" i="18"/>
  <c r="AO37" i="18"/>
  <c r="AQ37" i="18"/>
  <c r="AN37" i="18"/>
  <c r="AM37" i="18"/>
  <c r="AO36" i="18"/>
  <c r="AQ36" i="18"/>
  <c r="AN36" i="18"/>
  <c r="AM36" i="18"/>
  <c r="AO35" i="18"/>
  <c r="AQ35" i="18" s="1"/>
  <c r="AN35" i="18"/>
  <c r="AM35" i="18"/>
  <c r="AO34" i="18"/>
  <c r="AQ34" i="18" s="1"/>
  <c r="AN34" i="18"/>
  <c r="AM34" i="18"/>
  <c r="AO33" i="18"/>
  <c r="AQ33" i="18" s="1"/>
  <c r="AN33" i="18"/>
  <c r="AM33" i="18"/>
  <c r="AO32" i="18"/>
  <c r="AQ32" i="18" s="1"/>
  <c r="AN32" i="18"/>
  <c r="AM32" i="18"/>
  <c r="AO31" i="18"/>
  <c r="AQ31" i="18" s="1"/>
  <c r="AN31" i="18"/>
  <c r="AM31" i="18"/>
  <c r="AO30" i="18"/>
  <c r="AQ30" i="18" s="1"/>
  <c r="AN30" i="18"/>
  <c r="AM30" i="18"/>
  <c r="AO29" i="18"/>
  <c r="AN29" i="18"/>
  <c r="AM29" i="18"/>
  <c r="AO28" i="18"/>
  <c r="AN28" i="18"/>
  <c r="AM28" i="18"/>
  <c r="AO27" i="18"/>
  <c r="AQ27" i="18" s="1"/>
  <c r="AN27" i="18"/>
  <c r="AM27" i="18"/>
  <c r="AO26" i="18"/>
  <c r="AQ26" i="18"/>
  <c r="AN26" i="18"/>
  <c r="AM26" i="18"/>
  <c r="AO25" i="18"/>
  <c r="AQ25" i="18"/>
  <c r="AN25" i="18"/>
  <c r="AM25" i="18"/>
  <c r="AO24" i="18"/>
  <c r="AQ24" i="18"/>
  <c r="AN24" i="18"/>
  <c r="AM24" i="18"/>
  <c r="AO23" i="18"/>
  <c r="AN23" i="18"/>
  <c r="AM23" i="18"/>
  <c r="AO22" i="18"/>
  <c r="AQ22" i="18"/>
  <c r="AN22" i="18"/>
  <c r="AM22" i="18"/>
  <c r="AQ21" i="18"/>
  <c r="AN21" i="18"/>
  <c r="AM21" i="18"/>
  <c r="AO20" i="18"/>
  <c r="AQ20" i="18"/>
  <c r="AN20" i="18"/>
  <c r="AM20" i="18"/>
  <c r="AO19" i="18"/>
  <c r="AQ19" i="18"/>
  <c r="AN19" i="18"/>
  <c r="AM19" i="18"/>
  <c r="AO18" i="18"/>
  <c r="AQ18" i="18"/>
  <c r="AN18" i="18"/>
  <c r="AM18" i="18"/>
  <c r="AO17" i="18"/>
  <c r="AN17" i="18"/>
  <c r="AM17" i="18"/>
  <c r="AO16" i="18"/>
  <c r="AQ16" i="18"/>
  <c r="AN16" i="18"/>
  <c r="AM16" i="18"/>
  <c r="AO15" i="18"/>
  <c r="AQ15" i="18"/>
  <c r="AN15" i="18"/>
  <c r="AM15" i="18"/>
  <c r="AO14" i="18"/>
  <c r="AQ14" i="18"/>
  <c r="AN14" i="18"/>
  <c r="AM14" i="18"/>
  <c r="AO13" i="18"/>
  <c r="AQ13" i="18"/>
  <c r="AN13" i="18"/>
  <c r="AM13" i="18"/>
  <c r="AO12" i="18"/>
  <c r="AQ12" i="18"/>
  <c r="AN12" i="18"/>
  <c r="AM12" i="18"/>
  <c r="AO11" i="18"/>
  <c r="AQ11" i="18"/>
  <c r="AN11" i="18"/>
  <c r="AM11" i="18"/>
  <c r="AO10" i="18"/>
  <c r="AQ10" i="18"/>
  <c r="AN10" i="18"/>
  <c r="AM10" i="18"/>
  <c r="AO9" i="18"/>
  <c r="AQ9" i="18"/>
  <c r="AN9" i="18"/>
  <c r="AM9" i="18"/>
  <c r="AO8" i="18"/>
  <c r="AQ8" i="18"/>
  <c r="AN8" i="18"/>
  <c r="AM8" i="18"/>
  <c r="AO7" i="18"/>
  <c r="AQ7" i="18"/>
  <c r="AN7" i="18"/>
  <c r="AM7" i="18"/>
  <c r="AO6" i="18"/>
  <c r="AN6" i="18"/>
  <c r="AM6" i="18"/>
  <c r="J19" i="13"/>
  <c r="A67" i="11"/>
  <c r="P16" i="12"/>
  <c r="R16" i="12" s="1"/>
  <c r="H16" i="12"/>
  <c r="L16" i="12"/>
  <c r="AB16" i="12"/>
  <c r="AY26" i="13"/>
  <c r="AZ26" i="13"/>
  <c r="AY27" i="13"/>
  <c r="AZ27" i="13"/>
  <c r="AY28" i="13"/>
  <c r="AZ28" i="13"/>
  <c r="AY29" i="13"/>
  <c r="AZ29" i="13"/>
  <c r="AY30" i="13"/>
  <c r="AZ30" i="13"/>
  <c r="AY31" i="13"/>
  <c r="AZ31" i="13"/>
  <c r="AY32" i="13"/>
  <c r="AZ32" i="13"/>
  <c r="AY33" i="13"/>
  <c r="AZ33" i="13"/>
  <c r="AY34" i="13"/>
  <c r="AZ34" i="13"/>
  <c r="AY35" i="13"/>
  <c r="AZ35" i="13"/>
  <c r="AX27" i="13"/>
  <c r="AX28" i="13"/>
  <c r="AX29" i="13"/>
  <c r="AX30" i="13"/>
  <c r="AX31" i="13"/>
  <c r="AX32" i="13"/>
  <c r="AX33" i="13"/>
  <c r="AX34" i="13"/>
  <c r="AX35" i="13"/>
  <c r="AX26" i="13"/>
  <c r="AW35" i="13"/>
  <c r="AW34" i="13"/>
  <c r="AR44" i="1"/>
  <c r="T13" i="17"/>
  <c r="T6" i="17"/>
  <c r="T7" i="17"/>
  <c r="T8" i="17"/>
  <c r="T9" i="17"/>
  <c r="T10" i="17"/>
  <c r="T11" i="17"/>
  <c r="T5" i="17"/>
  <c r="P6" i="17"/>
  <c r="P7" i="17"/>
  <c r="P8" i="17"/>
  <c r="P9" i="17"/>
  <c r="P10" i="17"/>
  <c r="P11" i="17"/>
  <c r="P5" i="17"/>
  <c r="L6" i="17"/>
  <c r="L7" i="17"/>
  <c r="L8" i="17"/>
  <c r="L9" i="17"/>
  <c r="L10" i="17"/>
  <c r="L11" i="17"/>
  <c r="L5" i="17"/>
  <c r="H6" i="17"/>
  <c r="H7" i="17"/>
  <c r="H8" i="17"/>
  <c r="H9" i="17"/>
  <c r="H10" i="17"/>
  <c r="H11" i="17"/>
  <c r="H5" i="17"/>
  <c r="D6" i="17"/>
  <c r="D7" i="17"/>
  <c r="D8" i="17"/>
  <c r="D9" i="17"/>
  <c r="D10" i="17"/>
  <c r="D11" i="17"/>
  <c r="D5" i="17"/>
  <c r="AB15" i="12"/>
  <c r="X15" i="12"/>
  <c r="T15" i="12"/>
  <c r="P15" i="12"/>
  <c r="L15" i="12"/>
  <c r="N15" i="12" s="1"/>
  <c r="H15" i="12"/>
  <c r="D15" i="12"/>
  <c r="F15" i="12" s="1"/>
  <c r="V6" i="17"/>
  <c r="W6" i="17"/>
  <c r="X6" i="17"/>
  <c r="V7" i="17"/>
  <c r="W7" i="17"/>
  <c r="X7" i="17"/>
  <c r="V8" i="17"/>
  <c r="W8" i="17"/>
  <c r="X8" i="17"/>
  <c r="V9" i="17"/>
  <c r="W9" i="17"/>
  <c r="X9" i="17"/>
  <c r="V10" i="17"/>
  <c r="W10" i="17"/>
  <c r="X10" i="17"/>
  <c r="V11" i="17"/>
  <c r="W11" i="17"/>
  <c r="X11" i="17"/>
  <c r="W5" i="17"/>
  <c r="V5" i="17"/>
  <c r="V13" i="17"/>
  <c r="C13" i="17"/>
  <c r="F13" i="17"/>
  <c r="G13" i="17"/>
  <c r="H13" i="17"/>
  <c r="J13" i="17"/>
  <c r="K13" i="17"/>
  <c r="L13" i="17"/>
  <c r="N13" i="17"/>
  <c r="O13" i="17"/>
  <c r="P13" i="17"/>
  <c r="R13" i="17"/>
  <c r="S13" i="17"/>
  <c r="B13" i="17"/>
  <c r="AS35" i="1"/>
  <c r="AT35" i="1"/>
  <c r="AU35" i="1"/>
  <c r="AS36" i="1"/>
  <c r="AS53" i="1" s="1"/>
  <c r="AT36" i="1"/>
  <c r="AU36" i="1"/>
  <c r="AS55" i="1" s="1"/>
  <c r="AT55" i="1" s="1"/>
  <c r="AS37" i="1"/>
  <c r="AT37" i="1"/>
  <c r="AU37" i="1"/>
  <c r="AS38" i="1"/>
  <c r="AT38" i="1"/>
  <c r="AU38" i="1"/>
  <c r="AS39" i="1"/>
  <c r="AT39" i="1"/>
  <c r="AU39" i="1"/>
  <c r="AS40" i="1"/>
  <c r="AT40" i="1"/>
  <c r="AU40" i="1"/>
  <c r="AS41" i="1"/>
  <c r="AT41" i="1"/>
  <c r="AU41" i="1"/>
  <c r="AS42" i="1"/>
  <c r="AT42" i="1"/>
  <c r="AU42" i="1"/>
  <c r="AS43" i="1"/>
  <c r="AT43" i="1"/>
  <c r="AU43" i="1"/>
  <c r="AR36" i="1"/>
  <c r="AR37" i="1"/>
  <c r="AR38" i="1"/>
  <c r="AR39" i="1"/>
  <c r="AR40" i="1"/>
  <c r="AR41" i="1"/>
  <c r="AR42" i="1"/>
  <c r="AR43" i="1"/>
  <c r="AR35" i="1"/>
  <c r="AS52" i="1" s="1"/>
  <c r="AB14" i="12"/>
  <c r="X14" i="12"/>
  <c r="Z14" i="12" s="1"/>
  <c r="T14" i="12"/>
  <c r="V14" i="12" s="1"/>
  <c r="P14" i="12"/>
  <c r="L14" i="12"/>
  <c r="H14" i="12"/>
  <c r="D14" i="12"/>
  <c r="F14" i="12" s="1"/>
  <c r="AB13" i="12"/>
  <c r="X13" i="12"/>
  <c r="Z13" i="12" s="1"/>
  <c r="T13" i="12"/>
  <c r="P13" i="12"/>
  <c r="R13" i="12" s="1"/>
  <c r="L13" i="12"/>
  <c r="H13" i="12"/>
  <c r="C13" i="12"/>
  <c r="F13" i="12" s="1"/>
  <c r="D13" i="12"/>
  <c r="D13" i="17"/>
  <c r="W13" i="17"/>
  <c r="X5" i="17"/>
  <c r="CK24" i="13"/>
  <c r="CK23" i="13"/>
  <c r="CK22" i="13"/>
  <c r="CJ24" i="13"/>
  <c r="CJ23" i="13"/>
  <c r="CJ22" i="13"/>
  <c r="CI24" i="13"/>
  <c r="CI23" i="13"/>
  <c r="CI22" i="13"/>
  <c r="CI21" i="13"/>
  <c r="CH24" i="13"/>
  <c r="CH23" i="13"/>
  <c r="CH22" i="13"/>
  <c r="CH21" i="13"/>
  <c r="CG24" i="13"/>
  <c r="CG23" i="13"/>
  <c r="CG22" i="13"/>
  <c r="CG21" i="13"/>
  <c r="CF24" i="13"/>
  <c r="CF23" i="13"/>
  <c r="CF22" i="13"/>
  <c r="CF21" i="13"/>
  <c r="CE24" i="13"/>
  <c r="CE23" i="13"/>
  <c r="CE22" i="13"/>
  <c r="CE21" i="13"/>
  <c r="CD24" i="13"/>
  <c r="CD23" i="13"/>
  <c r="CD22" i="13"/>
  <c r="CD21" i="13"/>
  <c r="Y31" i="1"/>
  <c r="AA31" i="1" s="1"/>
  <c r="Y30" i="1"/>
  <c r="AA30" i="1" s="1"/>
  <c r="Q26" i="13"/>
  <c r="Q25" i="13"/>
  <c r="X13" i="17"/>
  <c r="W14" i="17"/>
  <c r="AB12" i="12"/>
  <c r="X12" i="12"/>
  <c r="T12" i="12"/>
  <c r="V12" i="12" s="1"/>
  <c r="P12" i="12"/>
  <c r="R12" i="12" s="1"/>
  <c r="L11" i="12"/>
  <c r="L12" i="12"/>
  <c r="N12" i="12" s="1"/>
  <c r="H12" i="12"/>
  <c r="D12" i="12"/>
  <c r="BF12" i="1"/>
  <c r="E60" i="11"/>
  <c r="F60" i="11"/>
  <c r="I60" i="11"/>
  <c r="J60" i="11"/>
  <c r="M60" i="11"/>
  <c r="N60" i="11"/>
  <c r="Q60" i="11"/>
  <c r="R60" i="11"/>
  <c r="U60" i="11"/>
  <c r="V60" i="11"/>
  <c r="Y60" i="11"/>
  <c r="Z60" i="11"/>
  <c r="AC60" i="11"/>
  <c r="AD60" i="11"/>
  <c r="AG34" i="11"/>
  <c r="I19" i="1"/>
  <c r="AI19" i="13"/>
  <c r="AB11" i="12"/>
  <c r="X11" i="12"/>
  <c r="T11" i="12"/>
  <c r="P11" i="12"/>
  <c r="H11" i="12"/>
  <c r="J11" i="12" s="1"/>
  <c r="D11" i="12"/>
  <c r="F11" i="12" s="1"/>
  <c r="AB30" i="13"/>
  <c r="AB29" i="13"/>
  <c r="AB28" i="13"/>
  <c r="AB31" i="13"/>
  <c r="AS21" i="13"/>
  <c r="AC21" i="13"/>
  <c r="AB10" i="12"/>
  <c r="X10" i="12"/>
  <c r="Z10" i="12" s="1"/>
  <c r="T10" i="12"/>
  <c r="P10" i="12"/>
  <c r="L10" i="12"/>
  <c r="N10" i="12" s="1"/>
  <c r="D10" i="12"/>
  <c r="H10" i="12"/>
  <c r="J10" i="12" s="1"/>
  <c r="AX22" i="13"/>
  <c r="AX21" i="13"/>
  <c r="CS18" i="13"/>
  <c r="CO26" i="13"/>
  <c r="CN26" i="13"/>
  <c r="CO25" i="13"/>
  <c r="CN25" i="13"/>
  <c r="CP24" i="13"/>
  <c r="CO24" i="13"/>
  <c r="CN24" i="13"/>
  <c r="CP23" i="13"/>
  <c r="CO23" i="13"/>
  <c r="CN23" i="13"/>
  <c r="CP22" i="13"/>
  <c r="CO22" i="13"/>
  <c r="CN22" i="13"/>
  <c r="CP21" i="13"/>
  <c r="CO21" i="13"/>
  <c r="CN21" i="13"/>
  <c r="CP20" i="13"/>
  <c r="CO20" i="13"/>
  <c r="CN20" i="13"/>
  <c r="CP19" i="13"/>
  <c r="CO19" i="13"/>
  <c r="CN19" i="13"/>
  <c r="F14" i="15"/>
  <c r="D14" i="15"/>
  <c r="G12" i="15"/>
  <c r="G11" i="15"/>
  <c r="G10" i="15"/>
  <c r="G9" i="15"/>
  <c r="G8" i="15"/>
  <c r="G7" i="15"/>
  <c r="G6" i="15"/>
  <c r="G14" i="15"/>
  <c r="F14" i="14"/>
  <c r="G14" i="14"/>
  <c r="G7" i="14"/>
  <c r="G8" i="14"/>
  <c r="G9" i="14"/>
  <c r="G10" i="14"/>
  <c r="G11" i="14"/>
  <c r="G12" i="14"/>
  <c r="G6" i="14"/>
  <c r="AB9" i="12"/>
  <c r="X9" i="12"/>
  <c r="Z9" i="12" s="1"/>
  <c r="T9" i="12"/>
  <c r="P9" i="12"/>
  <c r="L9" i="12"/>
  <c r="N9" i="12" s="1"/>
  <c r="H9" i="12"/>
  <c r="D9" i="12"/>
  <c r="AH19" i="13"/>
  <c r="AI20" i="11"/>
  <c r="AH29" i="13"/>
  <c r="AH30" i="13"/>
  <c r="AH31" i="13"/>
  <c r="AH28" i="13"/>
  <c r="AG29" i="13"/>
  <c r="AG30" i="13"/>
  <c r="AG28" i="13"/>
  <c r="AB8" i="12"/>
  <c r="X8" i="12"/>
  <c r="T8" i="12"/>
  <c r="P8" i="12"/>
  <c r="L8" i="12"/>
  <c r="H8" i="12"/>
  <c r="J8" i="12" s="1"/>
  <c r="D8" i="12"/>
  <c r="AB25" i="13"/>
  <c r="AA25" i="13"/>
  <c r="AB22" i="13"/>
  <c r="K22" i="13"/>
  <c r="J22" i="13"/>
  <c r="E22" i="13"/>
  <c r="D22" i="13"/>
  <c r="BK19" i="13"/>
  <c r="BJ19" i="13"/>
  <c r="BI19" i="13"/>
  <c r="BH19" i="13"/>
  <c r="BE19" i="13"/>
  <c r="BD19" i="13"/>
  <c r="BC19" i="13"/>
  <c r="BB19" i="13"/>
  <c r="AX19" i="13"/>
  <c r="AW19" i="13"/>
  <c r="AV19" i="13"/>
  <c r="AS19" i="13"/>
  <c r="AR19" i="13"/>
  <c r="AQ19" i="13"/>
  <c r="AP19" i="13"/>
  <c r="AN19" i="13"/>
  <c r="AM19" i="13"/>
  <c r="AL19" i="13"/>
  <c r="AG19" i="13"/>
  <c r="AF19" i="13"/>
  <c r="AC19" i="13"/>
  <c r="AB19" i="13"/>
  <c r="AA19" i="13"/>
  <c r="Z19" i="13"/>
  <c r="W19" i="13"/>
  <c r="V19" i="13"/>
  <c r="U19" i="13"/>
  <c r="T19" i="13"/>
  <c r="Q19" i="13"/>
  <c r="P19" i="13"/>
  <c r="O19" i="13"/>
  <c r="N19" i="13"/>
  <c r="K19" i="13"/>
  <c r="I19" i="13"/>
  <c r="H19" i="13"/>
  <c r="E19" i="13"/>
  <c r="D19" i="13"/>
  <c r="C19" i="13"/>
  <c r="B19" i="13"/>
  <c r="BW17" i="13"/>
  <c r="BO17" i="13"/>
  <c r="BV17" i="13"/>
  <c r="BN17" i="13"/>
  <c r="BU17" i="13"/>
  <c r="AO17" i="13"/>
  <c r="BW16" i="13"/>
  <c r="BO16" i="13"/>
  <c r="BV16" i="13"/>
  <c r="BN16" i="13"/>
  <c r="BU16" i="13"/>
  <c r="AO16" i="13"/>
  <c r="BW15" i="13"/>
  <c r="BO15" i="13"/>
  <c r="BV15" i="13"/>
  <c r="BN15" i="13"/>
  <c r="BU15" i="13"/>
  <c r="AO15" i="13"/>
  <c r="BW14" i="13"/>
  <c r="BO14" i="13"/>
  <c r="BV14" i="13"/>
  <c r="BN14" i="13"/>
  <c r="BU14" i="13"/>
  <c r="AO14" i="13"/>
  <c r="BW13" i="13"/>
  <c r="BO13" i="13"/>
  <c r="BV13" i="13"/>
  <c r="BN13" i="13"/>
  <c r="BU13" i="13"/>
  <c r="AO13" i="13"/>
  <c r="BO12" i="13"/>
  <c r="BV12" i="13"/>
  <c r="BN12" i="13"/>
  <c r="BU12" i="13"/>
  <c r="AO12" i="13"/>
  <c r="BW11" i="13"/>
  <c r="BO11" i="13"/>
  <c r="BV11" i="13"/>
  <c r="BN11" i="13"/>
  <c r="BU11" i="13"/>
  <c r="AO11" i="13"/>
  <c r="BW10" i="13"/>
  <c r="BO10" i="13"/>
  <c r="BV10" i="13"/>
  <c r="BN10" i="13"/>
  <c r="BU10" i="13"/>
  <c r="AO10" i="13"/>
  <c r="BW9" i="13"/>
  <c r="BO9" i="13"/>
  <c r="BV9" i="13"/>
  <c r="BN9" i="13"/>
  <c r="BU9" i="13"/>
  <c r="AO9" i="13"/>
  <c r="BW8" i="13"/>
  <c r="BO8" i="13"/>
  <c r="BV8" i="13"/>
  <c r="BN8" i="13"/>
  <c r="BU8" i="13"/>
  <c r="AO8" i="13"/>
  <c r="BW7" i="13"/>
  <c r="BO7" i="13"/>
  <c r="BV7" i="13"/>
  <c r="BN7" i="13"/>
  <c r="BU7" i="13"/>
  <c r="AO7" i="13"/>
  <c r="BW6" i="13"/>
  <c r="BO6" i="13"/>
  <c r="BV6" i="13"/>
  <c r="BN6" i="13"/>
  <c r="BU6" i="13"/>
  <c r="AO6" i="13"/>
  <c r="AA17" i="12"/>
  <c r="W17" i="12"/>
  <c r="S17" i="12"/>
  <c r="O17" i="12"/>
  <c r="R17" i="12" s="1"/>
  <c r="K17" i="12"/>
  <c r="G17" i="12"/>
  <c r="C17" i="12"/>
  <c r="AA16" i="12"/>
  <c r="W16" i="12"/>
  <c r="Z16" i="12" s="1"/>
  <c r="S16" i="12"/>
  <c r="O16" i="12"/>
  <c r="K16" i="12"/>
  <c r="N16" i="12" s="1"/>
  <c r="G16" i="12"/>
  <c r="C16" i="12"/>
  <c r="AA15" i="12"/>
  <c r="W15" i="12"/>
  <c r="Z15" i="12" s="1"/>
  <c r="S15" i="12"/>
  <c r="O15" i="12"/>
  <c r="K15" i="12"/>
  <c r="G15" i="12"/>
  <c r="C15" i="12"/>
  <c r="AA14" i="12"/>
  <c r="W14" i="12"/>
  <c r="S14" i="12"/>
  <c r="O14" i="12"/>
  <c r="K14" i="12"/>
  <c r="G14" i="12"/>
  <c r="C14" i="12"/>
  <c r="AA13" i="12"/>
  <c r="W13" i="12"/>
  <c r="S13" i="12"/>
  <c r="O13" i="12"/>
  <c r="K13" i="12"/>
  <c r="N13" i="12" s="1"/>
  <c r="G13" i="12"/>
  <c r="AA12" i="12"/>
  <c r="W12" i="12"/>
  <c r="S12" i="12"/>
  <c r="O12" i="12"/>
  <c r="K12" i="12"/>
  <c r="G12" i="12"/>
  <c r="C12" i="12"/>
  <c r="F12" i="12" s="1"/>
  <c r="AA11" i="12"/>
  <c r="W11" i="12"/>
  <c r="Z11" i="12" s="1"/>
  <c r="S11" i="12"/>
  <c r="V11" i="12" s="1"/>
  <c r="O11" i="12"/>
  <c r="K11" i="12"/>
  <c r="G11" i="12"/>
  <c r="C11" i="12"/>
  <c r="AA10" i="12"/>
  <c r="W10" i="12"/>
  <c r="S10" i="12"/>
  <c r="O10" i="12"/>
  <c r="K10" i="12"/>
  <c r="G10" i="12"/>
  <c r="C10" i="12"/>
  <c r="AA9" i="12"/>
  <c r="W9" i="12"/>
  <c r="S9" i="12"/>
  <c r="O9" i="12"/>
  <c r="K9" i="12"/>
  <c r="G9" i="12"/>
  <c r="C9" i="12"/>
  <c r="AA8" i="12"/>
  <c r="W8" i="12"/>
  <c r="S8" i="12"/>
  <c r="O8" i="12"/>
  <c r="K8" i="12"/>
  <c r="G8" i="12"/>
  <c r="C8" i="12"/>
  <c r="F8" i="12" s="1"/>
  <c r="AB7" i="12"/>
  <c r="AD7" i="12" s="1"/>
  <c r="AA7" i="12"/>
  <c r="X7" i="12"/>
  <c r="Z7" i="12" s="1"/>
  <c r="W7" i="12"/>
  <c r="T7" i="12"/>
  <c r="S7" i="12"/>
  <c r="P7" i="12"/>
  <c r="O7" i="12"/>
  <c r="L7" i="12"/>
  <c r="K7" i="12"/>
  <c r="H7" i="12"/>
  <c r="G7" i="12"/>
  <c r="D7" i="12"/>
  <c r="F7" i="12" s="1"/>
  <c r="C7" i="12"/>
  <c r="AB6" i="12"/>
  <c r="AA6" i="12"/>
  <c r="X6" i="12"/>
  <c r="W6" i="12"/>
  <c r="T6" i="12"/>
  <c r="V6" i="12" s="1"/>
  <c r="S6" i="12"/>
  <c r="P6" i="12"/>
  <c r="O6" i="12"/>
  <c r="L6" i="12"/>
  <c r="N6" i="12" s="1"/>
  <c r="K6" i="12"/>
  <c r="H6" i="12"/>
  <c r="J6" i="12" s="1"/>
  <c r="G6" i="12"/>
  <c r="D6" i="12"/>
  <c r="C6" i="12"/>
  <c r="AC28" i="13"/>
  <c r="AC22" i="13"/>
  <c r="AC23" i="13"/>
  <c r="AC29" i="13"/>
  <c r="BN19" i="13"/>
  <c r="BW12" i="13"/>
  <c r="AC25" i="13"/>
  <c r="BU19" i="13"/>
  <c r="BV19" i="13"/>
  <c r="BO19" i="13"/>
  <c r="BW19" i="13"/>
  <c r="BE7" i="1"/>
  <c r="BF7" i="1"/>
  <c r="BF19" i="1" s="1"/>
  <c r="BG7" i="1"/>
  <c r="BH7" i="1"/>
  <c r="BI7" i="1"/>
  <c r="BJ7" i="1"/>
  <c r="BK7" i="1"/>
  <c r="BK19" i="1" s="1"/>
  <c r="BK23" i="1" s="1"/>
  <c r="AK28" i="1"/>
  <c r="AL28" i="1"/>
  <c r="AL29" i="1" s="1"/>
  <c r="AC28" i="1"/>
  <c r="AB28" i="1"/>
  <c r="AD28" i="1" s="1"/>
  <c r="BR7" i="1"/>
  <c r="BR8" i="1"/>
  <c r="BT8" i="1" s="1"/>
  <c r="BR9" i="1"/>
  <c r="BT9" i="1"/>
  <c r="BR10" i="1"/>
  <c r="BR11" i="1"/>
  <c r="BT11" i="1"/>
  <c r="BR12" i="1"/>
  <c r="BT12" i="1"/>
  <c r="BR13" i="1"/>
  <c r="BT13" i="1"/>
  <c r="BR14" i="1"/>
  <c r="BT14" i="1" s="1"/>
  <c r="BR15" i="1"/>
  <c r="BT15" i="1"/>
  <c r="BR16" i="1"/>
  <c r="BT16" i="1"/>
  <c r="BR17" i="1"/>
  <c r="BT17" i="1"/>
  <c r="BR6" i="1"/>
  <c r="BR19" i="1" s="1"/>
  <c r="BR21" i="1" s="1"/>
  <c r="BQ7" i="1"/>
  <c r="BT25" i="1" s="1"/>
  <c r="BQ8" i="1"/>
  <c r="BQ9" i="1"/>
  <c r="BQ10" i="1"/>
  <c r="BQ11" i="1"/>
  <c r="BQ12" i="1"/>
  <c r="BQ13" i="1"/>
  <c r="BQ14" i="1"/>
  <c r="BQ15" i="1"/>
  <c r="BQ16" i="1"/>
  <c r="BQ17" i="1"/>
  <c r="BQ6" i="1"/>
  <c r="BQ19" i="1" s="1"/>
  <c r="BR24" i="1" s="1"/>
  <c r="BP7" i="1"/>
  <c r="BP8" i="1"/>
  <c r="BP9" i="1"/>
  <c r="BP10" i="1"/>
  <c r="BP11" i="1"/>
  <c r="BP12" i="1"/>
  <c r="BP13" i="1"/>
  <c r="BP14" i="1"/>
  <c r="BP15" i="1"/>
  <c r="BP16" i="1"/>
  <c r="BP17" i="1"/>
  <c r="BP6" i="1"/>
  <c r="BO7" i="1"/>
  <c r="BO19" i="1" s="1"/>
  <c r="BO8" i="1"/>
  <c r="BO9" i="1"/>
  <c r="BO10" i="1"/>
  <c r="BO11" i="1"/>
  <c r="BO12" i="1"/>
  <c r="BO13" i="1"/>
  <c r="BO14" i="1"/>
  <c r="BO15" i="1"/>
  <c r="BO16" i="1"/>
  <c r="BO17" i="1"/>
  <c r="BO6" i="1"/>
  <c r="BK8" i="1"/>
  <c r="BM8" i="1" s="1"/>
  <c r="BK9" i="1"/>
  <c r="BK10" i="1"/>
  <c r="BM10" i="1"/>
  <c r="BK11" i="1"/>
  <c r="BM11" i="1" s="1"/>
  <c r="D34" i="1" s="1"/>
  <c r="BK12" i="1"/>
  <c r="BM12" i="1"/>
  <c r="BK13" i="1"/>
  <c r="BM13" i="1"/>
  <c r="BK14" i="1"/>
  <c r="BM14" i="1"/>
  <c r="BK15" i="1"/>
  <c r="BM15" i="1"/>
  <c r="BK16" i="1"/>
  <c r="BM16" i="1" s="1"/>
  <c r="BK17" i="1"/>
  <c r="BM17" i="1"/>
  <c r="BK6" i="1"/>
  <c r="BJ8" i="1"/>
  <c r="BJ9" i="1"/>
  <c r="BJ10" i="1"/>
  <c r="BJ11" i="1"/>
  <c r="BJ12" i="1"/>
  <c r="BJ13" i="1"/>
  <c r="BJ14" i="1"/>
  <c r="BJ15" i="1"/>
  <c r="BJ16" i="1"/>
  <c r="BJ17" i="1"/>
  <c r="BJ6" i="1"/>
  <c r="BI8" i="1"/>
  <c r="BI9" i="1"/>
  <c r="BI10" i="1"/>
  <c r="BI11" i="1"/>
  <c r="BI19" i="1" s="1"/>
  <c r="BI12" i="1"/>
  <c r="BI13" i="1"/>
  <c r="BI14" i="1"/>
  <c r="BI15" i="1"/>
  <c r="BI16" i="1"/>
  <c r="BI17" i="1"/>
  <c r="BI6" i="1"/>
  <c r="BH8" i="1"/>
  <c r="BH9" i="1"/>
  <c r="BH10" i="1"/>
  <c r="BH11" i="1"/>
  <c r="BH12" i="1"/>
  <c r="BH13" i="1"/>
  <c r="BH14" i="1"/>
  <c r="BH15" i="1"/>
  <c r="BH16" i="1"/>
  <c r="BH17" i="1"/>
  <c r="BH6" i="1"/>
  <c r="BH19" i="1" s="1"/>
  <c r="BG8" i="1"/>
  <c r="BG9" i="1"/>
  <c r="BG10" i="1"/>
  <c r="BG11" i="1"/>
  <c r="BG12" i="1"/>
  <c r="BG13" i="1"/>
  <c r="BG14" i="1"/>
  <c r="BG15" i="1"/>
  <c r="BG16" i="1"/>
  <c r="BG17" i="1"/>
  <c r="BG6" i="1"/>
  <c r="BG19" i="1" s="1"/>
  <c r="BF8" i="1"/>
  <c r="BF9" i="1"/>
  <c r="BF10" i="1"/>
  <c r="BF11" i="1"/>
  <c r="BF13" i="1"/>
  <c r="BF14" i="1"/>
  <c r="BF15" i="1"/>
  <c r="BF16" i="1"/>
  <c r="BF17" i="1"/>
  <c r="BF6" i="1"/>
  <c r="AX19" i="1"/>
  <c r="AY19" i="1"/>
  <c r="AZ19" i="1"/>
  <c r="BA19" i="1"/>
  <c r="BB19" i="1"/>
  <c r="AW19" i="1"/>
  <c r="AR19" i="1"/>
  <c r="AS19" i="1"/>
  <c r="CL39" i="1"/>
  <c r="AT19" i="1"/>
  <c r="AQ19" i="1"/>
  <c r="AL19" i="1"/>
  <c r="AM19" i="1"/>
  <c r="CK38" i="1"/>
  <c r="AN19" i="1"/>
  <c r="AK19" i="1"/>
  <c r="AC19" i="1"/>
  <c r="AD19" i="1"/>
  <c r="CK37" i="1"/>
  <c r="AE19" i="1"/>
  <c r="CL37" i="1"/>
  <c r="AF19" i="1"/>
  <c r="AG19" i="1"/>
  <c r="AB19" i="1"/>
  <c r="V19" i="1"/>
  <c r="W19" i="1"/>
  <c r="CL36" i="1"/>
  <c r="X19" i="1"/>
  <c r="CM36" i="1"/>
  <c r="Y19" i="1"/>
  <c r="U19" i="1"/>
  <c r="M19" i="1"/>
  <c r="N19" i="1"/>
  <c r="CK35" i="1"/>
  <c r="O19" i="1"/>
  <c r="CL35" i="1"/>
  <c r="P19" i="1"/>
  <c r="CM35" i="1"/>
  <c r="Q19" i="1"/>
  <c r="L19" i="1"/>
  <c r="E19" i="1"/>
  <c r="F19" i="1"/>
  <c r="CK34" i="1"/>
  <c r="G19" i="1"/>
  <c r="H19" i="1"/>
  <c r="D19" i="1"/>
  <c r="AB60" i="11"/>
  <c r="AA60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5" i="11"/>
  <c r="AG36" i="11"/>
  <c r="AG37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H36" i="11"/>
  <c r="AF37" i="11"/>
  <c r="AF38" i="11"/>
  <c r="AH38" i="11"/>
  <c r="AF39" i="11"/>
  <c r="AH39" i="11"/>
  <c r="AF40" i="11"/>
  <c r="AH40" i="11"/>
  <c r="AF41" i="11"/>
  <c r="AF42" i="11"/>
  <c r="AF43" i="11"/>
  <c r="AH43" i="11"/>
  <c r="AF44" i="11"/>
  <c r="AF45" i="11"/>
  <c r="AF46" i="11"/>
  <c r="AF47" i="11"/>
  <c r="AH47" i="11"/>
  <c r="AF48" i="11"/>
  <c r="AF49" i="11"/>
  <c r="AF50" i="11"/>
  <c r="AH50" i="11"/>
  <c r="AF51" i="11"/>
  <c r="AF52" i="11"/>
  <c r="AF53" i="11"/>
  <c r="AF54" i="11"/>
  <c r="AF55" i="11"/>
  <c r="AF56" i="11"/>
  <c r="AF57" i="11"/>
  <c r="AF58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H55" i="11"/>
  <c r="AG7" i="11"/>
  <c r="AF7" i="11"/>
  <c r="AE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B75" i="11"/>
  <c r="AD7" i="11"/>
  <c r="X60" i="11"/>
  <c r="W60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B74" i="11"/>
  <c r="Z7" i="11"/>
  <c r="T60" i="11"/>
  <c r="S60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B73" i="11"/>
  <c r="V7" i="11"/>
  <c r="P60" i="11"/>
  <c r="O60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B72" i="11"/>
  <c r="R7" i="11"/>
  <c r="L60" i="11"/>
  <c r="K60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B71" i="11"/>
  <c r="N7" i="11"/>
  <c r="H60" i="11"/>
  <c r="G60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B70" i="11"/>
  <c r="J7" i="11"/>
  <c r="D60" i="11"/>
  <c r="C60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B69" i="11"/>
  <c r="F7" i="11"/>
  <c r="AJ6" i="1"/>
  <c r="AH31" i="11"/>
  <c r="AH57" i="11"/>
  <c r="AH49" i="11"/>
  <c r="AH41" i="11"/>
  <c r="AH33" i="11"/>
  <c r="AH25" i="11"/>
  <c r="AH17" i="11"/>
  <c r="AH42" i="11"/>
  <c r="AH26" i="11"/>
  <c r="AH53" i="11"/>
  <c r="AH45" i="11"/>
  <c r="AH56" i="11"/>
  <c r="AH48" i="11"/>
  <c r="AH32" i="11"/>
  <c r="AH24" i="11"/>
  <c r="AH16" i="11"/>
  <c r="AH18" i="11"/>
  <c r="AH30" i="11"/>
  <c r="AH29" i="11"/>
  <c r="AI11" i="11"/>
  <c r="AH9" i="11"/>
  <c r="AI10" i="11"/>
  <c r="AH23" i="11"/>
  <c r="AK19" i="11"/>
  <c r="AH54" i="11"/>
  <c r="AH46" i="11"/>
  <c r="AI15" i="11"/>
  <c r="AE60" i="11"/>
  <c r="AH15" i="11"/>
  <c r="AH58" i="11"/>
  <c r="B77" i="11"/>
  <c r="AH34" i="11"/>
  <c r="AI14" i="11"/>
  <c r="AH8" i="11"/>
  <c r="AI9" i="11"/>
  <c r="AK18" i="11"/>
  <c r="AI13" i="11"/>
  <c r="AM28" i="1"/>
  <c r="AI8" i="11"/>
  <c r="AI12" i="11"/>
  <c r="AI7" i="11"/>
  <c r="AH22" i="11"/>
  <c r="AH21" i="11"/>
  <c r="AF60" i="11"/>
  <c r="AF63" i="11"/>
  <c r="AH14" i="11"/>
  <c r="AH10" i="11"/>
  <c r="AH7" i="11"/>
  <c r="BP19" i="1"/>
  <c r="BJ19" i="1"/>
  <c r="AC29" i="1"/>
  <c r="AH51" i="11"/>
  <c r="AH27" i="11"/>
  <c r="AH19" i="11"/>
  <c r="AH52" i="11"/>
  <c r="AH44" i="11"/>
  <c r="AH28" i="11"/>
  <c r="AH20" i="11"/>
  <c r="AH12" i="11"/>
  <c r="AH11" i="11"/>
  <c r="AH13" i="11"/>
  <c r="AJ17" i="1"/>
  <c r="BE17" i="1"/>
  <c r="W58" i="10"/>
  <c r="Y58" i="10"/>
  <c r="X58" i="10"/>
  <c r="Z58" i="10"/>
  <c r="T58" i="10"/>
  <c r="Q58" i="10"/>
  <c r="N58" i="10"/>
  <c r="K58" i="10"/>
  <c r="H58" i="10"/>
  <c r="E58" i="10"/>
  <c r="S63" i="10"/>
  <c r="W57" i="10"/>
  <c r="Y57" i="10"/>
  <c r="X57" i="10"/>
  <c r="Z57" i="10"/>
  <c r="T57" i="10"/>
  <c r="N57" i="10"/>
  <c r="K57" i="10"/>
  <c r="H57" i="10"/>
  <c r="E57" i="10"/>
  <c r="Q57" i="10"/>
  <c r="W56" i="10"/>
  <c r="Y56" i="10"/>
  <c r="X56" i="10"/>
  <c r="T56" i="10"/>
  <c r="N56" i="10"/>
  <c r="K56" i="10"/>
  <c r="H56" i="10"/>
  <c r="E56" i="10"/>
  <c r="Q56" i="10"/>
  <c r="Z56" i="10"/>
  <c r="W55" i="10"/>
  <c r="Y55" i="10"/>
  <c r="X55" i="10"/>
  <c r="T55" i="10"/>
  <c r="Q55" i="10"/>
  <c r="N55" i="10"/>
  <c r="K55" i="10"/>
  <c r="H55" i="10"/>
  <c r="E55" i="10"/>
  <c r="W54" i="10"/>
  <c r="Y54" i="10"/>
  <c r="X54" i="10"/>
  <c r="Z54" i="10"/>
  <c r="T54" i="10"/>
  <c r="Q54" i="10"/>
  <c r="N54" i="10"/>
  <c r="K54" i="10"/>
  <c r="H54" i="10"/>
  <c r="E54" i="10"/>
  <c r="BE16" i="1"/>
  <c r="AJ16" i="1"/>
  <c r="Z55" i="10"/>
  <c r="W53" i="10"/>
  <c r="Y53" i="10"/>
  <c r="X53" i="10"/>
  <c r="Z53" i="10"/>
  <c r="T53" i="10"/>
  <c r="N53" i="10"/>
  <c r="K53" i="10"/>
  <c r="H53" i="10"/>
  <c r="E53" i="10"/>
  <c r="Q53" i="10"/>
  <c r="W52" i="10"/>
  <c r="Y52" i="10"/>
  <c r="X52" i="10"/>
  <c r="Z52" i="10"/>
  <c r="T52" i="10"/>
  <c r="Q52" i="10"/>
  <c r="N52" i="10"/>
  <c r="K52" i="10"/>
  <c r="H52" i="10"/>
  <c r="E52" i="10"/>
  <c r="W51" i="10"/>
  <c r="Y51" i="10"/>
  <c r="X51" i="10"/>
  <c r="Z51" i="10"/>
  <c r="T51" i="10"/>
  <c r="N51" i="10"/>
  <c r="K51" i="10"/>
  <c r="H51" i="10"/>
  <c r="E51" i="10"/>
  <c r="Q51" i="10"/>
  <c r="H50" i="10"/>
  <c r="K50" i="10"/>
  <c r="W50" i="10"/>
  <c r="Y50" i="10"/>
  <c r="X50" i="10"/>
  <c r="Z50" i="10"/>
  <c r="T50" i="10"/>
  <c r="Q50" i="10"/>
  <c r="N50" i="10"/>
  <c r="E50" i="10"/>
  <c r="BE15" i="1"/>
  <c r="AJ15" i="1"/>
  <c r="W49" i="10"/>
  <c r="Y49" i="10"/>
  <c r="X49" i="10"/>
  <c r="Z49" i="10"/>
  <c r="T49" i="10"/>
  <c r="N49" i="10"/>
  <c r="K49" i="10"/>
  <c r="H49" i="10"/>
  <c r="E49" i="10"/>
  <c r="Q49" i="10"/>
  <c r="W48" i="10"/>
  <c r="Y48" i="10"/>
  <c r="X48" i="10"/>
  <c r="T48" i="10"/>
  <c r="K48" i="10"/>
  <c r="H48" i="10"/>
  <c r="E48" i="10"/>
  <c r="N48" i="10"/>
  <c r="Q48" i="10"/>
  <c r="Z48" i="10"/>
  <c r="H47" i="10"/>
  <c r="Y47" i="10"/>
  <c r="X47" i="10"/>
  <c r="W47" i="10"/>
  <c r="N47" i="10"/>
  <c r="Q47" i="10"/>
  <c r="T47" i="10"/>
  <c r="K47" i="10"/>
  <c r="E47" i="10"/>
  <c r="N46" i="10"/>
  <c r="Q46" i="10"/>
  <c r="Z47" i="10"/>
  <c r="Y46" i="10"/>
  <c r="X46" i="10"/>
  <c r="W46" i="10"/>
  <c r="T46" i="10"/>
  <c r="K46" i="10"/>
  <c r="H46" i="10"/>
  <c r="Z46" i="10"/>
  <c r="E46" i="10"/>
  <c r="BE14" i="1"/>
  <c r="AJ14" i="1"/>
  <c r="W45" i="10"/>
  <c r="Y45" i="10"/>
  <c r="X45" i="10"/>
  <c r="Z45" i="10"/>
  <c r="T45" i="10"/>
  <c r="Q45" i="10"/>
  <c r="N45" i="10"/>
  <c r="K45" i="10"/>
  <c r="H45" i="10"/>
  <c r="E45" i="10"/>
  <c r="W44" i="10"/>
  <c r="Y44" i="10"/>
  <c r="X44" i="10"/>
  <c r="Z44" i="10"/>
  <c r="T44" i="10"/>
  <c r="Q44" i="10"/>
  <c r="N44" i="10"/>
  <c r="K44" i="10"/>
  <c r="H44" i="10"/>
  <c r="E44" i="10"/>
  <c r="Q43" i="10"/>
  <c r="Y43" i="10"/>
  <c r="X43" i="10"/>
  <c r="N43" i="10"/>
  <c r="W43" i="10"/>
  <c r="T43" i="10"/>
  <c r="K43" i="10"/>
  <c r="H43" i="10"/>
  <c r="E43" i="10"/>
  <c r="Z43" i="10"/>
  <c r="H42" i="10"/>
  <c r="Y42" i="10"/>
  <c r="X42" i="10"/>
  <c r="W42" i="10"/>
  <c r="N42" i="10"/>
  <c r="Q42" i="10"/>
  <c r="T42" i="10"/>
  <c r="K42" i="10"/>
  <c r="E42" i="10"/>
  <c r="Z42" i="10"/>
  <c r="W41" i="10"/>
  <c r="Y41" i="10"/>
  <c r="X41" i="10"/>
  <c r="Z41" i="10"/>
  <c r="T41" i="10"/>
  <c r="Q41" i="10"/>
  <c r="N41" i="10"/>
  <c r="K41" i="10"/>
  <c r="H41" i="10"/>
  <c r="E41" i="10"/>
  <c r="BE13" i="1"/>
  <c r="AJ13" i="1"/>
  <c r="BY38" i="1"/>
  <c r="BU38" i="1"/>
  <c r="BU37" i="1"/>
  <c r="BZ37" i="1"/>
  <c r="BW38" i="1"/>
  <c r="K40" i="10"/>
  <c r="Y40" i="10"/>
  <c r="X40" i="10"/>
  <c r="W40" i="10"/>
  <c r="N40" i="10"/>
  <c r="Q40" i="10"/>
  <c r="T40" i="10"/>
  <c r="H40" i="10"/>
  <c r="Z40" i="10"/>
  <c r="E40" i="10"/>
  <c r="T39" i="10"/>
  <c r="Y39" i="10"/>
  <c r="X39" i="10"/>
  <c r="Z39" i="10"/>
  <c r="K39" i="10"/>
  <c r="E39" i="10"/>
  <c r="W39" i="10"/>
  <c r="H39" i="10"/>
  <c r="N39" i="10"/>
  <c r="Q39" i="10"/>
  <c r="BZ38" i="1"/>
  <c r="BX38" i="1"/>
  <c r="BV38" i="1"/>
  <c r="BY37" i="1"/>
  <c r="BX37" i="1"/>
  <c r="BW37" i="1"/>
  <c r="BV37" i="1"/>
  <c r="BZ36" i="1"/>
  <c r="BY36" i="1"/>
  <c r="BX36" i="1"/>
  <c r="BW36" i="1"/>
  <c r="BV36" i="1"/>
  <c r="BU36" i="1"/>
  <c r="BZ35" i="1"/>
  <c r="BY35" i="1"/>
  <c r="BX35" i="1"/>
  <c r="BW35" i="1"/>
  <c r="BU35" i="1"/>
  <c r="BV35" i="1"/>
  <c r="X37" i="10"/>
  <c r="W38" i="10"/>
  <c r="Y38" i="10"/>
  <c r="X38" i="10"/>
  <c r="T38" i="10"/>
  <c r="Q38" i="10"/>
  <c r="N38" i="10"/>
  <c r="K38" i="10"/>
  <c r="H38" i="10"/>
  <c r="E38" i="10"/>
  <c r="Z38" i="10"/>
  <c r="W37" i="10"/>
  <c r="H37" i="10"/>
  <c r="Q37" i="10"/>
  <c r="Y37" i="10"/>
  <c r="T37" i="10"/>
  <c r="N37" i="10"/>
  <c r="K37" i="10"/>
  <c r="E37" i="10"/>
  <c r="BE12" i="1"/>
  <c r="Z37" i="10"/>
  <c r="AJ12" i="1"/>
  <c r="W36" i="10"/>
  <c r="N36" i="10"/>
  <c r="H36" i="10"/>
  <c r="Q36" i="10"/>
  <c r="Y36" i="10"/>
  <c r="X36" i="10"/>
  <c r="T36" i="10"/>
  <c r="K36" i="10"/>
  <c r="E36" i="10"/>
  <c r="Z36" i="10"/>
  <c r="T35" i="10"/>
  <c r="Y35" i="10"/>
  <c r="X35" i="10"/>
  <c r="K35" i="10"/>
  <c r="E35" i="10"/>
  <c r="Q35" i="10"/>
  <c r="W35" i="10"/>
  <c r="H35" i="10"/>
  <c r="N35" i="10"/>
  <c r="X34" i="10"/>
  <c r="T34" i="10"/>
  <c r="Y34" i="10"/>
  <c r="K34" i="10"/>
  <c r="E34" i="10"/>
  <c r="W34" i="10"/>
  <c r="H34" i="10"/>
  <c r="N34" i="10"/>
  <c r="Q34" i="10"/>
  <c r="W33" i="10"/>
  <c r="Y33" i="10"/>
  <c r="H33" i="10"/>
  <c r="N33" i="10"/>
  <c r="Q33" i="10"/>
  <c r="X33" i="10"/>
  <c r="T33" i="10"/>
  <c r="K33" i="10"/>
  <c r="E33" i="10"/>
  <c r="Z33" i="10"/>
  <c r="Z34" i="10"/>
  <c r="Z35" i="10"/>
  <c r="T32" i="10"/>
  <c r="Y32" i="10"/>
  <c r="X32" i="10"/>
  <c r="K32" i="10"/>
  <c r="E32" i="10"/>
  <c r="W32" i="10"/>
  <c r="H32" i="10"/>
  <c r="N32" i="10"/>
  <c r="Q32" i="10"/>
  <c r="BE11" i="1"/>
  <c r="T11" i="1"/>
  <c r="AJ11" i="1"/>
  <c r="T31" i="10"/>
  <c r="Y31" i="10"/>
  <c r="X31" i="10"/>
  <c r="K31" i="10"/>
  <c r="E31" i="10"/>
  <c r="W31" i="10"/>
  <c r="H31" i="10"/>
  <c r="N31" i="10"/>
  <c r="Q31" i="10"/>
  <c r="T30" i="10"/>
  <c r="Y30" i="10"/>
  <c r="X30" i="10"/>
  <c r="K30" i="10"/>
  <c r="E30" i="10"/>
  <c r="W30" i="10"/>
  <c r="H30" i="10"/>
  <c r="N30" i="10"/>
  <c r="Q30" i="10"/>
  <c r="Z31" i="10"/>
  <c r="Z32" i="10"/>
  <c r="Z30" i="10"/>
  <c r="BE8" i="1"/>
  <c r="BE9" i="1"/>
  <c r="BE10" i="1"/>
  <c r="BE6" i="1"/>
  <c r="AJ7" i="1"/>
  <c r="AJ8" i="1"/>
  <c r="AJ9" i="1"/>
  <c r="AJ10" i="1"/>
  <c r="T7" i="1"/>
  <c r="T8" i="1"/>
  <c r="T9" i="1"/>
  <c r="T10" i="1"/>
  <c r="T6" i="1"/>
  <c r="T29" i="10"/>
  <c r="Y29" i="10"/>
  <c r="X29" i="10"/>
  <c r="K29" i="10"/>
  <c r="E29" i="10"/>
  <c r="W29" i="10"/>
  <c r="H29" i="10"/>
  <c r="N29" i="10"/>
  <c r="Q29" i="10"/>
  <c r="Z29" i="10"/>
  <c r="T28" i="10"/>
  <c r="K28" i="10"/>
  <c r="E28" i="10"/>
  <c r="Y28" i="10"/>
  <c r="X28" i="10"/>
  <c r="W28" i="10"/>
  <c r="H28" i="10"/>
  <c r="N28" i="10"/>
  <c r="Q28" i="10"/>
  <c r="T27" i="10"/>
  <c r="K27" i="10"/>
  <c r="E27" i="10"/>
  <c r="Y27" i="10"/>
  <c r="X27" i="10"/>
  <c r="W27" i="10"/>
  <c r="H27" i="10"/>
  <c r="N27" i="10"/>
  <c r="Q27" i="10"/>
  <c r="T26" i="10"/>
  <c r="Y26" i="10"/>
  <c r="X26" i="10"/>
  <c r="K26" i="10"/>
  <c r="E26" i="10"/>
  <c r="W26" i="10"/>
  <c r="H26" i="10"/>
  <c r="N26" i="10"/>
  <c r="Q26" i="10"/>
  <c r="Z28" i="10"/>
  <c r="Z26" i="10"/>
  <c r="Z27" i="10"/>
  <c r="E25" i="10"/>
  <c r="T25" i="10"/>
  <c r="K25" i="10"/>
  <c r="X25" i="10"/>
  <c r="Y25" i="10"/>
  <c r="W25" i="10"/>
  <c r="N25" i="10"/>
  <c r="H25" i="10"/>
  <c r="Q25" i="10"/>
  <c r="T24" i="10"/>
  <c r="Y24" i="10"/>
  <c r="X24" i="10"/>
  <c r="K24" i="10"/>
  <c r="E24" i="10"/>
  <c r="W24" i="10"/>
  <c r="H24" i="10"/>
  <c r="N24" i="10"/>
  <c r="Q24" i="10"/>
  <c r="Z24" i="10"/>
  <c r="Z25" i="10"/>
  <c r="W23" i="10"/>
  <c r="Q23" i="10"/>
  <c r="N23" i="10"/>
  <c r="H23" i="10"/>
  <c r="T23" i="10"/>
  <c r="K23" i="10"/>
  <c r="E23" i="10"/>
  <c r="X23" i="10"/>
  <c r="Y23" i="10"/>
  <c r="Y22" i="10"/>
  <c r="T22" i="10"/>
  <c r="X22" i="10"/>
  <c r="K22" i="10"/>
  <c r="E22" i="10"/>
  <c r="W22" i="10"/>
  <c r="H22" i="10"/>
  <c r="N22" i="10"/>
  <c r="Q22" i="10"/>
  <c r="T21" i="10"/>
  <c r="Y21" i="10"/>
  <c r="X21" i="10"/>
  <c r="K21" i="10"/>
  <c r="E21" i="10"/>
  <c r="W21" i="10"/>
  <c r="N21" i="10"/>
  <c r="H21" i="10"/>
  <c r="Q21" i="10"/>
  <c r="T20" i="10"/>
  <c r="Y20" i="10"/>
  <c r="X20" i="10"/>
  <c r="K20" i="10"/>
  <c r="E20" i="10"/>
  <c r="W20" i="10"/>
  <c r="N20" i="10"/>
  <c r="H20" i="10"/>
  <c r="Q20" i="10"/>
  <c r="Q19" i="10"/>
  <c r="Z20" i="10"/>
  <c r="Z21" i="10"/>
  <c r="Z22" i="10"/>
  <c r="Z23" i="10"/>
  <c r="X19" i="10"/>
  <c r="W19" i="10"/>
  <c r="Y19" i="10"/>
  <c r="H19" i="10"/>
  <c r="N19" i="10"/>
  <c r="T19" i="10"/>
  <c r="K19" i="10"/>
  <c r="E19" i="10"/>
  <c r="Z19" i="10"/>
  <c r="T18" i="10"/>
  <c r="Y18" i="10"/>
  <c r="X18" i="10"/>
  <c r="K18" i="10"/>
  <c r="E18" i="10"/>
  <c r="H18" i="10"/>
  <c r="N18" i="10"/>
  <c r="W18" i="10"/>
  <c r="Q18" i="10"/>
  <c r="T17" i="10"/>
  <c r="Y17" i="10"/>
  <c r="X17" i="10"/>
  <c r="Z17" i="10"/>
  <c r="K17" i="10"/>
  <c r="E17" i="10"/>
  <c r="Q17" i="10"/>
  <c r="N17" i="10"/>
  <c r="H17" i="10"/>
  <c r="W17" i="10"/>
  <c r="Z18" i="10"/>
  <c r="T16" i="10"/>
  <c r="Y16" i="10"/>
  <c r="X16" i="10"/>
  <c r="K16" i="10"/>
  <c r="E16" i="10"/>
  <c r="W16" i="10"/>
  <c r="H16" i="10"/>
  <c r="N16" i="10"/>
  <c r="Q16" i="10"/>
  <c r="Y15" i="10"/>
  <c r="T15" i="10"/>
  <c r="X15" i="10"/>
  <c r="Z15" i="10"/>
  <c r="K15" i="10"/>
  <c r="E15" i="10"/>
  <c r="W15" i="10"/>
  <c r="H15" i="10"/>
  <c r="N15" i="10"/>
  <c r="Q15" i="10"/>
  <c r="T14" i="10"/>
  <c r="K14" i="10"/>
  <c r="E14" i="10"/>
  <c r="Y14" i="10"/>
  <c r="X14" i="10"/>
  <c r="W14" i="10"/>
  <c r="N14" i="10"/>
  <c r="H14" i="10"/>
  <c r="Q14" i="10"/>
  <c r="H13" i="10"/>
  <c r="X13" i="10"/>
  <c r="T13" i="10"/>
  <c r="Y13" i="10"/>
  <c r="K13" i="10"/>
  <c r="E13" i="10"/>
  <c r="W13" i="10"/>
  <c r="N13" i="10"/>
  <c r="Q13" i="10"/>
  <c r="Z13" i="10"/>
  <c r="Z16" i="10"/>
  <c r="Z14" i="10"/>
  <c r="V60" i="10"/>
  <c r="S60" i="10"/>
  <c r="P60" i="10"/>
  <c r="M60" i="10"/>
  <c r="J60" i="10"/>
  <c r="G60" i="10"/>
  <c r="D60" i="10"/>
  <c r="Y12" i="10"/>
  <c r="W12" i="10"/>
  <c r="H12" i="10"/>
  <c r="N12" i="10"/>
  <c r="Q12" i="10"/>
  <c r="X12" i="10"/>
  <c r="T12" i="10"/>
  <c r="K12" i="10"/>
  <c r="E12" i="10"/>
  <c r="T11" i="10"/>
  <c r="Y11" i="10"/>
  <c r="X11" i="10"/>
  <c r="E11" i="10"/>
  <c r="K11" i="10"/>
  <c r="W11" i="10"/>
  <c r="H11" i="10"/>
  <c r="N11" i="10"/>
  <c r="Q11" i="10"/>
  <c r="Y10" i="10"/>
  <c r="X10" i="10"/>
  <c r="W10" i="10"/>
  <c r="T10" i="10"/>
  <c r="Q10" i="10"/>
  <c r="N10" i="10"/>
  <c r="K10" i="10"/>
  <c r="H10" i="10"/>
  <c r="E10" i="10"/>
  <c r="Y9" i="10"/>
  <c r="X9" i="10"/>
  <c r="E9" i="10"/>
  <c r="K9" i="10"/>
  <c r="T9" i="10"/>
  <c r="H9" i="10"/>
  <c r="W9" i="10"/>
  <c r="Q9" i="10"/>
  <c r="N9" i="10"/>
  <c r="Y8" i="10"/>
  <c r="X8" i="10"/>
  <c r="W8" i="10"/>
  <c r="Q8" i="10"/>
  <c r="N8" i="10"/>
  <c r="H8" i="10"/>
  <c r="T8" i="10"/>
  <c r="K8" i="10"/>
  <c r="E8" i="10"/>
  <c r="T7" i="10"/>
  <c r="Y7" i="10"/>
  <c r="X7" i="10"/>
  <c r="K7" i="10"/>
  <c r="E7" i="10"/>
  <c r="W7" i="10"/>
  <c r="Q7" i="10"/>
  <c r="N7" i="10"/>
  <c r="H7" i="10"/>
  <c r="U60" i="10"/>
  <c r="W60" i="10"/>
  <c r="R60" i="10"/>
  <c r="T60" i="10"/>
  <c r="O60" i="10"/>
  <c r="Q60" i="10"/>
  <c r="L60" i="10"/>
  <c r="N60" i="10"/>
  <c r="I60" i="10"/>
  <c r="F60" i="10"/>
  <c r="C60" i="10"/>
  <c r="T27" i="2"/>
  <c r="Y27" i="2"/>
  <c r="X27" i="2"/>
  <c r="Z27" i="2"/>
  <c r="W27" i="2"/>
  <c r="Q27" i="2"/>
  <c r="N27" i="2"/>
  <c r="K27" i="2"/>
  <c r="H27" i="2"/>
  <c r="E27" i="2"/>
  <c r="T26" i="2"/>
  <c r="Z9" i="10"/>
  <c r="K60" i="10"/>
  <c r="H60" i="10"/>
  <c r="E60" i="10"/>
  <c r="Z10" i="10"/>
  <c r="Z11" i="10"/>
  <c r="Z8" i="10"/>
  <c r="Z12" i="10"/>
  <c r="Y60" i="10"/>
  <c r="X60" i="10"/>
  <c r="Z7" i="10"/>
  <c r="C62" i="10"/>
  <c r="K26" i="2"/>
  <c r="E26" i="2"/>
  <c r="Y26" i="2"/>
  <c r="X26" i="2"/>
  <c r="W26" i="2"/>
  <c r="Q26" i="2"/>
  <c r="N26" i="2"/>
  <c r="H26" i="2"/>
  <c r="T25" i="2"/>
  <c r="Y62" i="10"/>
  <c r="Z60" i="10"/>
  <c r="Z26" i="2"/>
  <c r="K25" i="2"/>
  <c r="E25" i="2"/>
  <c r="Y25" i="2"/>
  <c r="X25" i="2"/>
  <c r="W25" i="2"/>
  <c r="Q25" i="2"/>
  <c r="N25" i="2"/>
  <c r="H25" i="2"/>
  <c r="T24" i="2"/>
  <c r="Z25" i="2"/>
  <c r="K24" i="2"/>
  <c r="E24" i="2"/>
  <c r="Y24" i="2"/>
  <c r="X24" i="2"/>
  <c r="W24" i="2"/>
  <c r="Q24" i="2"/>
  <c r="N24" i="2"/>
  <c r="H24" i="2"/>
  <c r="T23" i="2"/>
  <c r="Y23" i="2"/>
  <c r="X23" i="2"/>
  <c r="Z23" i="2"/>
  <c r="H23" i="2"/>
  <c r="W23" i="2"/>
  <c r="N23" i="2"/>
  <c r="Q23" i="2"/>
  <c r="K23" i="2"/>
  <c r="E23" i="2"/>
  <c r="W22" i="2"/>
  <c r="Q22" i="2"/>
  <c r="N22" i="2"/>
  <c r="H22" i="2"/>
  <c r="Y22" i="2"/>
  <c r="K22" i="2"/>
  <c r="X22" i="2"/>
  <c r="E22" i="2"/>
  <c r="T22" i="2"/>
  <c r="T21" i="2"/>
  <c r="K21" i="2"/>
  <c r="E21" i="2"/>
  <c r="Y21" i="2"/>
  <c r="X21" i="2"/>
  <c r="Z21" i="2"/>
  <c r="W21" i="2"/>
  <c r="Q21" i="2"/>
  <c r="N21" i="2"/>
  <c r="H21" i="2"/>
  <c r="T20" i="2"/>
  <c r="Z22" i="2"/>
  <c r="Z24" i="2"/>
  <c r="Y20" i="2"/>
  <c r="X20" i="2"/>
  <c r="E20" i="2"/>
  <c r="W20" i="2"/>
  <c r="Q20" i="2"/>
  <c r="N20" i="2"/>
  <c r="K20" i="2"/>
  <c r="H20" i="2"/>
  <c r="Z19" i="2"/>
  <c r="W19" i="2"/>
  <c r="T19" i="2"/>
  <c r="Q19" i="2"/>
  <c r="N19" i="2"/>
  <c r="H19" i="2"/>
  <c r="Y19" i="2"/>
  <c r="X19" i="2"/>
  <c r="K19" i="2"/>
  <c r="E19" i="2"/>
  <c r="T18" i="2"/>
  <c r="Y18" i="2"/>
  <c r="X18" i="2"/>
  <c r="Z18" i="2"/>
  <c r="Q18" i="2"/>
  <c r="N18" i="2"/>
  <c r="K18" i="2"/>
  <c r="H18" i="2"/>
  <c r="E18" i="2"/>
  <c r="W18" i="2"/>
  <c r="T17" i="2"/>
  <c r="Y17" i="2"/>
  <c r="Z17" i="2"/>
  <c r="X17" i="2"/>
  <c r="K17" i="2"/>
  <c r="E17" i="2"/>
  <c r="W17" i="2"/>
  <c r="Q17" i="2"/>
  <c r="N17" i="2"/>
  <c r="H17" i="2"/>
  <c r="Z16" i="2"/>
  <c r="X16" i="2"/>
  <c r="T16" i="2"/>
  <c r="Y16" i="2"/>
  <c r="K16" i="2"/>
  <c r="E16" i="2"/>
  <c r="W16" i="2"/>
  <c r="Q16" i="2"/>
  <c r="N16" i="2"/>
  <c r="H16" i="2"/>
  <c r="O15" i="2"/>
  <c r="Z20" i="2"/>
  <c r="T15" i="2"/>
  <c r="Y15" i="2"/>
  <c r="X15" i="2"/>
  <c r="Z15" i="2"/>
  <c r="K15" i="2"/>
  <c r="E15" i="2"/>
  <c r="W15" i="2"/>
  <c r="Q15" i="2"/>
  <c r="N15" i="2"/>
  <c r="H15" i="2"/>
  <c r="T14" i="2"/>
  <c r="Y14" i="2"/>
  <c r="X14" i="2"/>
  <c r="Z14" i="2"/>
  <c r="W14" i="2"/>
  <c r="Q14" i="2"/>
  <c r="N14" i="2"/>
  <c r="K14" i="2"/>
  <c r="H14" i="2"/>
  <c r="E14" i="2"/>
  <c r="R29" i="2"/>
  <c r="I29" i="2"/>
  <c r="Y6" i="2"/>
  <c r="Y7" i="2"/>
  <c r="X6" i="2"/>
  <c r="Z6" i="2"/>
  <c r="X7" i="2"/>
  <c r="Z7" i="2"/>
  <c r="V29" i="2"/>
  <c r="U29" i="2"/>
  <c r="W29" i="2"/>
  <c r="S29" i="2"/>
  <c r="P29" i="2"/>
  <c r="O29" i="2"/>
  <c r="M29" i="2"/>
  <c r="L29" i="2"/>
  <c r="J29" i="2"/>
  <c r="T13" i="2"/>
  <c r="X13" i="2"/>
  <c r="Y9" i="2"/>
  <c r="Y10" i="2"/>
  <c r="Y11" i="2"/>
  <c r="Y12" i="2"/>
  <c r="Y13" i="2"/>
  <c r="Y8" i="2"/>
  <c r="Y29" i="2"/>
  <c r="K13" i="2"/>
  <c r="E13" i="2"/>
  <c r="W13" i="2"/>
  <c r="Q13" i="2"/>
  <c r="N13" i="2"/>
  <c r="H13" i="2"/>
  <c r="G29" i="2"/>
  <c r="T12" i="2"/>
  <c r="Z13" i="2"/>
  <c r="X12" i="2"/>
  <c r="Z12" i="2"/>
  <c r="F29" i="2"/>
  <c r="W6" i="2"/>
  <c r="W7" i="2"/>
  <c r="W8" i="2"/>
  <c r="W9" i="2"/>
  <c r="W10" i="2"/>
  <c r="Q6" i="2"/>
  <c r="Q7" i="2"/>
  <c r="Q8" i="2"/>
  <c r="Q9" i="2"/>
  <c r="Q10" i="2"/>
  <c r="N6" i="2"/>
  <c r="N7" i="2"/>
  <c r="N8" i="2"/>
  <c r="N9" i="2"/>
  <c r="N10" i="2"/>
  <c r="H6" i="2"/>
  <c r="H7" i="2"/>
  <c r="H8" i="2"/>
  <c r="H9" i="2"/>
  <c r="H10" i="2"/>
  <c r="K6" i="2"/>
  <c r="K7" i="2"/>
  <c r="K8" i="2"/>
  <c r="K9" i="2"/>
  <c r="K10" i="2"/>
  <c r="K12" i="2"/>
  <c r="D29" i="2"/>
  <c r="C29" i="2"/>
  <c r="E12" i="2"/>
  <c r="E6" i="2"/>
  <c r="E7" i="2"/>
  <c r="E8" i="2"/>
  <c r="E9" i="2"/>
  <c r="E10" i="2"/>
  <c r="W12" i="2"/>
  <c r="Q12" i="2"/>
  <c r="N12" i="2"/>
  <c r="H12" i="2"/>
  <c r="W11" i="2"/>
  <c r="T11" i="2"/>
  <c r="Q11" i="2"/>
  <c r="N11" i="2"/>
  <c r="H11" i="2"/>
  <c r="E11" i="2"/>
  <c r="K11" i="2"/>
  <c r="X11" i="2"/>
  <c r="Z11" i="2"/>
  <c r="X10" i="2"/>
  <c r="Z10" i="2"/>
  <c r="X8" i="2"/>
  <c r="Z8" i="2"/>
  <c r="X9" i="2"/>
  <c r="Z9" i="2"/>
  <c r="X29" i="2"/>
  <c r="Z29" i="2"/>
  <c r="C31" i="2"/>
  <c r="AC30" i="13"/>
  <c r="AS22" i="13"/>
  <c r="AS23" i="13"/>
  <c r="V8" i="12"/>
  <c r="AD9" i="12"/>
  <c r="V7" i="12"/>
  <c r="AC31" i="13"/>
  <c r="AE31" i="13"/>
  <c r="AH37" i="11"/>
  <c r="C70" i="11"/>
  <c r="C75" i="11"/>
  <c r="C74" i="11"/>
  <c r="C73" i="11"/>
  <c r="C72" i="11"/>
  <c r="C71" i="11"/>
  <c r="AG60" i="11"/>
  <c r="AH60" i="11"/>
  <c r="C69" i="11"/>
  <c r="AH35" i="11"/>
  <c r="AG63" i="11"/>
  <c r="BZ22" i="13"/>
  <c r="BX19" i="13"/>
  <c r="C77" i="11"/>
  <c r="AI18" i="11"/>
  <c r="AI17" i="11"/>
  <c r="AF65" i="11"/>
  <c r="AI19" i="11"/>
  <c r="CN34" i="1"/>
  <c r="CM34" i="1"/>
  <c r="CN35" i="1"/>
  <c r="CK36" i="1"/>
  <c r="CN37" i="1"/>
  <c r="CL38" i="1"/>
  <c r="CM39" i="1"/>
  <c r="CK39" i="1"/>
  <c r="AS54" i="1"/>
  <c r="BZ7" i="13"/>
  <c r="BS7" i="13"/>
  <c r="CN36" i="1"/>
  <c r="BS6" i="13"/>
  <c r="F6" i="12"/>
  <c r="R6" i="12"/>
  <c r="R7" i="12"/>
  <c r="N8" i="12"/>
  <c r="N14" i="12"/>
  <c r="AD14" i="12"/>
  <c r="AD15" i="12"/>
  <c r="Z17" i="12"/>
  <c r="J7" i="12"/>
  <c r="Z12" i="12"/>
  <c r="J16" i="12"/>
  <c r="AD13" i="12"/>
  <c r="J17" i="12"/>
  <c r="AD8" i="12"/>
  <c r="R11" i="12"/>
  <c r="BE28" i="13"/>
  <c r="BE29" i="13"/>
  <c r="BS6" i="1"/>
  <c r="BM6" i="1"/>
  <c r="AQ6" i="18"/>
  <c r="AM59" i="18"/>
  <c r="AN59" i="18"/>
  <c r="AI43" i="11"/>
  <c r="BT6" i="1"/>
  <c r="AT53" i="1" l="1"/>
  <c r="AT54" i="1"/>
  <c r="AA19" i="1"/>
  <c r="E28" i="1" s="1"/>
  <c r="J12" i="12"/>
  <c r="AD16" i="12"/>
  <c r="BL19" i="1"/>
  <c r="AD12" i="12"/>
  <c r="F9" i="12"/>
  <c r="F16" i="12"/>
  <c r="AI19" i="1"/>
  <c r="E29" i="1" s="1"/>
  <c r="J13" i="12"/>
  <c r="F17" i="12"/>
  <c r="AG33" i="1"/>
  <c r="AF33" i="1"/>
  <c r="F10" i="12"/>
  <c r="V13" i="12"/>
  <c r="AP19" i="1"/>
  <c r="E30" i="1" s="1"/>
  <c r="V10" i="12"/>
  <c r="R9" i="12"/>
  <c r="V17" i="12"/>
  <c r="V9" i="12"/>
  <c r="R10" i="12"/>
  <c r="BS7" i="1"/>
  <c r="BT7" i="1" s="1"/>
  <c r="K19" i="1"/>
  <c r="E26" i="1" s="1"/>
  <c r="AV19" i="1"/>
  <c r="E31" i="1" s="1"/>
  <c r="S19" i="1"/>
  <c r="E27" i="1" s="1"/>
  <c r="E32" i="1"/>
  <c r="BD19" i="1"/>
  <c r="J15" i="12"/>
  <c r="V16" i="12"/>
  <c r="Z8" i="12"/>
  <c r="AD11" i="12"/>
  <c r="R14" i="12"/>
  <c r="J9" i="12"/>
  <c r="N11" i="12"/>
  <c r="Z6" i="12"/>
  <c r="N7" i="12"/>
  <c r="R8" i="12"/>
  <c r="AD10" i="12"/>
  <c r="J14" i="12"/>
  <c r="R15" i="12"/>
  <c r="AD6" i="12"/>
  <c r="V15" i="12"/>
  <c r="BS11" i="13"/>
  <c r="AO59" i="18"/>
  <c r="F15" i="19"/>
  <c r="G71" i="18"/>
  <c r="G70" i="18"/>
  <c r="J15" i="19"/>
  <c r="AP59" i="18"/>
  <c r="AQ29" i="18"/>
  <c r="G68" i="18"/>
  <c r="N15" i="19"/>
  <c r="BY10" i="13"/>
  <c r="BZ10" i="13" s="1"/>
  <c r="BT10" i="1"/>
  <c r="BS8" i="13"/>
  <c r="BR19" i="13"/>
  <c r="BS19" i="13" s="1"/>
  <c r="G65" i="18"/>
  <c r="G66" i="18"/>
  <c r="G67" i="18"/>
  <c r="G69" i="18"/>
  <c r="BZ9" i="13"/>
  <c r="BS9" i="13"/>
  <c r="BM19" i="1" l="1"/>
  <c r="E34" i="1" s="1"/>
  <c r="BS19" i="1"/>
  <c r="BT19" i="1" s="1"/>
  <c r="AI33" i="1"/>
  <c r="AG34" i="1"/>
  <c r="AD15" i="19"/>
  <c r="G73" i="18"/>
  <c r="BY19" i="13"/>
  <c r="BZ19" i="13" s="1"/>
</calcChain>
</file>

<file path=xl/sharedStrings.xml><?xml version="1.0" encoding="utf-8"?>
<sst xmlns="http://schemas.openxmlformats.org/spreadsheetml/2006/main" count="408" uniqueCount="108">
  <si>
    <t>RATIO AFLUENCIA/AFORO</t>
  </si>
  <si>
    <t>P2K</t>
  </si>
  <si>
    <t>PSP</t>
  </si>
  <si>
    <t>PRG</t>
  </si>
  <si>
    <t>PSI</t>
  </si>
  <si>
    <t>CBA</t>
  </si>
  <si>
    <t>PV</t>
  </si>
  <si>
    <t>PLP</t>
  </si>
  <si>
    <t>DIF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</si>
  <si>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</si>
  <si>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</si>
  <si>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</si>
  <si>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</si>
  <si>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</si>
  <si>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</si>
  <si>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</si>
  <si>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</si>
  <si>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</si>
  <si>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</si>
  <si>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</si>
  <si>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</si>
  <si>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 U12M</t>
  </si>
  <si>
    <t>2.98</t>
  </si>
  <si>
    <t>2.99</t>
  </si>
  <si>
    <t>1.21</t>
  </si>
  <si>
    <t>1.22</t>
  </si>
  <si>
    <t>AFLUENCIA PLAZAS</t>
  </si>
  <si>
    <t>FECHA</t>
  </si>
  <si>
    <t>SEM</t>
  </si>
  <si>
    <t>SUMA</t>
  </si>
  <si>
    <t>%Dif</t>
  </si>
  <si>
    <t>%Dif S.A.</t>
  </si>
  <si>
    <t>RESUMEN AFLUENCIA</t>
  </si>
  <si>
    <t>ACUM</t>
  </si>
  <si>
    <t>TTL</t>
  </si>
  <si>
    <t>TOTAL</t>
  </si>
  <si>
    <t>PORTAFOLIO ARCO</t>
  </si>
  <si>
    <t>DIF A.A.</t>
  </si>
  <si>
    <t>DIF vs 19</t>
  </si>
  <si>
    <t>%DIF</t>
  </si>
  <si>
    <t>% DIF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</si>
  <si>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</si>
  <si>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</si>
  <si>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</si>
  <si>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</si>
  <si>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</si>
  <si>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</si>
  <si>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</si>
  <si>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</si>
  <si>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</si>
  <si>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</si>
  <si>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</si>
  <si>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</si>
  <si>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RESUMEN AFLUENCIA 2026</t>
  </si>
  <si>
    <t>MES</t>
  </si>
  <si>
    <t>Dif</t>
  </si>
  <si>
    <t>&lt;</t>
  </si>
  <si>
    <t>CUL</t>
  </si>
  <si>
    <t>AFORO VEHICULAR PLAZAS</t>
  </si>
  <si>
    <t>PC</t>
  </si>
  <si>
    <t>PPA</t>
  </si>
  <si>
    <t>PPB</t>
  </si>
  <si>
    <t>PPE</t>
  </si>
  <si>
    <t>TTL MES</t>
  </si>
  <si>
    <t>U12</t>
  </si>
  <si>
    <t>SUMA:</t>
  </si>
  <si>
    <t>MUNDIAL FIFA 2026</t>
  </si>
  <si>
    <t>Plaza</t>
  </si>
  <si>
    <t>Inauguración MEX-RSA</t>
  </si>
  <si>
    <t>MEX-COR</t>
  </si>
  <si>
    <t>MEX-CHE</t>
  </si>
  <si>
    <t>Jue 11Jun26-12:00 PM</t>
  </si>
  <si>
    <t>Jue 18Jun26-6:00 PM</t>
  </si>
  <si>
    <t>Mie 24Jun26-6:00 PM</t>
  </si>
  <si>
    <t>Mar 30Jun26-6:00 PM</t>
  </si>
  <si>
    <t>dif</t>
  </si>
  <si>
    <t>%Dif Acum</t>
  </si>
  <si>
    <t>DIA DEL PADRE</t>
  </si>
  <si>
    <t>DIA DE LAS MADRES</t>
  </si>
  <si>
    <t>PLAZA</t>
  </si>
  <si>
    <t>DIF 26-25</t>
  </si>
  <si>
    <t>DIF 25-24</t>
  </si>
  <si>
    <t>DIA DEL NIÑO</t>
  </si>
  <si>
    <t>DIF 26 VS 25</t>
  </si>
  <si>
    <t>DIF 25 VS 24</t>
  </si>
  <si>
    <t>BUEN FIN</t>
  </si>
  <si>
    <t>J24</t>
  </si>
  <si>
    <t>J25</t>
  </si>
  <si>
    <t>%</t>
  </si>
  <si>
    <t>V24</t>
  </si>
  <si>
    <t>V25</t>
  </si>
  <si>
    <t>S24</t>
  </si>
  <si>
    <t>S25</t>
  </si>
  <si>
    <t>D24</t>
  </si>
  <si>
    <t>D25</t>
  </si>
  <si>
    <t>L24</t>
  </si>
  <si>
    <t>L25</t>
  </si>
  <si>
    <t>T24</t>
  </si>
  <si>
    <t>T25</t>
  </si>
  <si>
    <t>MEX-ECU</t>
  </si>
  <si>
    <t>MEX-ING</t>
  </si>
  <si>
    <t>Dom 5Jul26-5:00 PM</t>
  </si>
  <si>
    <t>ESP-ARG FINAL</t>
  </si>
  <si>
    <t>Dom 19ul26-12:00 PM</t>
  </si>
  <si>
    <t>EVENTO FUTBOLERO</t>
  </si>
  <si>
    <t>Enero-Junio</t>
  </si>
  <si>
    <t>vs '25</t>
  </si>
  <si>
    <t>vs'24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</si>
</sst>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#,##0_ ;\-#,##0\ "/>
    <numFmt numFmtId="166" formatCode="_-* #,##0_-;\-* #,##0_-;_-* &quot;-&quot;??_-;_-@_-"/>
    <numFmt numFmtId="167" formatCode="_-&quot;$&quot;* #,##0_-;\-&quot;$&quot;* #,##0_-;_-&quot;$&quot;* &quot;-&quot;??_-;_-@_-"/>
  </numFmts>
  <fonts count="33">
    <font>
      <sz val="9"/>
      <color theme="1"/>
      <name val="Montserrat"/>
      <family val="2"/>
    </font>
    <font>
      <sz val="8"/>
      <name val="Montserrat"/>
      <family val="2"/>
    </font>
    <font>
      <sz val="9"/>
      <color theme="1"/>
      <name val="Montserrat"/>
      <family val="2"/>
    </font>
    <font>
      <b/>
      <sz val="9"/>
      <color theme="1"/>
      <name val="Heebo"/>
    </font>
    <font>
      <sz val="9"/>
      <color theme="1"/>
      <name val="Heebo"/>
    </font>
    <font>
      <b/>
      <sz val="9"/>
      <color theme="0"/>
      <name val="Heebo"/>
    </font>
    <font>
      <sz val="9"/>
      <color theme="0"/>
      <name val="Heebo"/>
    </font>
    <font>
      <b/>
      <sz val="12"/>
      <color theme="1"/>
      <name val="Roboto"/>
    </font>
    <font>
      <sz val="12"/>
      <color theme="1"/>
      <name val="Roboto"/>
    </font>
    <font>
      <b/>
      <sz val="12"/>
      <color theme="0"/>
      <name val="Roboto"/>
    </font>
    <font>
      <sz val="12"/>
      <color theme="0"/>
      <name val="Roboto"/>
    </font>
    <font>
      <b/>
      <sz val="10"/>
      <color theme="1"/>
      <name val="Roboto"/>
    </font>
    <font>
      <sz val="10"/>
      <color theme="1"/>
      <name val="Roboto"/>
    </font>
    <font>
      <b/>
      <sz val="10"/>
      <color theme="0"/>
      <name val="Roboto"/>
    </font>
    <font>
      <sz val="10"/>
      <color theme="0"/>
      <name val="Roboto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Barlow Regular"/>
    </font>
    <font>
      <sz val="12"/>
      <color theme="0"/>
      <name val="Barlow Regular"/>
    </font>
    <font>
      <sz val="9"/>
      <color theme="1"/>
      <name val="Barlow Regular"/>
    </font>
    <font>
      <sz val="8"/>
      <color theme="1"/>
      <name val="Barlow Regular"/>
    </font>
    <font>
      <b/>
      <sz val="12"/>
      <color theme="1"/>
      <name val="Barlow Regular"/>
    </font>
    <font>
      <b/>
      <sz val="12"/>
      <color theme="0"/>
      <name val="Barlow Regular"/>
    </font>
    <font>
      <b/>
      <sz val="8"/>
      <color theme="1"/>
      <name val="Barlow Regular"/>
    </font>
    <font>
      <b/>
      <sz val="9"/>
      <color theme="1"/>
      <name val="Barlow Regular"/>
    </font>
    <font>
      <b/>
      <sz val="14"/>
      <color theme="1"/>
      <name val="Barlow Regular"/>
    </font>
    <font>
      <sz val="14"/>
      <color theme="1"/>
      <name val="Barlow Regular"/>
    </font>
    <font>
      <b/>
      <sz val="14"/>
      <color theme="0"/>
      <name val="Barlow Regular"/>
    </font>
    <font>
      <sz val="14"/>
      <color theme="0"/>
      <name val="Barlow Regular"/>
    </font>
    <font>
      <b/>
      <sz val="14"/>
      <color theme="1" tint="0.499984740745262"/>
      <name val="Barlow Regular"/>
    </font>
    <font>
      <sz val="14"/>
      <color rgb="FF000000"/>
      <name val="Barlow Regular"/>
    </font>
    <font>
      <b/>
      <sz val="14"/>
      <color rgb="FF000000"/>
      <name val="Barlow Regular"/>
    </font>
    <font>
      <b/>
      <sz val="14"/>
      <color theme="1"/>
      <name val="Barlow Bold"/>
    </font>
  </fonts>
  <fills count="12">
    <fill>
      <patternFill patternType="none"/>
    </fill>
    <fill>
      <patternFill patternType="gray125"/>
    </fill>
    <fill>
      <patternFill patternType="solid">
        <fgColor rgb="FF7CCAD3"/>
        <bgColor indexed="64"/>
      </patternFill>
    </fill>
    <fill>
      <patternFill patternType="solid">
        <fgColor rgb="FF7EC39E"/>
        <bgColor indexed="64"/>
      </patternFill>
    </fill>
    <fill>
      <patternFill patternType="solid">
        <fgColor rgb="FF4F98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A7C9E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1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7" borderId="6" xfId="1" applyNumberFormat="1" applyFont="1" applyFill="1" applyBorder="1" applyAlignment="1">
      <alignment horizontal="center"/>
    </xf>
    <xf numFmtId="164" fontId="4" fillId="6" borderId="6" xfId="1" applyNumberFormat="1" applyFont="1" applyFill="1" applyBorder="1" applyAlignment="1">
      <alignment horizontal="center"/>
    </xf>
    <xf numFmtId="164" fontId="4" fillId="7" borderId="0" xfId="1" applyNumberFormat="1" applyFont="1" applyFill="1" applyBorder="1" applyAlignment="1">
      <alignment horizontal="center"/>
    </xf>
    <xf numFmtId="164" fontId="4" fillId="6" borderId="0" xfId="1" applyNumberFormat="1" applyFont="1" applyFill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0" xfId="0" applyFont="1"/>
    <xf numFmtId="3" fontId="5" fillId="3" borderId="0" xfId="0" applyNumberFormat="1" applyFont="1" applyFill="1"/>
    <xf numFmtId="0" fontId="5" fillId="2" borderId="0" xfId="0" applyFont="1" applyFill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16" fontId="4" fillId="0" borderId="0" xfId="0" applyNumberFormat="1" applyFont="1"/>
    <xf numFmtId="3" fontId="4" fillId="0" borderId="7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4" fillId="8" borderId="6" xfId="1" applyNumberFormat="1" applyFont="1" applyFill="1" applyBorder="1" applyAlignment="1">
      <alignment horizontal="center"/>
    </xf>
    <xf numFmtId="3" fontId="6" fillId="3" borderId="0" xfId="0" applyNumberFormat="1" applyFont="1" applyFill="1"/>
    <xf numFmtId="3" fontId="5" fillId="4" borderId="0" xfId="0" applyNumberFormat="1" applyFont="1" applyFill="1"/>
    <xf numFmtId="164" fontId="5" fillId="3" borderId="0" xfId="1" applyNumberFormat="1" applyFont="1" applyFill="1" applyAlignment="1">
      <alignment horizontal="center"/>
    </xf>
    <xf numFmtId="3" fontId="4" fillId="0" borderId="15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164" fontId="4" fillId="7" borderId="11" xfId="1" applyNumberFormat="1" applyFont="1" applyFill="1" applyBorder="1" applyAlignment="1">
      <alignment horizontal="center"/>
    </xf>
    <xf numFmtId="3" fontId="4" fillId="5" borderId="11" xfId="0" applyNumberFormat="1" applyFont="1" applyFill="1" applyBorder="1" applyAlignment="1">
      <alignment horizontal="center"/>
    </xf>
    <xf numFmtId="164" fontId="3" fillId="7" borderId="12" xfId="1" applyNumberFormat="1" applyFont="1" applyFill="1" applyBorder="1" applyAlignment="1">
      <alignment horizontal="center"/>
    </xf>
    <xf numFmtId="3" fontId="4" fillId="0" borderId="17" xfId="0" applyNumberFormat="1" applyFont="1" applyBorder="1" applyAlignment="1">
      <alignment horizontal="center"/>
    </xf>
    <xf numFmtId="3" fontId="4" fillId="5" borderId="0" xfId="0" applyNumberFormat="1" applyFont="1" applyFill="1" applyAlignment="1">
      <alignment horizontal="center"/>
    </xf>
    <xf numFmtId="164" fontId="3" fillId="7" borderId="1" xfId="1" applyNumberFormat="1" applyFont="1" applyFill="1" applyBorder="1" applyAlignment="1">
      <alignment horizontal="center"/>
    </xf>
    <xf numFmtId="164" fontId="3" fillId="6" borderId="1" xfId="1" applyNumberFormat="1" applyFont="1" applyFill="1" applyBorder="1" applyAlignment="1">
      <alignment horizontal="center"/>
    </xf>
    <xf numFmtId="3" fontId="4" fillId="0" borderId="18" xfId="0" applyNumberFormat="1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3" fontId="4" fillId="5" borderId="13" xfId="0" applyNumberFormat="1" applyFont="1" applyFill="1" applyBorder="1" applyAlignment="1">
      <alignment horizontal="center"/>
    </xf>
    <xf numFmtId="164" fontId="4" fillId="6" borderId="20" xfId="1" applyNumberFormat="1" applyFont="1" applyFill="1" applyBorder="1" applyAlignment="1">
      <alignment horizontal="center"/>
    </xf>
    <xf numFmtId="3" fontId="4" fillId="0" borderId="16" xfId="0" applyNumberFormat="1" applyFont="1" applyBorder="1" applyAlignment="1">
      <alignment horizontal="center"/>
    </xf>
    <xf numFmtId="164" fontId="4" fillId="7" borderId="20" xfId="1" applyNumberFormat="1" applyFont="1" applyFill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164" fontId="4" fillId="7" borderId="21" xfId="1" applyNumberFormat="1" applyFont="1" applyFill="1" applyBorder="1" applyAlignment="1">
      <alignment horizontal="center"/>
    </xf>
    <xf numFmtId="3" fontId="4" fillId="0" borderId="19" xfId="0" applyNumberFormat="1" applyFont="1" applyBorder="1" applyAlignment="1">
      <alignment horizontal="center"/>
    </xf>
    <xf numFmtId="164" fontId="4" fillId="6" borderId="21" xfId="1" applyNumberFormat="1" applyFont="1" applyFill="1" applyBorder="1" applyAlignment="1">
      <alignment horizontal="center"/>
    </xf>
    <xf numFmtId="164" fontId="4" fillId="6" borderId="13" xfId="1" applyNumberFormat="1" applyFont="1" applyFill="1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3" fontId="3" fillId="5" borderId="12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3" fontId="3" fillId="5" borderId="14" xfId="0" applyNumberFormat="1" applyFont="1" applyFill="1" applyBorder="1" applyAlignment="1">
      <alignment horizontal="center"/>
    </xf>
    <xf numFmtId="164" fontId="3" fillId="7" borderId="14" xfId="1" applyNumberFormat="1" applyFont="1" applyFill="1" applyBorder="1" applyAlignment="1">
      <alignment horizontal="center"/>
    </xf>
    <xf numFmtId="3" fontId="4" fillId="0" borderId="22" xfId="0" applyNumberFormat="1" applyFont="1" applyBorder="1" applyAlignment="1">
      <alignment horizontal="center"/>
    </xf>
    <xf numFmtId="3" fontId="4" fillId="0" borderId="23" xfId="0" applyNumberFormat="1" applyFont="1" applyBorder="1" applyAlignment="1">
      <alignment horizontal="center"/>
    </xf>
    <xf numFmtId="3" fontId="4" fillId="0" borderId="24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164" fontId="4" fillId="7" borderId="4" xfId="1" applyNumberFormat="1" applyFont="1" applyFill="1" applyBorder="1" applyAlignment="1">
      <alignment horizontal="center"/>
    </xf>
    <xf numFmtId="10" fontId="4" fillId="0" borderId="0" xfId="1" applyNumberFormat="1" applyFont="1" applyFill="1" applyBorder="1" applyAlignment="1">
      <alignment horizontal="center"/>
    </xf>
    <xf numFmtId="10" fontId="5" fillId="3" borderId="0" xfId="1" applyNumberFormat="1" applyFont="1" applyFill="1" applyBorder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164" fontId="4" fillId="7" borderId="13" xfId="1" applyNumberFormat="1" applyFont="1" applyFill="1" applyBorder="1" applyAlignment="1">
      <alignment horizontal="center"/>
    </xf>
    <xf numFmtId="3" fontId="4" fillId="0" borderId="25" xfId="0" applyNumberFormat="1" applyFont="1" applyBorder="1" applyAlignment="1">
      <alignment horizontal="center"/>
    </xf>
    <xf numFmtId="10" fontId="4" fillId="7" borderId="6" xfId="1" applyNumberFormat="1" applyFont="1" applyFill="1" applyBorder="1" applyAlignment="1">
      <alignment horizontal="center"/>
    </xf>
    <xf numFmtId="3" fontId="4" fillId="0" borderId="26" xfId="0" applyNumberFormat="1" applyFont="1" applyBorder="1" applyAlignment="1">
      <alignment horizontal="center"/>
    </xf>
    <xf numFmtId="10" fontId="4" fillId="7" borderId="9" xfId="1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8" fillId="0" borderId="0" xfId="0" applyNumberFormat="1" applyFont="1"/>
    <xf numFmtId="3" fontId="8" fillId="0" borderId="8" xfId="0" applyNumberFormat="1" applyFont="1" applyBorder="1" applyAlignment="1">
      <alignment horizontal="center"/>
    </xf>
    <xf numFmtId="3" fontId="7" fillId="0" borderId="8" xfId="0" applyNumberFormat="1" applyFont="1" applyBorder="1" applyAlignment="1">
      <alignment horizontal="center"/>
    </xf>
    <xf numFmtId="0" fontId="10" fillId="0" borderId="0" xfId="0" applyFont="1"/>
    <xf numFmtId="164" fontId="8" fillId="0" borderId="0" xfId="1" applyNumberFormat="1" applyFont="1"/>
    <xf numFmtId="3" fontId="8" fillId="5" borderId="0" xfId="1" applyNumberFormat="1" applyFont="1" applyFill="1" applyBorder="1" applyAlignment="1">
      <alignment horizontal="center"/>
    </xf>
    <xf numFmtId="3" fontId="8" fillId="5" borderId="8" xfId="1" applyNumberFormat="1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2" fillId="3" borderId="0" xfId="0" applyFont="1" applyFill="1"/>
    <xf numFmtId="0" fontId="13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16" fontId="12" fillId="0" borderId="2" xfId="0" applyNumberFormat="1" applyFont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3" fontId="11" fillId="5" borderId="2" xfId="0" applyNumberFormat="1" applyFont="1" applyFill="1" applyBorder="1" applyAlignment="1">
      <alignment horizontal="center"/>
    </xf>
    <xf numFmtId="3" fontId="11" fillId="5" borderId="3" xfId="0" applyNumberFormat="1" applyFont="1" applyFill="1" applyBorder="1" applyAlignment="1">
      <alignment horizontal="center"/>
    </xf>
    <xf numFmtId="16" fontId="12" fillId="0" borderId="5" xfId="0" applyNumberFormat="1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3" fontId="12" fillId="0" borderId="5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3" fontId="11" fillId="5" borderId="5" xfId="0" applyNumberFormat="1" applyFont="1" applyFill="1" applyBorder="1" applyAlignment="1">
      <alignment horizontal="center"/>
    </xf>
    <xf numFmtId="3" fontId="11" fillId="5" borderId="0" xfId="0" applyNumberFormat="1" applyFont="1" applyFill="1" applyAlignment="1">
      <alignment horizontal="center"/>
    </xf>
    <xf numFmtId="3" fontId="12" fillId="5" borderId="5" xfId="0" applyNumberFormat="1" applyFont="1" applyFill="1" applyBorder="1" applyAlignment="1">
      <alignment horizontal="center"/>
    </xf>
    <xf numFmtId="3" fontId="12" fillId="5" borderId="0" xfId="0" applyNumberFormat="1" applyFont="1" applyFill="1" applyAlignment="1">
      <alignment horizontal="center"/>
    </xf>
    <xf numFmtId="16" fontId="12" fillId="0" borderId="10" xfId="0" applyNumberFormat="1" applyFont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3" fontId="13" fillId="3" borderId="0" xfId="0" applyNumberFormat="1" applyFont="1" applyFill="1"/>
    <xf numFmtId="0" fontId="14" fillId="0" borderId="0" xfId="0" applyFont="1"/>
    <xf numFmtId="3" fontId="13" fillId="4" borderId="0" xfId="0" applyNumberFormat="1" applyFont="1" applyFill="1"/>
    <xf numFmtId="3" fontId="12" fillId="0" borderId="0" xfId="0" applyNumberFormat="1" applyFont="1"/>
    <xf numFmtId="3" fontId="12" fillId="0" borderId="2" xfId="0" applyNumberFormat="1" applyFont="1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164" fontId="12" fillId="0" borderId="3" xfId="1" applyNumberFormat="1" applyFont="1" applyFill="1" applyBorder="1" applyAlignment="1">
      <alignment horizontal="right"/>
    </xf>
    <xf numFmtId="164" fontId="12" fillId="0" borderId="0" xfId="1" applyNumberFormat="1" applyFont="1" applyFill="1" applyBorder="1" applyAlignment="1">
      <alignment horizontal="right"/>
    </xf>
    <xf numFmtId="164" fontId="12" fillId="0" borderId="0" xfId="1" applyNumberFormat="1" applyFont="1" applyFill="1" applyAlignment="1">
      <alignment horizontal="right"/>
    </xf>
    <xf numFmtId="164" fontId="12" fillId="0" borderId="8" xfId="1" applyNumberFormat="1" applyFont="1" applyFill="1" applyBorder="1" applyAlignment="1">
      <alignment horizontal="right"/>
    </xf>
    <xf numFmtId="164" fontId="12" fillId="0" borderId="4" xfId="1" applyNumberFormat="1" applyFont="1" applyFill="1" applyBorder="1" applyAlignment="1">
      <alignment horizontal="right"/>
    </xf>
    <xf numFmtId="164" fontId="12" fillId="0" borderId="6" xfId="1" applyNumberFormat="1" applyFont="1" applyFill="1" applyBorder="1" applyAlignment="1">
      <alignment horizontal="right"/>
    </xf>
    <xf numFmtId="164" fontId="12" fillId="0" borderId="9" xfId="1" applyNumberFormat="1" applyFont="1" applyFill="1" applyBorder="1" applyAlignment="1">
      <alignment horizontal="right"/>
    </xf>
    <xf numFmtId="10" fontId="12" fillId="0" borderId="8" xfId="1" applyNumberFormat="1" applyFont="1" applyFill="1" applyBorder="1" applyAlignment="1">
      <alignment horizontal="right"/>
    </xf>
    <xf numFmtId="164" fontId="11" fillId="0" borderId="4" xfId="1" applyNumberFormat="1" applyFont="1" applyFill="1" applyBorder="1" applyAlignment="1">
      <alignment horizontal="right"/>
    </xf>
    <xf numFmtId="164" fontId="11" fillId="0" borderId="6" xfId="1" applyNumberFormat="1" applyFont="1" applyFill="1" applyBorder="1" applyAlignment="1">
      <alignment horizontal="right"/>
    </xf>
    <xf numFmtId="164" fontId="11" fillId="0" borderId="9" xfId="1" applyNumberFormat="1" applyFont="1" applyFill="1" applyBorder="1" applyAlignment="1">
      <alignment horizontal="right"/>
    </xf>
    <xf numFmtId="164" fontId="12" fillId="5" borderId="0" xfId="1" applyNumberFormat="1" applyFont="1" applyFill="1" applyBorder="1" applyAlignment="1">
      <alignment horizontal="right"/>
    </xf>
    <xf numFmtId="164" fontId="12" fillId="5" borderId="6" xfId="1" applyNumberFormat="1" applyFont="1" applyFill="1" applyBorder="1" applyAlignment="1">
      <alignment horizontal="right"/>
    </xf>
    <xf numFmtId="164" fontId="13" fillId="3" borderId="0" xfId="1" applyNumberFormat="1" applyFont="1" applyFill="1" applyBorder="1" applyAlignment="1">
      <alignment horizontal="right"/>
    </xf>
    <xf numFmtId="3" fontId="11" fillId="5" borderId="10" xfId="0" applyNumberFormat="1" applyFont="1" applyFill="1" applyBorder="1" applyAlignment="1">
      <alignment horizontal="center"/>
    </xf>
    <xf numFmtId="3" fontId="11" fillId="5" borderId="8" xfId="0" applyNumberFormat="1" applyFont="1" applyFill="1" applyBorder="1" applyAlignment="1">
      <alignment horizontal="center"/>
    </xf>
    <xf numFmtId="3" fontId="8" fillId="5" borderId="0" xfId="0" applyNumberFormat="1" applyFont="1" applyFill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5" xfId="0" applyFont="1" applyBorder="1" applyAlignment="1">
      <alignment horizontal="center"/>
    </xf>
    <xf numFmtId="164" fontId="8" fillId="0" borderId="0" xfId="1" applyNumberFormat="1" applyFont="1" applyAlignment="1">
      <alignment horizontal="right"/>
    </xf>
    <xf numFmtId="0" fontId="9" fillId="2" borderId="10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3" fontId="8" fillId="5" borderId="5" xfId="0" applyNumberFormat="1" applyFont="1" applyFill="1" applyBorder="1" applyAlignment="1">
      <alignment horizontal="center"/>
    </xf>
    <xf numFmtId="164" fontId="8" fillId="5" borderId="6" xfId="1" applyNumberFormat="1" applyFont="1" applyFill="1" applyBorder="1" applyAlignment="1">
      <alignment horizontal="right"/>
    </xf>
    <xf numFmtId="3" fontId="8" fillId="0" borderId="10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center"/>
    </xf>
    <xf numFmtId="3" fontId="7" fillId="0" borderId="3" xfId="1" applyNumberFormat="1" applyFont="1" applyBorder="1" applyAlignment="1">
      <alignment horizontal="center"/>
    </xf>
    <xf numFmtId="3" fontId="7" fillId="0" borderId="0" xfId="1" applyNumberFormat="1" applyFont="1" applyBorder="1" applyAlignment="1">
      <alignment horizontal="center"/>
    </xf>
    <xf numFmtId="3" fontId="7" fillId="0" borderId="8" xfId="1" applyNumberFormat="1" applyFont="1" applyBorder="1" applyAlignment="1">
      <alignment horizontal="center"/>
    </xf>
    <xf numFmtId="3" fontId="8" fillId="5" borderId="2" xfId="1" applyNumberFormat="1" applyFont="1" applyFill="1" applyBorder="1" applyAlignment="1">
      <alignment horizontal="center"/>
    </xf>
    <xf numFmtId="3" fontId="8" fillId="5" borderId="3" xfId="1" applyNumberFormat="1" applyFont="1" applyFill="1" applyBorder="1" applyAlignment="1">
      <alignment horizontal="center"/>
    </xf>
    <xf numFmtId="3" fontId="7" fillId="5" borderId="3" xfId="1" applyNumberFormat="1" applyFont="1" applyFill="1" applyBorder="1" applyAlignment="1">
      <alignment horizontal="center"/>
    </xf>
    <xf numFmtId="3" fontId="8" fillId="5" borderId="5" xfId="1" applyNumberFormat="1" applyFont="1" applyFill="1" applyBorder="1" applyAlignment="1">
      <alignment horizontal="center"/>
    </xf>
    <xf numFmtId="3" fontId="7" fillId="5" borderId="0" xfId="1" applyNumberFormat="1" applyFont="1" applyFill="1" applyBorder="1" applyAlignment="1">
      <alignment horizontal="center"/>
    </xf>
    <xf numFmtId="3" fontId="8" fillId="5" borderId="10" xfId="1" applyNumberFormat="1" applyFont="1" applyFill="1" applyBorder="1" applyAlignment="1">
      <alignment horizontal="center"/>
    </xf>
    <xf numFmtId="3" fontId="7" fillId="5" borderId="8" xfId="1" applyNumberFormat="1" applyFont="1" applyFill="1" applyBorder="1" applyAlignment="1">
      <alignment horizontal="center"/>
    </xf>
    <xf numFmtId="16" fontId="8" fillId="0" borderId="27" xfId="0" applyNumberFormat="1" applyFont="1" applyBorder="1" applyAlignment="1">
      <alignment horizontal="center"/>
    </xf>
    <xf numFmtId="16" fontId="8" fillId="0" borderId="29" xfId="0" applyNumberFormat="1" applyFont="1" applyBorder="1" applyAlignment="1">
      <alignment horizontal="center"/>
    </xf>
    <xf numFmtId="16" fontId="8" fillId="0" borderId="28" xfId="0" applyNumberFormat="1" applyFont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1" applyNumberFormat="1" applyFont="1" applyBorder="1" applyAlignment="1">
      <alignment horizontal="right"/>
    </xf>
    <xf numFmtId="0" fontId="7" fillId="0" borderId="6" xfId="0" applyFont="1" applyBorder="1" applyAlignment="1">
      <alignment horizontal="center"/>
    </xf>
    <xf numFmtId="165" fontId="7" fillId="0" borderId="3" xfId="2" applyNumberFormat="1" applyFont="1" applyBorder="1" applyAlignment="1">
      <alignment horizontal="center"/>
    </xf>
    <xf numFmtId="165" fontId="7" fillId="0" borderId="0" xfId="2" applyNumberFormat="1" applyFont="1" applyBorder="1" applyAlignment="1">
      <alignment horizontal="center"/>
    </xf>
    <xf numFmtId="165" fontId="7" fillId="0" borderId="8" xfId="2" applyNumberFormat="1" applyFont="1" applyBorder="1" applyAlignment="1">
      <alignment horizontal="center"/>
    </xf>
    <xf numFmtId="164" fontId="8" fillId="5" borderId="4" xfId="1" applyNumberFormat="1" applyFont="1" applyFill="1" applyBorder="1" applyAlignment="1">
      <alignment horizontal="right"/>
    </xf>
    <xf numFmtId="164" fontId="8" fillId="0" borderId="3" xfId="1" applyNumberFormat="1" applyFont="1" applyBorder="1" applyAlignment="1">
      <alignment horizontal="right"/>
    </xf>
    <xf numFmtId="164" fontId="8" fillId="0" borderId="4" xfId="1" applyNumberFormat="1" applyFont="1" applyBorder="1" applyAlignment="1">
      <alignment horizontal="right"/>
    </xf>
    <xf numFmtId="164" fontId="8" fillId="0" borderId="6" xfId="1" applyNumberFormat="1" applyFont="1" applyBorder="1" applyAlignment="1">
      <alignment horizontal="right"/>
    </xf>
    <xf numFmtId="0" fontId="7" fillId="0" borderId="31" xfId="0" applyFont="1" applyBorder="1"/>
    <xf numFmtId="3" fontId="7" fillId="0" borderId="31" xfId="0" applyNumberFormat="1" applyFont="1" applyBorder="1" applyAlignment="1">
      <alignment horizontal="center"/>
    </xf>
    <xf numFmtId="164" fontId="7" fillId="0" borderId="31" xfId="1" applyNumberFormat="1" applyFont="1" applyFill="1" applyBorder="1"/>
    <xf numFmtId="164" fontId="7" fillId="0" borderId="31" xfId="1" applyNumberFormat="1" applyFont="1" applyFill="1" applyBorder="1" applyAlignment="1">
      <alignment horizontal="right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6" xfId="0" applyFont="1" applyBorder="1"/>
    <xf numFmtId="0" fontId="7" fillId="0" borderId="39" xfId="0" applyFont="1" applyBorder="1"/>
    <xf numFmtId="2" fontId="8" fillId="0" borderId="2" xfId="0" applyNumberFormat="1" applyFont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10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164" fontId="8" fillId="0" borderId="9" xfId="1" applyNumberFormat="1" applyFont="1" applyBorder="1" applyAlignment="1">
      <alignment horizontal="right"/>
    </xf>
    <xf numFmtId="3" fontId="7" fillId="0" borderId="0" xfId="1" applyNumberFormat="1" applyFont="1" applyFill="1" applyBorder="1" applyAlignment="1">
      <alignment horizontal="center"/>
    </xf>
    <xf numFmtId="164" fontId="8" fillId="0" borderId="0" xfId="0" applyNumberFormat="1" applyFont="1"/>
    <xf numFmtId="2" fontId="7" fillId="0" borderId="0" xfId="0" applyNumberFormat="1" applyFont="1" applyAlignment="1">
      <alignment horizontal="center"/>
    </xf>
    <xf numFmtId="164" fontId="7" fillId="0" borderId="0" xfId="1" applyNumberFormat="1" applyFont="1" applyAlignment="1">
      <alignment horizontal="center" vertical="center"/>
    </xf>
    <xf numFmtId="0" fontId="7" fillId="0" borderId="31" xfId="0" applyFont="1" applyBorder="1" applyAlignment="1">
      <alignment horizontal="center"/>
    </xf>
    <xf numFmtId="16" fontId="8" fillId="0" borderId="31" xfId="0" applyNumberFormat="1" applyFont="1" applyBorder="1" applyAlignment="1">
      <alignment horizontal="center"/>
    </xf>
    <xf numFmtId="164" fontId="7" fillId="0" borderId="31" xfId="0" applyNumberFormat="1" applyFont="1" applyBorder="1"/>
    <xf numFmtId="0" fontId="7" fillId="0" borderId="11" xfId="0" applyFont="1" applyBorder="1"/>
    <xf numFmtId="164" fontId="8" fillId="0" borderId="11" xfId="0" applyNumberFormat="1" applyFont="1" applyBorder="1"/>
    <xf numFmtId="0" fontId="7" fillId="0" borderId="8" xfId="0" applyFont="1" applyBorder="1"/>
    <xf numFmtId="164" fontId="8" fillId="0" borderId="8" xfId="0" applyNumberFormat="1" applyFont="1" applyBorder="1"/>
    <xf numFmtId="3" fontId="7" fillId="10" borderId="0" xfId="1" applyNumberFormat="1" applyFont="1" applyFill="1" applyBorder="1" applyAlignment="1">
      <alignment horizontal="center"/>
    </xf>
    <xf numFmtId="166" fontId="8" fillId="0" borderId="0" xfId="2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42" xfId="0" applyFont="1" applyBorder="1"/>
    <xf numFmtId="0" fontId="16" fillId="0" borderId="43" xfId="0" applyFont="1" applyBorder="1"/>
    <xf numFmtId="9" fontId="15" fillId="0" borderId="42" xfId="0" applyNumberFormat="1" applyFont="1" applyBorder="1" applyAlignment="1">
      <alignment horizontal="center"/>
    </xf>
    <xf numFmtId="9" fontId="15" fillId="0" borderId="0" xfId="0" applyNumberFormat="1" applyFont="1" applyAlignment="1">
      <alignment horizontal="center"/>
    </xf>
    <xf numFmtId="9" fontId="15" fillId="0" borderId="43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5" fillId="0" borderId="43" xfId="0" applyNumberFormat="1" applyFont="1" applyBorder="1" applyAlignment="1">
      <alignment horizontal="center"/>
    </xf>
    <xf numFmtId="166" fontId="15" fillId="0" borderId="42" xfId="0" applyNumberFormat="1" applyFont="1" applyBorder="1"/>
    <xf numFmtId="166" fontId="15" fillId="0" borderId="0" xfId="0" applyNumberFormat="1" applyFont="1"/>
    <xf numFmtId="166" fontId="15" fillId="0" borderId="43" xfId="0" applyNumberFormat="1" applyFont="1" applyBorder="1"/>
    <xf numFmtId="166" fontId="16" fillId="0" borderId="0" xfId="0" applyNumberFormat="1" applyFont="1"/>
    <xf numFmtId="164" fontId="16" fillId="0" borderId="0" xfId="0" applyNumberFormat="1" applyFont="1" applyAlignment="1">
      <alignment horizontal="center"/>
    </xf>
    <xf numFmtId="166" fontId="16" fillId="0" borderId="42" xfId="0" applyNumberFormat="1" applyFont="1" applyBorder="1"/>
    <xf numFmtId="166" fontId="16" fillId="0" borderId="43" xfId="0" applyNumberFormat="1" applyFont="1" applyBorder="1"/>
    <xf numFmtId="0" fontId="16" fillId="0" borderId="0" xfId="0" applyFont="1" applyAlignment="1">
      <alignment horizontal="right"/>
    </xf>
    <xf numFmtId="164" fontId="16" fillId="0" borderId="42" xfId="0" applyNumberFormat="1" applyFont="1" applyBorder="1" applyAlignment="1">
      <alignment horizontal="center"/>
    </xf>
    <xf numFmtId="164" fontId="16" fillId="0" borderId="43" xfId="0" applyNumberFormat="1" applyFont="1" applyBorder="1" applyAlignment="1">
      <alignment horizontal="center"/>
    </xf>
    <xf numFmtId="164" fontId="8" fillId="0" borderId="8" xfId="1" applyNumberFormat="1" applyFont="1" applyBorder="1" applyAlignment="1">
      <alignment horizontal="right"/>
    </xf>
    <xf numFmtId="164" fontId="8" fillId="5" borderId="9" xfId="1" applyNumberFormat="1" applyFont="1" applyFill="1" applyBorder="1" applyAlignment="1">
      <alignment horizontal="right"/>
    </xf>
    <xf numFmtId="0" fontId="7" fillId="0" borderId="55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7" fillId="0" borderId="41" xfId="0" applyFont="1" applyBorder="1"/>
    <xf numFmtId="0" fontId="7" fillId="0" borderId="41" xfId="0" applyFont="1" applyBorder="1" applyAlignment="1">
      <alignment horizontal="center"/>
    </xf>
    <xf numFmtId="0" fontId="7" fillId="0" borderId="42" xfId="0" applyFont="1" applyBorder="1"/>
    <xf numFmtId="3" fontId="7" fillId="0" borderId="42" xfId="0" applyNumberFormat="1" applyFont="1" applyBorder="1" applyAlignment="1">
      <alignment horizontal="center"/>
    </xf>
    <xf numFmtId="3" fontId="8" fillId="0" borderId="42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center"/>
    </xf>
    <xf numFmtId="164" fontId="8" fillId="0" borderId="42" xfId="1" applyNumberFormat="1" applyFont="1" applyBorder="1" applyAlignment="1">
      <alignment horizontal="center"/>
    </xf>
    <xf numFmtId="164" fontId="8" fillId="0" borderId="0" xfId="1" applyNumberFormat="1" applyFont="1" applyBorder="1" applyAlignment="1">
      <alignment horizontal="center"/>
    </xf>
    <xf numFmtId="0" fontId="7" fillId="0" borderId="43" xfId="0" applyFont="1" applyBorder="1"/>
    <xf numFmtId="3" fontId="7" fillId="0" borderId="43" xfId="0" applyNumberFormat="1" applyFont="1" applyBorder="1" applyAlignment="1">
      <alignment horizontal="center"/>
    </xf>
    <xf numFmtId="3" fontId="8" fillId="0" borderId="43" xfId="0" applyNumberFormat="1" applyFont="1" applyBorder="1" applyAlignment="1">
      <alignment horizontal="center"/>
    </xf>
    <xf numFmtId="164" fontId="8" fillId="0" borderId="43" xfId="0" applyNumberFormat="1" applyFont="1" applyBorder="1" applyAlignment="1">
      <alignment horizontal="center"/>
    </xf>
    <xf numFmtId="164" fontId="8" fillId="0" borderId="43" xfId="1" applyNumberFormat="1" applyFont="1" applyBorder="1" applyAlignment="1">
      <alignment horizontal="center"/>
    </xf>
    <xf numFmtId="3" fontId="7" fillId="0" borderId="41" xfId="0" applyNumberFormat="1" applyFont="1" applyBorder="1" applyAlignment="1">
      <alignment horizontal="center"/>
    </xf>
    <xf numFmtId="164" fontId="8" fillId="0" borderId="41" xfId="0" applyNumberFormat="1" applyFont="1" applyBorder="1" applyAlignment="1">
      <alignment horizontal="center"/>
    </xf>
    <xf numFmtId="164" fontId="7" fillId="0" borderId="41" xfId="1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42" xfId="0" applyNumberFormat="1" applyFont="1" applyBorder="1" applyAlignment="1">
      <alignment horizontal="center"/>
    </xf>
    <xf numFmtId="164" fontId="7" fillId="0" borderId="43" xfId="0" applyNumberFormat="1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5" xfId="0" applyFont="1" applyBorder="1"/>
    <xf numFmtId="0" fontId="17" fillId="0" borderId="6" xfId="0" applyFont="1" applyBorder="1"/>
    <xf numFmtId="3" fontId="17" fillId="0" borderId="2" xfId="0" applyNumberFormat="1" applyFont="1" applyBorder="1" applyAlignment="1">
      <alignment horizontal="center"/>
    </xf>
    <xf numFmtId="3" fontId="17" fillId="0" borderId="3" xfId="0" applyNumberFormat="1" applyFont="1" applyBorder="1" applyAlignment="1">
      <alignment horizontal="center"/>
    </xf>
    <xf numFmtId="164" fontId="17" fillId="0" borderId="4" xfId="1" applyNumberFormat="1" applyFont="1" applyFill="1" applyBorder="1" applyAlignment="1">
      <alignment horizontal="right"/>
    </xf>
    <xf numFmtId="164" fontId="17" fillId="0" borderId="3" xfId="1" applyNumberFormat="1" applyFont="1" applyFill="1" applyBorder="1" applyAlignment="1">
      <alignment horizontal="right"/>
    </xf>
    <xf numFmtId="3" fontId="17" fillId="0" borderId="0" xfId="0" applyNumberFormat="1" applyFont="1" applyAlignment="1">
      <alignment horizontal="center"/>
    </xf>
    <xf numFmtId="164" fontId="17" fillId="0" borderId="0" xfId="1" applyNumberFormat="1" applyFont="1" applyFill="1" applyBorder="1" applyAlignment="1">
      <alignment horizontal="right"/>
    </xf>
    <xf numFmtId="3" fontId="17" fillId="0" borderId="2" xfId="1" applyNumberFormat="1" applyFont="1" applyFill="1" applyBorder="1" applyAlignment="1">
      <alignment horizontal="center"/>
    </xf>
    <xf numFmtId="3" fontId="17" fillId="0" borderId="3" xfId="1" applyNumberFormat="1" applyFont="1" applyFill="1" applyBorder="1" applyAlignment="1">
      <alignment horizontal="center"/>
    </xf>
    <xf numFmtId="3" fontId="17" fillId="0" borderId="5" xfId="1" applyNumberFormat="1" applyFont="1" applyFill="1" applyBorder="1" applyAlignment="1">
      <alignment horizontal="center"/>
    </xf>
    <xf numFmtId="3" fontId="17" fillId="0" borderId="0" xfId="1" applyNumberFormat="1" applyFont="1" applyFill="1" applyBorder="1" applyAlignment="1">
      <alignment horizontal="center"/>
    </xf>
    <xf numFmtId="164" fontId="17" fillId="7" borderId="0" xfId="1" applyNumberFormat="1" applyFont="1" applyFill="1" applyBorder="1" applyAlignment="1">
      <alignment horizontal="center"/>
    </xf>
    <xf numFmtId="3" fontId="17" fillId="5" borderId="44" xfId="1" applyNumberFormat="1" applyFont="1" applyFill="1" applyBorder="1" applyAlignment="1">
      <alignment horizontal="center"/>
    </xf>
    <xf numFmtId="3" fontId="17" fillId="5" borderId="45" xfId="0" applyNumberFormat="1" applyFont="1" applyFill="1" applyBorder="1" applyAlignment="1">
      <alignment horizontal="center"/>
    </xf>
    <xf numFmtId="3" fontId="17" fillId="5" borderId="45" xfId="1" applyNumberFormat="1" applyFont="1" applyFill="1" applyBorder="1" applyAlignment="1">
      <alignment horizontal="center"/>
    </xf>
    <xf numFmtId="164" fontId="17" fillId="5" borderId="46" xfId="1" applyNumberFormat="1" applyFont="1" applyFill="1" applyBorder="1" applyAlignment="1">
      <alignment horizontal="right"/>
    </xf>
    <xf numFmtId="3" fontId="17" fillId="0" borderId="5" xfId="0" applyNumberFormat="1" applyFont="1" applyBorder="1" applyAlignment="1">
      <alignment horizontal="center"/>
    </xf>
    <xf numFmtId="164" fontId="17" fillId="0" borderId="6" xfId="1" applyNumberFormat="1" applyFont="1" applyFill="1" applyBorder="1" applyAlignment="1">
      <alignment horizontal="right"/>
    </xf>
    <xf numFmtId="164" fontId="17" fillId="0" borderId="0" xfId="1" applyNumberFormat="1" applyFont="1" applyFill="1" applyBorder="1" applyAlignment="1">
      <alignment horizontal="center"/>
    </xf>
    <xf numFmtId="3" fontId="17" fillId="5" borderId="47" xfId="1" applyNumberFormat="1" applyFont="1" applyFill="1" applyBorder="1" applyAlignment="1">
      <alignment horizontal="center"/>
    </xf>
    <xf numFmtId="3" fontId="17" fillId="5" borderId="0" xfId="0" applyNumberFormat="1" applyFont="1" applyFill="1" applyAlignment="1">
      <alignment horizontal="center"/>
    </xf>
    <xf numFmtId="3" fontId="17" fillId="5" borderId="0" xfId="1" applyNumberFormat="1" applyFont="1" applyFill="1" applyBorder="1" applyAlignment="1">
      <alignment horizontal="center"/>
    </xf>
    <xf numFmtId="164" fontId="17" fillId="5" borderId="48" xfId="1" applyNumberFormat="1" applyFont="1" applyFill="1" applyBorder="1" applyAlignment="1">
      <alignment horizontal="right"/>
    </xf>
    <xf numFmtId="3" fontId="17" fillId="0" borderId="0" xfId="0" applyNumberFormat="1" applyFont="1"/>
    <xf numFmtId="3" fontId="17" fillId="0" borderId="5" xfId="1" applyNumberFormat="1" applyFont="1" applyBorder="1" applyAlignment="1">
      <alignment horizontal="center"/>
    </xf>
    <xf numFmtId="3" fontId="17" fillId="0" borderId="0" xfId="1" applyNumberFormat="1" applyFont="1" applyBorder="1" applyAlignment="1">
      <alignment horizontal="center"/>
    </xf>
    <xf numFmtId="3" fontId="17" fillId="0" borderId="10" xfId="0" applyNumberFormat="1" applyFont="1" applyBorder="1" applyAlignment="1">
      <alignment horizontal="center"/>
    </xf>
    <xf numFmtId="3" fontId="17" fillId="0" borderId="8" xfId="0" applyNumberFormat="1" applyFont="1" applyBorder="1" applyAlignment="1">
      <alignment horizontal="center"/>
    </xf>
    <xf numFmtId="164" fontId="17" fillId="0" borderId="8" xfId="1" applyNumberFormat="1" applyFont="1" applyFill="1" applyBorder="1" applyAlignment="1">
      <alignment horizontal="right"/>
    </xf>
    <xf numFmtId="3" fontId="17" fillId="0" borderId="10" xfId="1" applyNumberFormat="1" applyFont="1" applyBorder="1" applyAlignment="1">
      <alignment horizontal="center"/>
    </xf>
    <xf numFmtId="3" fontId="17" fillId="0" borderId="8" xfId="1" applyNumberFormat="1" applyFont="1" applyBorder="1" applyAlignment="1">
      <alignment horizontal="center"/>
    </xf>
    <xf numFmtId="164" fontId="17" fillId="0" borderId="9" xfId="1" applyNumberFormat="1" applyFont="1" applyFill="1" applyBorder="1" applyAlignment="1">
      <alignment horizontal="right"/>
    </xf>
    <xf numFmtId="3" fontId="17" fillId="0" borderId="10" xfId="1" applyNumberFormat="1" applyFont="1" applyFill="1" applyBorder="1" applyAlignment="1">
      <alignment horizontal="center"/>
    </xf>
    <xf numFmtId="3" fontId="17" fillId="0" borderId="8" xfId="1" applyNumberFormat="1" applyFont="1" applyFill="1" applyBorder="1" applyAlignment="1">
      <alignment horizontal="center"/>
    </xf>
    <xf numFmtId="164" fontId="17" fillId="0" borderId="8" xfId="1" applyNumberFormat="1" applyFont="1" applyFill="1" applyBorder="1" applyAlignment="1">
      <alignment horizontal="center"/>
    </xf>
    <xf numFmtId="3" fontId="17" fillId="5" borderId="49" xfId="1" applyNumberFormat="1" applyFont="1" applyFill="1" applyBorder="1" applyAlignment="1">
      <alignment horizontal="center"/>
    </xf>
    <xf numFmtId="3" fontId="17" fillId="5" borderId="43" xfId="0" applyNumberFormat="1" applyFont="1" applyFill="1" applyBorder="1" applyAlignment="1">
      <alignment horizontal="center"/>
    </xf>
    <xf numFmtId="3" fontId="17" fillId="5" borderId="43" xfId="1" applyNumberFormat="1" applyFont="1" applyFill="1" applyBorder="1" applyAlignment="1">
      <alignment horizontal="center"/>
    </xf>
    <xf numFmtId="164" fontId="17" fillId="5" borderId="50" xfId="1" applyNumberFormat="1" applyFont="1" applyFill="1" applyBorder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center"/>
    </xf>
    <xf numFmtId="164" fontId="17" fillId="0" borderId="0" xfId="1" applyNumberFormat="1" applyFont="1" applyFill="1"/>
    <xf numFmtId="164" fontId="19" fillId="9" borderId="39" xfId="1" applyNumberFormat="1" applyFont="1" applyFill="1" applyBorder="1" applyAlignment="1">
      <alignment horizontal="center" vertical="center"/>
    </xf>
    <xf numFmtId="0" fontId="20" fillId="0" borderId="0" xfId="0" applyFont="1"/>
    <xf numFmtId="10" fontId="17" fillId="0" borderId="0" xfId="0" applyNumberFormat="1" applyFont="1"/>
    <xf numFmtId="43" fontId="17" fillId="0" borderId="0" xfId="0" applyNumberFormat="1" applyFont="1"/>
    <xf numFmtId="164" fontId="17" fillId="0" borderId="0" xfId="0" applyNumberFormat="1" applyFont="1"/>
    <xf numFmtId="9" fontId="17" fillId="0" borderId="0" xfId="0" applyNumberFormat="1" applyFont="1"/>
    <xf numFmtId="164" fontId="17" fillId="0" borderId="0" xfId="1" applyNumberFormat="1" applyFont="1"/>
    <xf numFmtId="167" fontId="17" fillId="0" borderId="0" xfId="3" applyNumberFormat="1" applyFont="1"/>
    <xf numFmtId="10" fontId="17" fillId="0" borderId="0" xfId="1" applyNumberFormat="1" applyFont="1" applyAlignment="1">
      <alignment horizontal="center"/>
    </xf>
    <xf numFmtId="0" fontId="17" fillId="0" borderId="0" xfId="2" applyNumberFormat="1" applyFont="1" applyAlignment="1">
      <alignment horizontal="center"/>
    </xf>
    <xf numFmtId="0" fontId="17" fillId="0" borderId="0" xfId="0" applyFont="1" applyAlignment="1">
      <alignment horizontal="right"/>
    </xf>
    <xf numFmtId="1" fontId="17" fillId="0" borderId="0" xfId="0" applyNumberFormat="1" applyFont="1" applyAlignment="1">
      <alignment horizontal="center"/>
    </xf>
    <xf numFmtId="10" fontId="17" fillId="0" borderId="0" xfId="1" applyNumberFormat="1" applyFont="1"/>
    <xf numFmtId="3" fontId="17" fillId="0" borderId="0" xfId="1" applyNumberFormat="1" applyFont="1" applyAlignment="1">
      <alignment horizontal="center"/>
    </xf>
    <xf numFmtId="164" fontId="17" fillId="0" borderId="0" xfId="1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2" borderId="10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56" xfId="0" applyFont="1" applyFill="1" applyBorder="1" applyAlignment="1">
      <alignment horizontal="center"/>
    </xf>
    <xf numFmtId="0" fontId="22" fillId="0" borderId="0" xfId="0" applyFont="1"/>
    <xf numFmtId="0" fontId="21" fillId="0" borderId="31" xfId="0" applyFont="1" applyBorder="1"/>
    <xf numFmtId="3" fontId="21" fillId="0" borderId="31" xfId="0" applyNumberFormat="1" applyFont="1" applyBorder="1" applyAlignment="1">
      <alignment horizontal="center"/>
    </xf>
    <xf numFmtId="164" fontId="21" fillId="0" borderId="31" xfId="1" applyNumberFormat="1" applyFont="1" applyFill="1" applyBorder="1"/>
    <xf numFmtId="3" fontId="21" fillId="0" borderId="31" xfId="0" applyNumberFormat="1" applyFont="1" applyBorder="1"/>
    <xf numFmtId="0" fontId="23" fillId="0" borderId="0" xfId="0" applyFont="1"/>
    <xf numFmtId="164" fontId="24" fillId="9" borderId="39" xfId="1" applyNumberFormat="1" applyFont="1" applyFill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3" fontId="21" fillId="0" borderId="8" xfId="0" applyNumberFormat="1" applyFont="1" applyBorder="1" applyAlignment="1">
      <alignment horizontal="center"/>
    </xf>
    <xf numFmtId="3" fontId="21" fillId="0" borderId="3" xfId="1" applyNumberFormat="1" applyFont="1" applyFill="1" applyBorder="1" applyAlignment="1">
      <alignment horizontal="center"/>
    </xf>
    <xf numFmtId="3" fontId="21" fillId="0" borderId="0" xfId="1" applyNumberFormat="1" applyFont="1" applyFill="1" applyBorder="1" applyAlignment="1">
      <alignment horizontal="center"/>
    </xf>
    <xf numFmtId="3" fontId="21" fillId="0" borderId="0" xfId="1" applyNumberFormat="1" applyFont="1" applyBorder="1" applyAlignment="1">
      <alignment horizontal="center"/>
    </xf>
    <xf numFmtId="3" fontId="21" fillId="0" borderId="8" xfId="1" applyNumberFormat="1" applyFont="1" applyBorder="1" applyAlignment="1">
      <alignment horizontal="center"/>
    </xf>
    <xf numFmtId="3" fontId="21" fillId="0" borderId="8" xfId="1" applyNumberFormat="1" applyFont="1" applyFill="1" applyBorder="1" applyAlignment="1">
      <alignment horizontal="center"/>
    </xf>
    <xf numFmtId="0" fontId="22" fillId="11" borderId="0" xfId="0" applyFont="1" applyFill="1"/>
    <xf numFmtId="3" fontId="21" fillId="5" borderId="45" xfId="1" applyNumberFormat="1" applyFont="1" applyFill="1" applyBorder="1" applyAlignment="1">
      <alignment horizontal="center"/>
    </xf>
    <xf numFmtId="3" fontId="21" fillId="5" borderId="0" xfId="1" applyNumberFormat="1" applyFont="1" applyFill="1" applyBorder="1" applyAlignment="1">
      <alignment horizontal="center"/>
    </xf>
    <xf numFmtId="3" fontId="21" fillId="5" borderId="43" xfId="1" applyNumberFormat="1" applyFont="1" applyFill="1" applyBorder="1" applyAlignment="1">
      <alignment horizontal="center"/>
    </xf>
    <xf numFmtId="0" fontId="25" fillId="0" borderId="0" xfId="0" applyFont="1"/>
    <xf numFmtId="0" fontId="26" fillId="0" borderId="0" xfId="0" applyFont="1"/>
    <xf numFmtId="0" fontId="27" fillId="4" borderId="3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/>
    </xf>
    <xf numFmtId="0" fontId="26" fillId="4" borderId="4" xfId="0" applyFont="1" applyFill="1" applyBorder="1"/>
    <xf numFmtId="0" fontId="25" fillId="0" borderId="0" xfId="0" applyFont="1" applyAlignment="1">
      <alignment horizontal="center"/>
    </xf>
    <xf numFmtId="0" fontId="25" fillId="2" borderId="10" xfId="0" applyFont="1" applyFill="1" applyBorder="1" applyAlignment="1">
      <alignment horizontal="center"/>
    </xf>
    <xf numFmtId="0" fontId="25" fillId="2" borderId="8" xfId="0" applyFont="1" applyFill="1" applyBorder="1" applyAlignment="1">
      <alignment horizontal="center"/>
    </xf>
    <xf numFmtId="0" fontId="25" fillId="2" borderId="9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26" fillId="0" borderId="5" xfId="0" applyFont="1" applyBorder="1"/>
    <xf numFmtId="0" fontId="26" fillId="0" borderId="6" xfId="0" applyFont="1" applyBorder="1"/>
    <xf numFmtId="0" fontId="25" fillId="2" borderId="27" xfId="0" applyFont="1" applyFill="1" applyBorder="1"/>
    <xf numFmtId="0" fontId="25" fillId="2" borderId="2" xfId="0" applyFont="1" applyFill="1" applyBorder="1"/>
    <xf numFmtId="3" fontId="25" fillId="0" borderId="2" xfId="0" applyNumberFormat="1" applyFont="1" applyBorder="1" applyAlignment="1">
      <alignment horizontal="center"/>
    </xf>
    <xf numFmtId="3" fontId="26" fillId="0" borderId="3" xfId="0" applyNumberFormat="1" applyFont="1" applyBorder="1" applyAlignment="1">
      <alignment horizontal="center"/>
    </xf>
    <xf numFmtId="3" fontId="26" fillId="0" borderId="44" xfId="0" applyNumberFormat="1" applyFont="1" applyBorder="1" applyAlignment="1">
      <alignment horizontal="center"/>
    </xf>
    <xf numFmtId="3" fontId="26" fillId="0" borderId="45" xfId="0" applyNumberFormat="1" applyFont="1" applyBorder="1" applyAlignment="1">
      <alignment horizontal="center"/>
    </xf>
    <xf numFmtId="3" fontId="25" fillId="0" borderId="45" xfId="0" applyNumberFormat="1" applyFont="1" applyBorder="1" applyAlignment="1">
      <alignment horizontal="center"/>
    </xf>
    <xf numFmtId="164" fontId="26" fillId="0" borderId="45" xfId="1" applyNumberFormat="1" applyFont="1" applyFill="1" applyBorder="1" applyAlignment="1">
      <alignment horizontal="right"/>
    </xf>
    <xf numFmtId="164" fontId="26" fillId="0" borderId="46" xfId="1" applyNumberFormat="1" applyFont="1" applyFill="1" applyBorder="1" applyAlignment="1">
      <alignment horizontal="right"/>
    </xf>
    <xf numFmtId="164" fontId="26" fillId="6" borderId="0" xfId="1" applyNumberFormat="1" applyFont="1" applyFill="1" applyBorder="1" applyAlignment="1">
      <alignment horizontal="center"/>
    </xf>
    <xf numFmtId="164" fontId="26" fillId="0" borderId="45" xfId="1" applyNumberFormat="1" applyFont="1" applyBorder="1" applyAlignment="1">
      <alignment horizontal="right"/>
    </xf>
    <xf numFmtId="164" fontId="26" fillId="0" borderId="46" xfId="1" applyNumberFormat="1" applyFont="1" applyBorder="1" applyAlignment="1">
      <alignment horizontal="right"/>
    </xf>
    <xf numFmtId="164" fontId="26" fillId="6" borderId="0" xfId="1" applyNumberFormat="1" applyFont="1" applyFill="1" applyAlignment="1">
      <alignment horizontal="center"/>
    </xf>
    <xf numFmtId="165" fontId="26" fillId="0" borderId="45" xfId="2" applyNumberFormat="1" applyFont="1" applyBorder="1" applyAlignment="1">
      <alignment horizontal="center"/>
    </xf>
    <xf numFmtId="165" fontId="25" fillId="0" borderId="45" xfId="2" applyNumberFormat="1" applyFont="1" applyBorder="1" applyAlignment="1">
      <alignment horizontal="center"/>
    </xf>
    <xf numFmtId="3" fontId="26" fillId="5" borderId="44" xfId="0" applyNumberFormat="1" applyFont="1" applyFill="1" applyBorder="1" applyAlignment="1">
      <alignment horizontal="center"/>
    </xf>
    <xf numFmtId="3" fontId="26" fillId="5" borderId="45" xfId="0" applyNumberFormat="1" applyFont="1" applyFill="1" applyBorder="1" applyAlignment="1">
      <alignment horizontal="center"/>
    </xf>
    <xf numFmtId="3" fontId="26" fillId="5" borderId="45" xfId="1" applyNumberFormat="1" applyFont="1" applyFill="1" applyBorder="1" applyAlignment="1">
      <alignment horizontal="center"/>
    </xf>
    <xf numFmtId="3" fontId="25" fillId="5" borderId="45" xfId="1" applyNumberFormat="1" applyFont="1" applyFill="1" applyBorder="1" applyAlignment="1">
      <alignment horizontal="center"/>
    </xf>
    <xf numFmtId="164" fontId="26" fillId="5" borderId="46" xfId="1" applyNumberFormat="1" applyFont="1" applyFill="1" applyBorder="1" applyAlignment="1">
      <alignment horizontal="right"/>
    </xf>
    <xf numFmtId="3" fontId="25" fillId="5" borderId="0" xfId="0" applyNumberFormat="1" applyFont="1" applyFill="1" applyAlignment="1">
      <alignment horizontal="center"/>
    </xf>
    <xf numFmtId="164" fontId="26" fillId="5" borderId="46" xfId="1" applyNumberFormat="1" applyFont="1" applyFill="1" applyBorder="1"/>
    <xf numFmtId="0" fontId="25" fillId="2" borderId="29" xfId="0" applyFont="1" applyFill="1" applyBorder="1"/>
    <xf numFmtId="0" fontId="25" fillId="2" borderId="5" xfId="0" applyFont="1" applyFill="1" applyBorder="1"/>
    <xf numFmtId="3" fontId="25" fillId="0" borderId="5" xfId="0" applyNumberFormat="1" applyFont="1" applyBorder="1" applyAlignment="1">
      <alignment horizontal="center"/>
    </xf>
    <xf numFmtId="3" fontId="26" fillId="0" borderId="0" xfId="0" applyNumberFormat="1" applyFont="1" applyAlignment="1">
      <alignment horizontal="center"/>
    </xf>
    <xf numFmtId="3" fontId="26" fillId="0" borderId="47" xfId="0" applyNumberFormat="1" applyFon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164" fontId="26" fillId="0" borderId="0" xfId="1" applyNumberFormat="1" applyFont="1" applyFill="1" applyBorder="1" applyAlignment="1">
      <alignment horizontal="right"/>
    </xf>
    <xf numFmtId="164" fontId="26" fillId="0" borderId="48" xfId="1" applyNumberFormat="1" applyFont="1" applyFill="1" applyBorder="1" applyAlignment="1">
      <alignment horizontal="right"/>
    </xf>
    <xf numFmtId="164" fontId="26" fillId="7" borderId="0" xfId="1" applyNumberFormat="1" applyFont="1" applyFill="1" applyBorder="1" applyAlignment="1">
      <alignment horizontal="center"/>
    </xf>
    <xf numFmtId="164" fontId="26" fillId="0" borderId="0" xfId="1" applyNumberFormat="1" applyFont="1" applyBorder="1" applyAlignment="1">
      <alignment horizontal="right"/>
    </xf>
    <xf numFmtId="164" fontId="26" fillId="0" borderId="48" xfId="1" applyNumberFormat="1" applyFont="1" applyBorder="1" applyAlignment="1">
      <alignment horizontal="right"/>
    </xf>
    <xf numFmtId="165" fontId="26" fillId="0" borderId="0" xfId="2" applyNumberFormat="1" applyFont="1" applyBorder="1" applyAlignment="1">
      <alignment horizontal="center"/>
    </xf>
    <xf numFmtId="165" fontId="25" fillId="0" borderId="0" xfId="2" applyNumberFormat="1" applyFont="1" applyBorder="1" applyAlignment="1">
      <alignment horizontal="center"/>
    </xf>
    <xf numFmtId="3" fontId="26" fillId="5" borderId="47" xfId="0" applyNumberFormat="1" applyFont="1" applyFill="1" applyBorder="1" applyAlignment="1">
      <alignment horizontal="center"/>
    </xf>
    <xf numFmtId="3" fontId="26" fillId="5" borderId="0" xfId="0" applyNumberFormat="1" applyFont="1" applyFill="1" applyAlignment="1">
      <alignment horizontal="center"/>
    </xf>
    <xf numFmtId="3" fontId="26" fillId="5" borderId="0" xfId="1" applyNumberFormat="1" applyFont="1" applyFill="1" applyBorder="1" applyAlignment="1">
      <alignment horizontal="center"/>
    </xf>
    <xf numFmtId="3" fontId="25" fillId="5" borderId="0" xfId="1" applyNumberFormat="1" applyFont="1" applyFill="1" applyBorder="1" applyAlignment="1">
      <alignment horizontal="center"/>
    </xf>
    <xf numFmtId="164" fontId="26" fillId="5" borderId="48" xfId="1" applyNumberFormat="1" applyFont="1" applyFill="1" applyBorder="1" applyAlignment="1">
      <alignment horizontal="right"/>
    </xf>
    <xf numFmtId="164" fontId="26" fillId="5" borderId="48" xfId="1" applyNumberFormat="1" applyFont="1" applyFill="1" applyBorder="1"/>
    <xf numFmtId="3" fontId="26" fillId="0" borderId="0" xfId="0" applyNumberFormat="1" applyFont="1"/>
    <xf numFmtId="164" fontId="26" fillId="0" borderId="0" xfId="1" applyNumberFormat="1" applyFont="1" applyFill="1" applyBorder="1" applyAlignment="1">
      <alignment horizontal="center"/>
    </xf>
    <xf numFmtId="3" fontId="26" fillId="0" borderId="5" xfId="0" applyNumberFormat="1" applyFont="1" applyBorder="1" applyAlignment="1">
      <alignment horizontal="center"/>
    </xf>
    <xf numFmtId="3" fontId="25" fillId="0" borderId="0" xfId="0" applyNumberFormat="1" applyFont="1"/>
    <xf numFmtId="0" fontId="25" fillId="2" borderId="28" xfId="0" applyFont="1" applyFill="1" applyBorder="1"/>
    <xf numFmtId="0" fontId="25" fillId="2" borderId="10" xfId="0" applyFont="1" applyFill="1" applyBorder="1"/>
    <xf numFmtId="3" fontId="26" fillId="0" borderId="10" xfId="0" applyNumberFormat="1" applyFont="1" applyBorder="1" applyAlignment="1">
      <alignment horizontal="center"/>
    </xf>
    <xf numFmtId="3" fontId="26" fillId="0" borderId="8" xfId="0" applyNumberFormat="1" applyFont="1" applyBorder="1" applyAlignment="1">
      <alignment horizontal="center"/>
    </xf>
    <xf numFmtId="3" fontId="26" fillId="0" borderId="49" xfId="0" applyNumberFormat="1" applyFont="1" applyBorder="1" applyAlignment="1">
      <alignment horizontal="center"/>
    </xf>
    <xf numFmtId="3" fontId="26" fillId="0" borderId="43" xfId="0" applyNumberFormat="1" applyFont="1" applyBorder="1" applyAlignment="1">
      <alignment horizontal="center"/>
    </xf>
    <xf numFmtId="3" fontId="25" fillId="0" borderId="43" xfId="0" applyNumberFormat="1" applyFont="1" applyBorder="1" applyAlignment="1">
      <alignment horizontal="center"/>
    </xf>
    <xf numFmtId="164" fontId="26" fillId="0" borderId="43" xfId="1" applyNumberFormat="1" applyFont="1" applyFill="1" applyBorder="1" applyAlignment="1">
      <alignment horizontal="right"/>
    </xf>
    <xf numFmtId="164" fontId="26" fillId="0" borderId="50" xfId="1" applyNumberFormat="1" applyFont="1" applyFill="1" applyBorder="1" applyAlignment="1">
      <alignment horizontal="right"/>
    </xf>
    <xf numFmtId="164" fontId="26" fillId="0" borderId="8" xfId="1" applyNumberFormat="1" applyFont="1" applyFill="1" applyBorder="1" applyAlignment="1">
      <alignment horizontal="center"/>
    </xf>
    <xf numFmtId="164" fontId="26" fillId="0" borderId="43" xfId="1" applyNumberFormat="1" applyFont="1" applyBorder="1" applyAlignment="1">
      <alignment horizontal="right"/>
    </xf>
    <xf numFmtId="164" fontId="26" fillId="0" borderId="50" xfId="1" applyNumberFormat="1" applyFont="1" applyBorder="1" applyAlignment="1">
      <alignment horizontal="right"/>
    </xf>
    <xf numFmtId="165" fontId="26" fillId="0" borderId="43" xfId="2" applyNumberFormat="1" applyFont="1" applyBorder="1" applyAlignment="1">
      <alignment horizontal="center"/>
    </xf>
    <xf numFmtId="165" fontId="25" fillId="0" borderId="43" xfId="2" applyNumberFormat="1" applyFont="1" applyBorder="1" applyAlignment="1">
      <alignment horizontal="center"/>
    </xf>
    <xf numFmtId="3" fontId="26" fillId="5" borderId="49" xfId="0" applyNumberFormat="1" applyFont="1" applyFill="1" applyBorder="1" applyAlignment="1">
      <alignment horizontal="center"/>
    </xf>
    <xf numFmtId="3" fontId="26" fillId="5" borderId="43" xfId="0" applyNumberFormat="1" applyFont="1" applyFill="1" applyBorder="1" applyAlignment="1">
      <alignment horizontal="center"/>
    </xf>
    <xf numFmtId="3" fontId="26" fillId="5" borderId="43" xfId="1" applyNumberFormat="1" applyFont="1" applyFill="1" applyBorder="1" applyAlignment="1">
      <alignment horizontal="center"/>
    </xf>
    <xf numFmtId="3" fontId="25" fillId="5" borderId="43" xfId="1" applyNumberFormat="1" applyFont="1" applyFill="1" applyBorder="1" applyAlignment="1">
      <alignment horizontal="center"/>
    </xf>
    <xf numFmtId="164" fontId="26" fillId="5" borderId="50" xfId="1" applyNumberFormat="1" applyFont="1" applyFill="1" applyBorder="1" applyAlignment="1">
      <alignment horizontal="right"/>
    </xf>
    <xf numFmtId="3" fontId="25" fillId="5" borderId="43" xfId="0" applyNumberFormat="1" applyFont="1" applyFill="1" applyBorder="1" applyAlignment="1">
      <alignment horizontal="center"/>
    </xf>
    <xf numFmtId="164" fontId="26" fillId="5" borderId="50" xfId="1" applyNumberFormat="1" applyFont="1" applyFill="1" applyBorder="1"/>
    <xf numFmtId="0" fontId="28" fillId="0" borderId="0" xfId="0" applyFont="1"/>
    <xf numFmtId="164" fontId="26" fillId="0" borderId="6" xfId="1" applyNumberFormat="1" applyFont="1" applyFill="1" applyBorder="1" applyAlignment="1">
      <alignment horizontal="right"/>
    </xf>
    <xf numFmtId="0" fontId="27" fillId="0" borderId="0" xfId="0" applyFont="1"/>
    <xf numFmtId="164" fontId="26" fillId="0" borderId="6" xfId="1" applyNumberFormat="1" applyFont="1" applyBorder="1" applyAlignment="1">
      <alignment horizontal="right"/>
    </xf>
    <xf numFmtId="0" fontId="25" fillId="0" borderId="31" xfId="0" applyFont="1" applyBorder="1"/>
    <xf numFmtId="3" fontId="25" fillId="0" borderId="31" xfId="0" applyNumberFormat="1" applyFont="1" applyBorder="1" applyAlignment="1">
      <alignment horizontal="center"/>
    </xf>
    <xf numFmtId="3" fontId="25" fillId="0" borderId="51" xfId="0" applyNumberFormat="1" applyFont="1" applyBorder="1" applyAlignment="1">
      <alignment horizontal="center"/>
    </xf>
    <xf numFmtId="3" fontId="25" fillId="0" borderId="52" xfId="0" applyNumberFormat="1" applyFont="1" applyBorder="1" applyAlignment="1">
      <alignment horizontal="center"/>
    </xf>
    <xf numFmtId="164" fontId="26" fillId="0" borderId="52" xfId="1" applyNumberFormat="1" applyFont="1" applyFill="1" applyBorder="1" applyAlignment="1">
      <alignment horizontal="right"/>
    </xf>
    <xf numFmtId="164" fontId="26" fillId="0" borderId="53" xfId="1" applyNumberFormat="1" applyFont="1" applyFill="1" applyBorder="1" applyAlignment="1">
      <alignment horizontal="right"/>
    </xf>
    <xf numFmtId="164" fontId="25" fillId="0" borderId="31" xfId="1" applyNumberFormat="1" applyFont="1" applyFill="1" applyBorder="1" applyAlignment="1">
      <alignment horizontal="center"/>
    </xf>
    <xf numFmtId="164" fontId="25" fillId="0" borderId="31" xfId="1" applyNumberFormat="1" applyFont="1" applyFill="1" applyBorder="1" applyAlignment="1">
      <alignment horizontal="right"/>
    </xf>
    <xf numFmtId="164" fontId="26" fillId="0" borderId="53" xfId="1" applyNumberFormat="1" applyFont="1" applyBorder="1" applyAlignment="1">
      <alignment horizontal="right"/>
    </xf>
    <xf numFmtId="164" fontId="25" fillId="0" borderId="31" xfId="1" applyNumberFormat="1" applyFont="1" applyFill="1" applyBorder="1"/>
    <xf numFmtId="164" fontId="25" fillId="0" borderId="31" xfId="1" applyNumberFormat="1" applyFont="1" applyBorder="1"/>
    <xf numFmtId="10" fontId="26" fillId="0" borderId="0" xfId="1" applyNumberFormat="1" applyFont="1" applyAlignment="1">
      <alignment horizontal="center"/>
    </xf>
    <xf numFmtId="0" fontId="26" fillId="0" borderId="0" xfId="0" applyFont="1" applyAlignment="1">
      <alignment horizontal="center"/>
    </xf>
    <xf numFmtId="16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right"/>
    </xf>
    <xf numFmtId="10" fontId="26" fillId="0" borderId="0" xfId="1" applyNumberFormat="1" applyFont="1"/>
    <xf numFmtId="3" fontId="29" fillId="0" borderId="0" xfId="0" applyNumberFormat="1" applyFont="1"/>
    <xf numFmtId="10" fontId="25" fillId="0" borderId="0" xfId="1" applyNumberFormat="1" applyFont="1" applyAlignment="1">
      <alignment horizontal="center"/>
    </xf>
    <xf numFmtId="164" fontId="25" fillId="0" borderId="0" xfId="0" applyNumberFormat="1" applyFont="1" applyAlignment="1">
      <alignment horizontal="center"/>
    </xf>
    <xf numFmtId="164" fontId="25" fillId="0" borderId="0" xfId="1" applyNumberFormat="1" applyFont="1" applyAlignment="1">
      <alignment horizontal="center"/>
    </xf>
    <xf numFmtId="166" fontId="25" fillId="0" borderId="0" xfId="1" applyNumberFormat="1" applyFont="1" applyAlignment="1"/>
    <xf numFmtId="43" fontId="25" fillId="0" borderId="0" xfId="0" applyNumberFormat="1" applyFont="1" applyAlignment="1">
      <alignment horizontal="center"/>
    </xf>
    <xf numFmtId="164" fontId="26" fillId="0" borderId="0" xfId="1" applyNumberFormat="1" applyFont="1" applyFill="1" applyAlignment="1">
      <alignment horizontal="center"/>
    </xf>
    <xf numFmtId="166" fontId="26" fillId="0" borderId="0" xfId="0" applyNumberFormat="1" applyFont="1"/>
    <xf numFmtId="3" fontId="26" fillId="0" borderId="15" xfId="0" applyNumberFormat="1" applyFont="1" applyBorder="1"/>
    <xf numFmtId="3" fontId="26" fillId="0" borderId="17" xfId="0" applyNumberFormat="1" applyFont="1" applyBorder="1"/>
    <xf numFmtId="164" fontId="26" fillId="0" borderId="0" xfId="1" applyNumberFormat="1" applyFont="1" applyAlignment="1">
      <alignment horizontal="center"/>
    </xf>
    <xf numFmtId="164" fontId="26" fillId="0" borderId="0" xfId="1" applyNumberFormat="1" applyFont="1"/>
    <xf numFmtId="164" fontId="26" fillId="0" borderId="0" xfId="0" applyNumberFormat="1" applyFont="1"/>
    <xf numFmtId="43" fontId="26" fillId="0" borderId="0" xfId="1" applyNumberFormat="1" applyFont="1"/>
    <xf numFmtId="0" fontId="25" fillId="0" borderId="11" xfId="0" applyFont="1" applyBorder="1"/>
    <xf numFmtId="164" fontId="26" fillId="0" borderId="11" xfId="0" applyNumberFormat="1" applyFont="1" applyBorder="1" applyAlignment="1">
      <alignment horizontal="center"/>
    </xf>
    <xf numFmtId="3" fontId="26" fillId="0" borderId="18" xfId="0" applyNumberFormat="1" applyFont="1" applyBorder="1"/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3" fontId="26" fillId="0" borderId="5" xfId="0" applyNumberFormat="1" applyFont="1" applyBorder="1"/>
    <xf numFmtId="10" fontId="26" fillId="0" borderId="0" xfId="1" applyNumberFormat="1" applyFont="1" applyBorder="1" applyAlignment="1">
      <alignment horizontal="center"/>
    </xf>
    <xf numFmtId="10" fontId="26" fillId="0" borderId="6" xfId="1" applyNumberFormat="1" applyFont="1" applyBorder="1" applyAlignment="1">
      <alignment horizontal="center"/>
    </xf>
    <xf numFmtId="0" fontId="25" fillId="0" borderId="5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8" xfId="0" applyFont="1" applyBorder="1"/>
    <xf numFmtId="164" fontId="26" fillId="0" borderId="8" xfId="0" applyNumberFormat="1" applyFont="1" applyBorder="1" applyAlignment="1">
      <alignment horizontal="center"/>
    </xf>
    <xf numFmtId="164" fontId="26" fillId="9" borderId="39" xfId="1" applyNumberFormat="1" applyFont="1" applyFill="1" applyBorder="1" applyAlignment="1">
      <alignment horizontal="center" vertical="center"/>
    </xf>
    <xf numFmtId="0" fontId="26" fillId="0" borderId="10" xfId="0" applyFont="1" applyBorder="1"/>
    <xf numFmtId="0" fontId="26" fillId="0" borderId="8" xfId="0" applyFont="1" applyBorder="1"/>
    <xf numFmtId="0" fontId="26" fillId="0" borderId="9" xfId="0" applyFont="1" applyBorder="1"/>
    <xf numFmtId="3" fontId="21" fillId="0" borderId="0" xfId="0" applyNumberFormat="1" applyFont="1"/>
    <xf numFmtId="0" fontId="27" fillId="2" borderId="10" xfId="0" applyFont="1" applyFill="1" applyBorder="1" applyAlignment="1">
      <alignment horizontal="center"/>
    </xf>
    <xf numFmtId="0" fontId="27" fillId="2" borderId="8" xfId="0" applyFont="1" applyFill="1" applyBorder="1" applyAlignment="1">
      <alignment horizontal="center"/>
    </xf>
    <xf numFmtId="0" fontId="27" fillId="2" borderId="9" xfId="0" applyFont="1" applyFill="1" applyBorder="1" applyAlignment="1">
      <alignment horizontal="center"/>
    </xf>
    <xf numFmtId="0" fontId="27" fillId="2" borderId="49" xfId="0" applyFont="1" applyFill="1" applyBorder="1" applyAlignment="1">
      <alignment horizontal="center"/>
    </xf>
    <xf numFmtId="0" fontId="27" fillId="2" borderId="43" xfId="0" applyFont="1" applyFill="1" applyBorder="1" applyAlignment="1">
      <alignment horizontal="center"/>
    </xf>
    <xf numFmtId="0" fontId="27" fillId="2" borderId="50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27" fillId="4" borderId="8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16" fontId="26" fillId="0" borderId="27" xfId="0" applyNumberFormat="1" applyFont="1" applyBorder="1" applyAlignment="1">
      <alignment horizontal="center"/>
    </xf>
    <xf numFmtId="0" fontId="26" fillId="2" borderId="3" xfId="0" applyFont="1" applyFill="1" applyBorder="1" applyAlignment="1">
      <alignment horizontal="center"/>
    </xf>
    <xf numFmtId="3" fontId="26" fillId="0" borderId="2" xfId="0" applyNumberFormat="1" applyFont="1" applyBorder="1" applyAlignment="1">
      <alignment horizontal="center"/>
    </xf>
    <xf numFmtId="3" fontId="26" fillId="0" borderId="45" xfId="1" applyNumberFormat="1" applyFont="1" applyBorder="1" applyAlignment="1">
      <alignment horizontal="center"/>
    </xf>
    <xf numFmtId="3" fontId="26" fillId="0" borderId="3" xfId="1" applyNumberFormat="1" applyFont="1" applyBorder="1" applyAlignment="1">
      <alignment horizontal="center"/>
    </xf>
    <xf numFmtId="164" fontId="26" fillId="0" borderId="4" xfId="1" applyNumberFormat="1" applyFont="1" applyBorder="1" applyAlignment="1">
      <alignment horizontal="right"/>
    </xf>
    <xf numFmtId="164" fontId="26" fillId="0" borderId="3" xfId="1" applyNumberFormat="1" applyFont="1" applyBorder="1" applyAlignment="1">
      <alignment horizontal="right"/>
    </xf>
    <xf numFmtId="3" fontId="26" fillId="5" borderId="44" xfId="1" applyNumberFormat="1" applyFont="1" applyFill="1" applyBorder="1" applyAlignment="1">
      <alignment horizontal="center"/>
    </xf>
    <xf numFmtId="164" fontId="26" fillId="0" borderId="0" xfId="1" applyNumberFormat="1" applyFont="1" applyAlignment="1">
      <alignment horizontal="right"/>
    </xf>
    <xf numFmtId="16" fontId="26" fillId="0" borderId="29" xfId="0" applyNumberFormat="1" applyFont="1" applyBorder="1" applyAlignment="1">
      <alignment horizontal="center"/>
    </xf>
    <xf numFmtId="0" fontId="26" fillId="2" borderId="0" xfId="0" applyFont="1" applyFill="1" applyAlignment="1">
      <alignment horizontal="center"/>
    </xf>
    <xf numFmtId="3" fontId="26" fillId="0" borderId="0" xfId="1" applyNumberFormat="1" applyFont="1" applyBorder="1" applyAlignment="1">
      <alignment horizontal="center"/>
    </xf>
    <xf numFmtId="3" fontId="26" fillId="5" borderId="47" xfId="1" applyNumberFormat="1" applyFont="1" applyFill="1" applyBorder="1" applyAlignment="1">
      <alignment horizontal="center"/>
    </xf>
    <xf numFmtId="3" fontId="26" fillId="10" borderId="0" xfId="1" applyNumberFormat="1" applyFont="1" applyFill="1" applyBorder="1" applyAlignment="1">
      <alignment horizontal="center"/>
    </xf>
    <xf numFmtId="3" fontId="26" fillId="5" borderId="5" xfId="0" applyNumberFormat="1" applyFont="1" applyFill="1" applyBorder="1" applyAlignment="1">
      <alignment horizontal="center"/>
    </xf>
    <xf numFmtId="166" fontId="26" fillId="0" borderId="0" xfId="2" applyNumberFormat="1" applyFont="1" applyAlignment="1">
      <alignment horizontal="center"/>
    </xf>
    <xf numFmtId="16" fontId="26" fillId="0" borderId="28" xfId="0" applyNumberFormat="1" applyFont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3" fontId="26" fillId="0" borderId="43" xfId="1" applyNumberFormat="1" applyFont="1" applyBorder="1" applyAlignment="1">
      <alignment horizontal="center"/>
    </xf>
    <xf numFmtId="3" fontId="26" fillId="0" borderId="8" xfId="1" applyNumberFormat="1" applyFont="1" applyBorder="1" applyAlignment="1">
      <alignment horizontal="center"/>
    </xf>
    <xf numFmtId="164" fontId="26" fillId="0" borderId="9" xfId="1" applyNumberFormat="1" applyFont="1" applyBorder="1" applyAlignment="1">
      <alignment horizontal="right"/>
    </xf>
    <xf numFmtId="164" fontId="26" fillId="0" borderId="8" xfId="1" applyNumberFormat="1" applyFont="1" applyBorder="1" applyAlignment="1">
      <alignment horizontal="right"/>
    </xf>
    <xf numFmtId="3" fontId="26" fillId="5" borderId="49" xfId="1" applyNumberFormat="1" applyFont="1" applyFill="1" applyBorder="1" applyAlignment="1">
      <alignment horizontal="center"/>
    </xf>
    <xf numFmtId="16" fontId="26" fillId="0" borderId="31" xfId="0" applyNumberFormat="1" applyFont="1" applyBorder="1" applyAlignment="1">
      <alignment horizontal="center"/>
    </xf>
    <xf numFmtId="0" fontId="26" fillId="0" borderId="31" xfId="0" applyFont="1" applyBorder="1" applyAlignment="1">
      <alignment horizontal="center"/>
    </xf>
    <xf numFmtId="164" fontId="26" fillId="0" borderId="11" xfId="0" applyNumberFormat="1" applyFont="1" applyBorder="1"/>
    <xf numFmtId="164" fontId="25" fillId="0" borderId="11" xfId="0" applyNumberFormat="1" applyFont="1" applyBorder="1"/>
    <xf numFmtId="164" fontId="25" fillId="0" borderId="0" xfId="0" applyNumberFormat="1" applyFont="1"/>
    <xf numFmtId="164" fontId="26" fillId="0" borderId="8" xfId="0" applyNumberFormat="1" applyFont="1" applyBorder="1"/>
    <xf numFmtId="164" fontId="25" fillId="0" borderId="8" xfId="0" applyNumberFormat="1" applyFont="1" applyBorder="1"/>
    <xf numFmtId="164" fontId="25" fillId="0" borderId="31" xfId="0" applyNumberFormat="1" applyFont="1" applyBorder="1"/>
    <xf numFmtId="0" fontId="21" fillId="0" borderId="8" xfId="0" applyFont="1" applyBorder="1" applyAlignment="1">
      <alignment horizontal="center"/>
    </xf>
    <xf numFmtId="0" fontId="21" fillId="0" borderId="11" xfId="0" applyFont="1" applyBorder="1"/>
    <xf numFmtId="164" fontId="17" fillId="0" borderId="11" xfId="1" applyNumberFormat="1" applyFont="1" applyBorder="1" applyAlignment="1">
      <alignment horizontal="center"/>
    </xf>
    <xf numFmtId="164" fontId="17" fillId="0" borderId="0" xfId="1" applyNumberFormat="1" applyFont="1" applyBorder="1" applyAlignment="1">
      <alignment horizontal="center"/>
    </xf>
    <xf numFmtId="0" fontId="21" fillId="0" borderId="8" xfId="0" applyFont="1" applyBorder="1"/>
    <xf numFmtId="164" fontId="17" fillId="0" borderId="8" xfId="1" applyNumberFormat="1" applyFont="1" applyBorder="1" applyAlignment="1">
      <alignment horizontal="center"/>
    </xf>
    <xf numFmtId="164" fontId="21" fillId="0" borderId="31" xfId="1" applyNumberFormat="1" applyFont="1" applyBorder="1" applyAlignment="1">
      <alignment horizontal="center"/>
    </xf>
    <xf numFmtId="10" fontId="26" fillId="0" borderId="0" xfId="0" applyNumberFormat="1" applyFont="1"/>
    <xf numFmtId="10" fontId="26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0" fontId="30" fillId="0" borderId="0" xfId="0" applyFont="1"/>
    <xf numFmtId="0" fontId="31" fillId="0" borderId="0" xfId="0" applyFont="1"/>
    <xf numFmtId="3" fontId="30" fillId="0" borderId="0" xfId="0" applyNumberFormat="1" applyFont="1"/>
    <xf numFmtId="164" fontId="31" fillId="0" borderId="0" xfId="1" applyNumberFormat="1" applyFont="1" applyAlignment="1">
      <alignment horizontal="center"/>
    </xf>
    <xf numFmtId="164" fontId="30" fillId="0" borderId="0" xfId="0" applyNumberFormat="1" applyFont="1"/>
    <xf numFmtId="0" fontId="30" fillId="0" borderId="13" xfId="0" applyFont="1" applyBorder="1"/>
    <xf numFmtId="0" fontId="31" fillId="0" borderId="13" xfId="0" applyFont="1" applyBorder="1" applyAlignment="1">
      <alignment horizontal="center"/>
    </xf>
    <xf numFmtId="0" fontId="31" fillId="0" borderId="11" xfId="0" applyFont="1" applyBorder="1"/>
    <xf numFmtId="3" fontId="31" fillId="0" borderId="11" xfId="0" applyNumberFormat="1" applyFont="1" applyBorder="1" applyAlignment="1">
      <alignment horizontal="center"/>
    </xf>
    <xf numFmtId="3" fontId="30" fillId="0" borderId="11" xfId="0" applyNumberFormat="1" applyFont="1" applyBorder="1"/>
    <xf numFmtId="164" fontId="31" fillId="0" borderId="11" xfId="1" applyNumberFormat="1" applyFont="1" applyBorder="1" applyAlignment="1">
      <alignment horizontal="center"/>
    </xf>
    <xf numFmtId="164" fontId="30" fillId="0" borderId="11" xfId="0" applyNumberFormat="1" applyFont="1" applyBorder="1"/>
    <xf numFmtId="3" fontId="31" fillId="0" borderId="0" xfId="0" applyNumberFormat="1" applyFont="1" applyAlignment="1">
      <alignment horizontal="center"/>
    </xf>
    <xf numFmtId="164" fontId="31" fillId="0" borderId="0" xfId="1" applyNumberFormat="1" applyFont="1" applyBorder="1" applyAlignment="1">
      <alignment horizontal="center"/>
    </xf>
    <xf numFmtId="0" fontId="31" fillId="0" borderId="8" xfId="0" applyFont="1" applyBorder="1"/>
    <xf numFmtId="3" fontId="31" fillId="0" borderId="8" xfId="0" applyNumberFormat="1" applyFont="1" applyBorder="1" applyAlignment="1">
      <alignment horizontal="center"/>
    </xf>
    <xf numFmtId="3" fontId="30" fillId="0" borderId="8" xfId="0" applyNumberFormat="1" applyFont="1" applyBorder="1"/>
    <xf numFmtId="164" fontId="31" fillId="0" borderId="8" xfId="1" applyNumberFormat="1" applyFont="1" applyBorder="1" applyAlignment="1">
      <alignment horizontal="center"/>
    </xf>
    <xf numFmtId="164" fontId="30" fillId="0" borderId="8" xfId="0" applyNumberFormat="1" applyFont="1" applyBorder="1"/>
    <xf numFmtId="0" fontId="31" fillId="0" borderId="31" xfId="0" applyFont="1" applyBorder="1"/>
    <xf numFmtId="3" fontId="31" fillId="0" borderId="31" xfId="0" applyNumberFormat="1" applyFont="1" applyBorder="1"/>
    <xf numFmtId="164" fontId="31" fillId="0" borderId="31" xfId="1" applyNumberFormat="1" applyFont="1" applyBorder="1" applyAlignment="1">
      <alignment horizontal="center"/>
    </xf>
    <xf numFmtId="164" fontId="31" fillId="0" borderId="31" xfId="0" applyNumberFormat="1" applyFont="1" applyBorder="1"/>
    <xf numFmtId="3" fontId="17" fillId="0" borderId="11" xfId="0" applyNumberFormat="1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9" fontId="17" fillId="0" borderId="0" xfId="1" applyFont="1" applyBorder="1" applyAlignment="1">
      <alignment horizontal="center"/>
    </xf>
    <xf numFmtId="16" fontId="32" fillId="0" borderId="31" xfId="0" applyNumberFormat="1" applyFont="1" applyBorder="1" applyAlignment="1">
      <alignment horizontal="center"/>
    </xf>
    <xf numFmtId="0" fontId="32" fillId="0" borderId="31" xfId="0" applyFont="1" applyBorder="1" applyAlignment="1">
      <alignment horizontal="center"/>
    </xf>
    <xf numFmtId="0" fontId="32" fillId="0" borderId="11" xfId="0" applyFont="1" applyBorder="1"/>
    <xf numFmtId="0" fontId="32" fillId="0" borderId="0" xfId="0" applyFont="1"/>
    <xf numFmtId="0" fontId="32" fillId="0" borderId="8" xfId="0" applyFont="1" applyBorder="1"/>
    <xf numFmtId="0" fontId="32" fillId="0" borderId="31" xfId="0" applyFont="1" applyBorder="1"/>
    <xf numFmtId="164" fontId="32" fillId="0" borderId="31" xfId="0" applyNumberFormat="1" applyFont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22" fillId="11" borderId="3" xfId="0" applyFont="1" applyFill="1" applyBorder="1" applyAlignment="1">
      <alignment horizontal="center"/>
    </xf>
    <xf numFmtId="0" fontId="22" fillId="11" borderId="4" xfId="0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27" fillId="2" borderId="44" xfId="0" applyFont="1" applyFill="1" applyBorder="1" applyAlignment="1">
      <alignment horizontal="center"/>
    </xf>
    <xf numFmtId="0" fontId="27" fillId="2" borderId="45" xfId="0" applyFont="1" applyFill="1" applyBorder="1" applyAlignment="1">
      <alignment horizontal="center"/>
    </xf>
    <xf numFmtId="0" fontId="27" fillId="2" borderId="46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4" borderId="2" xfId="0" applyFont="1" applyFill="1" applyBorder="1" applyAlignment="1">
      <alignment horizontal="center"/>
    </xf>
    <xf numFmtId="0" fontId="27" fillId="4" borderId="3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7" fillId="2" borderId="27" xfId="0" applyFont="1" applyFill="1" applyBorder="1" applyAlignment="1">
      <alignment horizontal="center" vertical="center"/>
    </xf>
    <xf numFmtId="0" fontId="27" fillId="2" borderId="28" xfId="0" applyFont="1" applyFill="1" applyBorder="1" applyAlignment="1">
      <alignment horizontal="center" vertical="center"/>
    </xf>
    <xf numFmtId="0" fontId="25" fillId="0" borderId="30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3" fontId="13" fillId="4" borderId="0" xfId="0" applyNumberFormat="1" applyFont="1" applyFill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0" fontId="21" fillId="0" borderId="0" xfId="0" applyFont="1" applyBorder="1"/>
    <xf numFmtId="0" fontId="21" fillId="0" borderId="0" xfId="0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17" fillId="0" borderId="0" xfId="0" applyFont="1" applyBorder="1"/>
    <xf numFmtId="0" fontId="21" fillId="0" borderId="0" xfId="0" applyFont="1" applyBorder="1" applyAlignment="1">
      <alignment horizontal="center"/>
    </xf>
    <xf numFmtId="166" fontId="17" fillId="0" borderId="0" xfId="0" applyNumberFormat="1" applyFont="1"/>
    <xf numFmtId="0" fontId="26" fillId="0" borderId="0" xfId="0" applyFont="1" applyAlignment="1">
      <alignment horizontal="center"/>
    </xf>
  </cellXfs>
  <cellStyles count="4">
    <cellStyle name="Millares" xfId="2" builtinId="3"/>
    <cellStyle name="Moneda" xfId="3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7EC39E"/>
      <color rgb="FF4F9887"/>
      <color rgb="FF4A7C9E"/>
      <color rgb="FF615958"/>
      <color rgb="FF7CC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MENSUAL!$CC$35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MENSUAL!$CD$35:$CI$35</c:f>
              <c:numCache>
                <c:formatCode>#,##0</c:formatCode>
                <c:ptCount val="6"/>
                <c:pt idx="0">
                  <c:v>1595973</c:v>
                </c:pt>
                <c:pt idx="1">
                  <c:v>382815</c:v>
                </c:pt>
                <c:pt idx="2">
                  <c:v>714976</c:v>
                </c:pt>
                <c:pt idx="3">
                  <c:v>593398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A-034D-A980-6C56FDE2A0ED}"/>
            </c:ext>
          </c:extLst>
        </c:ser>
        <c:ser>
          <c:idx val="1"/>
          <c:order val="1"/>
          <c:tx>
            <c:strRef>
              <c:f>MENSUAL!$CC$36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MENSUAL!$CD$36:$CI$36</c:f>
              <c:numCache>
                <c:formatCode>#,##0</c:formatCode>
                <c:ptCount val="6"/>
                <c:pt idx="0">
                  <c:v>2355759</c:v>
                </c:pt>
                <c:pt idx="1">
                  <c:v>579546</c:v>
                </c:pt>
                <c:pt idx="2">
                  <c:v>905848</c:v>
                </c:pt>
                <c:pt idx="3">
                  <c:v>716071</c:v>
                </c:pt>
                <c:pt idx="5">
                  <c:v>284758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A-034D-A980-6C56FDE2A0ED}"/>
            </c:ext>
          </c:extLst>
        </c:ser>
        <c:ser>
          <c:idx val="2"/>
          <c:order val="2"/>
          <c:tx>
            <c:strRef>
              <c:f>MENSUAL!$CC$37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MENSUAL!$CD$37:$CI$37</c:f>
              <c:numCache>
                <c:formatCode>#,##0</c:formatCode>
                <c:ptCount val="6"/>
                <c:pt idx="0">
                  <c:v>2049399</c:v>
                </c:pt>
                <c:pt idx="1">
                  <c:v>687893</c:v>
                </c:pt>
                <c:pt idx="2">
                  <c:v>943001</c:v>
                </c:pt>
                <c:pt idx="3">
                  <c:v>681025</c:v>
                </c:pt>
                <c:pt idx="4">
                  <c:v>1268966</c:v>
                </c:pt>
                <c:pt idx="5">
                  <c:v>554071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9A-034D-A980-6C56FDE2A0ED}"/>
            </c:ext>
          </c:extLst>
        </c:ser>
        <c:ser>
          <c:idx val="3"/>
          <c:order val="3"/>
          <c:tx>
            <c:strRef>
              <c:f>MENSUAL!$CC$38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MENSUAL!$CD$38:$CI$38</c:f>
              <c:numCache>
                <c:formatCode>#,##0</c:formatCode>
                <c:ptCount val="6"/>
                <c:pt idx="0">
                  <c:v>2055411</c:v>
                </c:pt>
                <c:pt idx="1">
                  <c:v>667981</c:v>
                </c:pt>
                <c:pt idx="2">
                  <c:v>886959</c:v>
                </c:pt>
                <c:pt idx="3">
                  <c:v>731438</c:v>
                </c:pt>
                <c:pt idx="4">
                  <c:v>1264443</c:v>
                </c:pt>
                <c:pt idx="5">
                  <c:v>565952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9A-034D-A980-6C56FDE2A0ED}"/>
            </c:ext>
          </c:extLst>
        </c:ser>
        <c:ser>
          <c:idx val="4"/>
          <c:order val="4"/>
          <c:tx>
            <c:strRef>
              <c:f>MENSUAL!$CC$39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MENSUAL!$CD$39:$CI$39</c:f>
              <c:numCache>
                <c:formatCode>#,##0</c:formatCode>
                <c:ptCount val="6"/>
                <c:pt idx="0">
                  <c:v>2316831</c:v>
                </c:pt>
                <c:pt idx="1">
                  <c:v>666679</c:v>
                </c:pt>
                <c:pt idx="2">
                  <c:v>871537</c:v>
                </c:pt>
                <c:pt idx="3">
                  <c:v>644572</c:v>
                </c:pt>
                <c:pt idx="4">
                  <c:v>1438443</c:v>
                </c:pt>
                <c:pt idx="5">
                  <c:v>651146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9A-034D-A980-6C56FDE2A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067456"/>
        <c:axId val="664918095"/>
      </c:barChart>
      <c:catAx>
        <c:axId val="20850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4918095"/>
        <c:crosses val="autoZero"/>
        <c:auto val="1"/>
        <c:lblAlgn val="ctr"/>
        <c:lblOffset val="100"/>
        <c:noMultiLvlLbl val="0"/>
      </c:catAx>
      <c:valAx>
        <c:axId val="6649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506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MENSUAL!$AR$34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MENSUAL!$AQ$35:$AQ$46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MENSUAL!$AR$35:$AR$46</c:f>
              <c:numCache>
                <c:formatCode>#,##0</c:formatCode>
                <c:ptCount val="12"/>
                <c:pt idx="0">
                  <c:v>76838</c:v>
                </c:pt>
                <c:pt idx="1">
                  <c:v>85678</c:v>
                </c:pt>
                <c:pt idx="2">
                  <c:v>122242</c:v>
                </c:pt>
                <c:pt idx="3">
                  <c:v>123629</c:v>
                </c:pt>
                <c:pt idx="4">
                  <c:v>135928</c:v>
                </c:pt>
                <c:pt idx="5">
                  <c:v>171303</c:v>
                </c:pt>
                <c:pt idx="6">
                  <c:v>167002</c:v>
                </c:pt>
                <c:pt idx="7">
                  <c:v>134968</c:v>
                </c:pt>
                <c:pt idx="8">
                  <c:v>172818</c:v>
                </c:pt>
                <c:pt idx="9">
                  <c:v>186548</c:v>
                </c:pt>
                <c:pt idx="10">
                  <c:v>167428</c:v>
                </c:pt>
                <c:pt idx="11">
                  <c:v>170579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B-3F44-88FB-8CD14AADB5EF}"/>
            </c:ext>
          </c:extLst>
        </c:ser>
        <c:ser>
          <c:idx val="1"/>
          <c:order val="1"/>
          <c:tx>
            <c:strRef>
              <c:f>MENSUAL!$AS$34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MENSUAL!$AQ$35:$AQ$46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MENSUAL!$AS$35:$AS$46</c:f>
              <c:numCache>
                <c:formatCode>#,##0</c:formatCode>
                <c:ptCount val="12"/>
                <c:pt idx="0">
                  <c:v>183628</c:v>
                </c:pt>
                <c:pt idx="1">
                  <c:v>172325</c:v>
                </c:pt>
                <c:pt idx="2">
                  <c:v>198118</c:v>
                </c:pt>
                <c:pt idx="3">
                  <c:v>217541</c:v>
                </c:pt>
                <c:pt idx="4">
                  <c:v>204879</c:v>
                </c:pt>
                <c:pt idx="5">
                  <c:v>224107</c:v>
                </c:pt>
                <c:pt idx="6">
                  <c:v>233715</c:v>
                </c:pt>
                <c:pt idx="7">
                  <c:v>194172</c:v>
                </c:pt>
                <c:pt idx="8">
                  <c:v>194944</c:v>
                </c:pt>
                <c:pt idx="9">
                  <c:v>195794</c:v>
                </c:pt>
                <c:pt idx="10">
                  <c:v>176079</c:v>
                </c:pt>
                <c:pt idx="11">
                  <c:v>191769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B-3F44-88FB-8CD14AADB5EF}"/>
            </c:ext>
          </c:extLst>
        </c:ser>
        <c:ser>
          <c:idx val="2"/>
          <c:order val="2"/>
          <c:tx>
            <c:strRef>
              <c:f>MENSUAL!$AT$34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MENSUAL!$AQ$35:$AQ$46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MENSUAL!$AT$35:$AT$46</c:f>
              <c:numCache>
                <c:formatCode>#,##0</c:formatCode>
                <c:ptCount val="12"/>
                <c:pt idx="0">
                  <c:v>188625</c:v>
                </c:pt>
                <c:pt idx="1">
                  <c:v>171179</c:v>
                </c:pt>
                <c:pt idx="2">
                  <c:v>206148</c:v>
                </c:pt>
                <c:pt idx="3">
                  <c:v>194537</c:v>
                </c:pt>
                <c:pt idx="4">
                  <c:v>194126</c:v>
                </c:pt>
                <c:pt idx="5">
                  <c:v>228255</c:v>
                </c:pt>
                <c:pt idx="6">
                  <c:v>230380</c:v>
                </c:pt>
                <c:pt idx="7">
                  <c:v>210703</c:v>
                </c:pt>
                <c:pt idx="8">
                  <c:v>193684</c:v>
                </c:pt>
                <c:pt idx="9">
                  <c:v>207454</c:v>
                </c:pt>
                <c:pt idx="10">
                  <c:v>211609</c:v>
                </c:pt>
                <c:pt idx="11">
                  <c:v>230944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3B-3F44-88FB-8CD14AADB5EF}"/>
            </c:ext>
          </c:extLst>
        </c:ser>
        <c:ser>
          <c:idx val="3"/>
          <c:order val="3"/>
          <c:tx>
            <c:strRef>
              <c:f>MENSUAL!$AU$34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MENSUAL!$AQ$35:$AQ$46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MENSUAL!$AU$35:$AU$46</c:f>
              <c:numCache>
                <c:formatCode>#,##0</c:formatCode>
                <c:ptCount val="12"/>
                <c:pt idx="0">
                  <c:v>209485</c:v>
                </c:pt>
                <c:pt idx="1">
                  <c:v>203585</c:v>
                </c:pt>
                <c:pt idx="2">
                  <c:v>238076</c:v>
                </c:pt>
                <c:pt idx="3">
                  <c:v>220625</c:v>
                </c:pt>
                <c:pt idx="4">
                  <c:v>243123</c:v>
                </c:pt>
                <c:pt idx="5">
                  <c:v>230376</c:v>
                </c:pt>
                <c:pt idx="6">
                  <c:v>234948</c:v>
                </c:pt>
                <c:pt idx="7">
                  <c:v>226802</c:v>
                </c:pt>
                <c:pt idx="8">
                  <c:v>207691</c:v>
                </c:pt>
                <c:pt idx="9">
                  <c:v>209204</c:v>
                </c:pt>
                <c:pt idx="10">
                  <c:v>203804</c:v>
                </c:pt>
                <c:pt idx="11">
                  <c:v>233344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3B-3F44-88FB-8CD14AADB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844159"/>
        <c:axId val="1676183295"/>
      </c:barChart>
      <c:catAx>
        <c:axId val="180284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6183295"/>
        <c:crosses val="autoZero"/>
        <c:auto val="1"/>
        <c:lblAlgn val="ctr"/>
        <c:lblOffset val="100"/>
        <c:noMultiLvlLbl val="0"/>
      </c:catAx>
      <c:valAx>
        <c:axId val="167618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0284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MENSUAL!$CC$35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MENSUAL!$CD$35:$CI$35</c:f>
              <c:numCache>
                <c:formatCode>#,##0</c:formatCode>
                <c:ptCount val="6"/>
                <c:pt idx="0">
                  <c:v>1595973</c:v>
                </c:pt>
                <c:pt idx="1">
                  <c:v>382815</c:v>
                </c:pt>
                <c:pt idx="2">
                  <c:v>714976</c:v>
                </c:pt>
                <c:pt idx="3">
                  <c:v>593398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B-1845-BC3E-C514371F0760}"/>
            </c:ext>
          </c:extLst>
        </c:ser>
        <c:ser>
          <c:idx val="1"/>
          <c:order val="1"/>
          <c:tx>
            <c:strRef>
              <c:f>MENSUAL!$CC$36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MENSUAL!$CD$36:$CI$36</c:f>
              <c:numCache>
                <c:formatCode>#,##0</c:formatCode>
                <c:ptCount val="6"/>
                <c:pt idx="0">
                  <c:v>2355759</c:v>
                </c:pt>
                <c:pt idx="1">
                  <c:v>579546</c:v>
                </c:pt>
                <c:pt idx="2">
                  <c:v>905848</c:v>
                </c:pt>
                <c:pt idx="3">
                  <c:v>716071</c:v>
                </c:pt>
                <c:pt idx="5">
                  <c:v>284758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B-1845-BC3E-C514371F0760}"/>
            </c:ext>
          </c:extLst>
        </c:ser>
        <c:ser>
          <c:idx val="2"/>
          <c:order val="2"/>
          <c:tx>
            <c:strRef>
              <c:f>MENSUAL!$CC$37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MENSUAL!$CD$37:$CI$37</c:f>
              <c:numCache>
                <c:formatCode>#,##0</c:formatCode>
                <c:ptCount val="6"/>
                <c:pt idx="0">
                  <c:v>2049399</c:v>
                </c:pt>
                <c:pt idx="1">
                  <c:v>687893</c:v>
                </c:pt>
                <c:pt idx="2">
                  <c:v>943001</c:v>
                </c:pt>
                <c:pt idx="3">
                  <c:v>681025</c:v>
                </c:pt>
                <c:pt idx="4">
                  <c:v>1268966</c:v>
                </c:pt>
                <c:pt idx="5">
                  <c:v>554071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B-1845-BC3E-C514371F0760}"/>
            </c:ext>
          </c:extLst>
        </c:ser>
        <c:ser>
          <c:idx val="3"/>
          <c:order val="3"/>
          <c:tx>
            <c:strRef>
              <c:f>MENSUAL!$CC$38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MENSUAL!$CD$38:$CI$38</c:f>
              <c:numCache>
                <c:formatCode>#,##0</c:formatCode>
                <c:ptCount val="6"/>
                <c:pt idx="0">
                  <c:v>2055411</c:v>
                </c:pt>
                <c:pt idx="1">
                  <c:v>667981</c:v>
                </c:pt>
                <c:pt idx="2">
                  <c:v>886959</c:v>
                </c:pt>
                <c:pt idx="3">
                  <c:v>731438</c:v>
                </c:pt>
                <c:pt idx="4">
                  <c:v>1264443</c:v>
                </c:pt>
                <c:pt idx="5">
                  <c:v>565952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EB-1845-BC3E-C514371F0760}"/>
            </c:ext>
          </c:extLst>
        </c:ser>
        <c:ser>
          <c:idx val="4"/>
          <c:order val="4"/>
          <c:tx>
            <c:strRef>
              <c:f>MENSUAL!$CC$39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MENSUAL!$CD$39:$CI$39</c:f>
              <c:numCache>
                <c:formatCode>#,##0</c:formatCode>
                <c:ptCount val="6"/>
                <c:pt idx="0">
                  <c:v>2316831</c:v>
                </c:pt>
                <c:pt idx="1">
                  <c:v>666679</c:v>
                </c:pt>
                <c:pt idx="2">
                  <c:v>871537</c:v>
                </c:pt>
                <c:pt idx="3">
                  <c:v>644572</c:v>
                </c:pt>
                <c:pt idx="4">
                  <c:v>1438443</c:v>
                </c:pt>
                <c:pt idx="5">
                  <c:v>651146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EB-1845-BC3E-C514371F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290560"/>
        <c:axId val="1712650240"/>
      </c:barChart>
      <c:catAx>
        <c:axId val="17452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2650240"/>
        <c:crosses val="autoZero"/>
        <c:auto val="1"/>
        <c:lblAlgn val="ctr"/>
        <c:lblOffset val="100"/>
        <c:noMultiLvlLbl val="0"/>
      </c:catAx>
      <c:valAx>
        <c:axId val="171265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529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MENSUAL!$CC$35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MENSUAL!$CD$35:$CI$35</c:f>
              <c:numCache>
                <c:formatCode>#,##0</c:formatCode>
                <c:ptCount val="6"/>
                <c:pt idx="0">
                  <c:v>1595973</c:v>
                </c:pt>
                <c:pt idx="1">
                  <c:v>382815</c:v>
                </c:pt>
                <c:pt idx="2">
                  <c:v>714976</c:v>
                </c:pt>
                <c:pt idx="3">
                  <c:v>593398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2-425E-8098-B337C4218A35}"/>
            </c:ext>
          </c:extLst>
        </c:ser>
        <c:ser>
          <c:idx val="1"/>
          <c:order val="1"/>
          <c:tx>
            <c:strRef>
              <c:f>MENSUAL!$CC$36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MENSUAL!$CD$36:$CI$36</c:f>
              <c:numCache>
                <c:formatCode>#,##0</c:formatCode>
                <c:ptCount val="6"/>
                <c:pt idx="0">
                  <c:v>2355759</c:v>
                </c:pt>
                <c:pt idx="1">
                  <c:v>579546</c:v>
                </c:pt>
                <c:pt idx="2">
                  <c:v>905848</c:v>
                </c:pt>
                <c:pt idx="3">
                  <c:v>716071</c:v>
                </c:pt>
                <c:pt idx="5">
                  <c:v>284758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02-425E-8098-B337C4218A35}"/>
            </c:ext>
          </c:extLst>
        </c:ser>
        <c:ser>
          <c:idx val="2"/>
          <c:order val="2"/>
          <c:tx>
            <c:strRef>
              <c:f>MENSUAL!$CC$37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MENSUAL!$CD$37:$CI$37</c:f>
              <c:numCache>
                <c:formatCode>#,##0</c:formatCode>
                <c:ptCount val="6"/>
                <c:pt idx="0">
                  <c:v>2049399</c:v>
                </c:pt>
                <c:pt idx="1">
                  <c:v>687893</c:v>
                </c:pt>
                <c:pt idx="2">
                  <c:v>943001</c:v>
                </c:pt>
                <c:pt idx="3">
                  <c:v>681025</c:v>
                </c:pt>
                <c:pt idx="4">
                  <c:v>1268966</c:v>
                </c:pt>
                <c:pt idx="5">
                  <c:v>554071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02-425E-8098-B337C4218A35}"/>
            </c:ext>
          </c:extLst>
        </c:ser>
        <c:ser>
          <c:idx val="3"/>
          <c:order val="3"/>
          <c:tx>
            <c:strRef>
              <c:f>MENSUAL!$CC$38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MENSUAL!$CD$38:$CI$38</c:f>
              <c:numCache>
                <c:formatCode>#,##0</c:formatCode>
                <c:ptCount val="6"/>
                <c:pt idx="0">
                  <c:v>2055411</c:v>
                </c:pt>
                <c:pt idx="1">
                  <c:v>667981</c:v>
                </c:pt>
                <c:pt idx="2">
                  <c:v>886959</c:v>
                </c:pt>
                <c:pt idx="3">
                  <c:v>731438</c:v>
                </c:pt>
                <c:pt idx="4">
                  <c:v>1264443</c:v>
                </c:pt>
                <c:pt idx="5">
                  <c:v>565952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02-425E-8098-B337C4218A35}"/>
            </c:ext>
          </c:extLst>
        </c:ser>
        <c:ser>
          <c:idx val="4"/>
          <c:order val="4"/>
          <c:tx>
            <c:strRef>
              <c:f>MENSUAL!$CC$39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MENSUAL!$CD$39:$CI$39</c:f>
              <c:numCache>
                <c:formatCode>#,##0</c:formatCode>
                <c:ptCount val="6"/>
                <c:pt idx="0">
                  <c:v>2316831</c:v>
                </c:pt>
                <c:pt idx="1">
                  <c:v>666679</c:v>
                </c:pt>
                <c:pt idx="2">
                  <c:v>871537</c:v>
                </c:pt>
                <c:pt idx="3">
                  <c:v>644572</c:v>
                </c:pt>
                <c:pt idx="4">
                  <c:v>1438443</c:v>
                </c:pt>
                <c:pt idx="5">
                  <c:v>651146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02-425E-8098-B337C4218A35}"/>
            </c:ext>
          </c:extLst>
        </c:ser>
        <c:ser>
          <c:idx val="5"/>
          <c:order val="5"/>
          <c:tx>
            <c:strRef>
              <c:f>MENSUAL!$CC$40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MENSUAL!$CD$34:$CI$34</c:f>
              <c:strCache>
                <c:ptCount val="6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PSI</c:v>
                </c:pt>
                <c:pt idx="4">
                  <c:v>CBA</c:v>
                </c:pt>
                <c:pt idx="5">
                  <c:v>PV</c:v>
                </c:pt>
              </c:strCache>
            </c:strRef>
          </c:cat>
          <c:val>
            <c:numRef>
              <c:f>MENSUAL!$CD$40:$CI$40</c:f>
              <c:numCache>
                <c:formatCode>#,##0</c:formatCode>
                <c:ptCount val="6"/>
                <c:pt idx="0">
                  <c:v>2103214</c:v>
                </c:pt>
                <c:pt idx="1">
                  <c:v>750952</c:v>
                </c:pt>
                <c:pt idx="2">
                  <c:v>745892</c:v>
                </c:pt>
                <c:pt idx="3">
                  <c:v>600270</c:v>
                </c:pt>
                <c:pt idx="4">
                  <c:v>1455127</c:v>
                </c:pt>
                <c:pt idx="5">
                  <c:v>664799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02-425E-8098-B337C4218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65927"/>
        <c:axId val="202072071"/>
      </c:barChart>
      <c:catAx>
        <c:axId val="202065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2071"/>
        <c:crosses val="autoZero"/>
        <c:auto val="1"/>
        <c:lblAlgn val="ctr"/>
        <c:lblOffset val="100"/>
        <c:noMultiLvlLbl val="0"/>
      </c:catAx>
      <c:valAx>
        <c:axId val="202072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65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MENSUAL!$K$26</c:f>
              <c:strCache>
                <c:ptCount val="1"/>
                <c:pt idx="0">
                  <c:v>P2K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MENSUAL!$L$25:$Q$25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MENSUAL!$L$26:$Q$26</c:f>
              <c:numCache>
                <c:formatCode>#,##0</c:formatCode>
                <c:ptCount val="6"/>
                <c:pt idx="0">
                  <c:v>3471284</c:v>
                </c:pt>
                <c:pt idx="1">
                  <c:v>4896154</c:v>
                </c:pt>
                <c:pt idx="2">
                  <c:v>4278943</c:v>
                </c:pt>
                <c:pt idx="3">
                  <c:v>4276379</c:v>
                </c:pt>
                <c:pt idx="4">
                  <c:v>4782447</c:v>
                </c:pt>
                <c:pt idx="5">
                  <c:v>4464509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0-A04C-A07E-89E6C37C0EF3}"/>
            </c:ext>
          </c:extLst>
        </c:ser>
        <c:ser>
          <c:idx val="1"/>
          <c:order val="1"/>
          <c:tx>
            <c:strRef>
              <c:f>MENSUAL!$K$27</c:f>
              <c:strCache>
                <c:ptCount val="1"/>
                <c:pt idx="0">
                  <c:v>PSP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MENSUAL!$L$25:$Q$25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MENSUAL!$L$27:$Q$27</c:f>
              <c:numCache>
                <c:formatCode>#,##0</c:formatCode>
                <c:ptCount val="6"/>
                <c:pt idx="0">
                  <c:v>929675</c:v>
                </c:pt>
                <c:pt idx="1">
                  <c:v>1336975</c:v>
                </c:pt>
                <c:pt idx="2">
                  <c:v>1518589</c:v>
                </c:pt>
                <c:pt idx="3">
                  <c:v>1372630</c:v>
                </c:pt>
                <c:pt idx="4">
                  <c:v>1492148</c:v>
                </c:pt>
                <c:pt idx="5">
                  <c:v>1669979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0-A04C-A07E-89E6C37C0EF3}"/>
            </c:ext>
          </c:extLst>
        </c:ser>
        <c:ser>
          <c:idx val="2"/>
          <c:order val="2"/>
          <c:tx>
            <c:strRef>
              <c:f>MENSUAL!$K$28</c:f>
              <c:strCache>
                <c:ptCount val="1"/>
                <c:pt idx="0">
                  <c:v>PRG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MENSUAL!$L$25:$Q$25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MENSUAL!$L$28:$Q$28</c:f>
              <c:numCache>
                <c:formatCode>#,##0</c:formatCode>
                <c:ptCount val="6"/>
                <c:pt idx="0">
                  <c:v>1662143</c:v>
                </c:pt>
                <c:pt idx="1">
                  <c:v>1960391</c:v>
                </c:pt>
                <c:pt idx="2">
                  <c:v>1938190</c:v>
                </c:pt>
                <c:pt idx="3">
                  <c:v>1897691</c:v>
                </c:pt>
                <c:pt idx="4">
                  <c:v>1817333</c:v>
                </c:pt>
                <c:pt idx="5">
                  <c:v>1614595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0-A04C-A07E-89E6C37C0EF3}"/>
            </c:ext>
          </c:extLst>
        </c:ser>
        <c:ser>
          <c:idx val="3"/>
          <c:order val="3"/>
          <c:tx>
            <c:strRef>
              <c:f>MENSUAL!$K$29</c:f>
              <c:strCache>
                <c:ptCount val="1"/>
                <c:pt idx="0">
                  <c:v>PSI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MENSUAL!$L$25:$Q$25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MENSUAL!$L$29:$Q$29</c:f>
              <c:numCache>
                <c:formatCode>#,##0</c:formatCode>
                <c:ptCount val="6"/>
                <c:pt idx="0">
                  <c:v>1351548</c:v>
                </c:pt>
                <c:pt idx="1">
                  <c:v>1487024</c:v>
                </c:pt>
                <c:pt idx="2">
                  <c:v>1540401</c:v>
                </c:pt>
                <c:pt idx="3">
                  <c:v>1515271</c:v>
                </c:pt>
                <c:pt idx="4">
                  <c:v>1358642</c:v>
                </c:pt>
                <c:pt idx="5">
                  <c:v>1255792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10-A04C-A07E-89E6C37C0EF3}"/>
            </c:ext>
          </c:extLst>
        </c:ser>
        <c:ser>
          <c:idx val="4"/>
          <c:order val="4"/>
          <c:tx>
            <c:strRef>
              <c:f>MENSUAL!$K$30</c:f>
              <c:strCache>
                <c:ptCount val="1"/>
                <c:pt idx="0">
                  <c:v>CBA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MENSUAL!$L$25:$Q$25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MENSUAL!$L$30:$Q$30</c:f>
              <c:numCache>
                <c:formatCode>General</c:formatCode>
                <c:ptCount val="6"/>
                <c:pt idx="2" formatCode="#,##0">
                  <c:v>2698718</c:v>
                </c:pt>
                <c:pt idx="3" formatCode="#,##0">
                  <c:v>2627503</c:v>
                </c:pt>
                <c:pt idx="4" formatCode="#,##0">
                  <c:v>2999142</c:v>
                </c:pt>
                <c:pt idx="5" formatCode="#,##0">
                  <c:v>3065446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10-A04C-A07E-89E6C37C0EF3}"/>
            </c:ext>
          </c:extLst>
        </c:ser>
        <c:ser>
          <c:idx val="5"/>
          <c:order val="5"/>
          <c:tx>
            <c:strRef>
              <c:f>MENSUAL!$K$31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MENSUAL!$L$25:$Q$25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MENSUAL!$L$31:$Q$31</c:f>
              <c:numCache>
                <c:formatCode>#,##0</c:formatCode>
                <c:ptCount val="6"/>
                <c:pt idx="1">
                  <c:v>715618</c:v>
                </c:pt>
                <c:pt idx="2">
                  <c:v>1200598</c:v>
                </c:pt>
                <c:pt idx="3">
                  <c:v>1182870</c:v>
                </c:pt>
                <c:pt idx="4">
                  <c:v>1345270</c:v>
                </c:pt>
                <c:pt idx="5">
                  <c:v>1449221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10-A04C-A07E-89E6C37C0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838848"/>
        <c:axId val="1821844672"/>
      </c:barChart>
      <c:catAx>
        <c:axId val="182183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1844672"/>
        <c:crosses val="autoZero"/>
        <c:auto val="1"/>
        <c:lblAlgn val="ctr"/>
        <c:lblOffset val="100"/>
        <c:noMultiLvlLbl val="0"/>
      </c:catAx>
      <c:valAx>
        <c:axId val="18218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18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P2K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'[1]MENSUAL-2024'!$A$6:$A$17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'[1]MENSUAL-2024'!$B$5:$B$35</c:f>
              <c:numCache>
                <c:formatCode>General</c:formatCode>
                <c:ptCount val="31"/>
                <c:pt idx="1">
                  <c:v>250565</c:v>
                </c:pt>
                <c:pt idx="2">
                  <c:v>243117</c:v>
                </c:pt>
                <c:pt idx="3">
                  <c:v>274873</c:v>
                </c:pt>
                <c:pt idx="4">
                  <c:v>266376</c:v>
                </c:pt>
                <c:pt idx="5">
                  <c:v>285596</c:v>
                </c:pt>
                <c:pt idx="6">
                  <c:v>276908</c:v>
                </c:pt>
                <c:pt idx="7">
                  <c:v>294078</c:v>
                </c:pt>
                <c:pt idx="8">
                  <c:v>268601</c:v>
                </c:pt>
                <c:pt idx="9">
                  <c:v>198116</c:v>
                </c:pt>
                <c:pt idx="10">
                  <c:v>204138</c:v>
                </c:pt>
                <c:pt idx="11">
                  <c:v>0</c:v>
                </c:pt>
                <c:pt idx="12">
                  <c:v>295161</c:v>
                </c:pt>
                <c:pt idx="14">
                  <c:v>2857529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5-6C40-A728-8BAA6FE6D3C2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'[1]MENSUAL-2024'!$A$6:$A$17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'[1]MENSUAL-2024'!$C$5:$C$23</c:f>
              <c:numCache>
                <c:formatCode>General</c:formatCode>
                <c:ptCount val="19"/>
                <c:pt idx="1">
                  <c:v>246680</c:v>
                </c:pt>
                <c:pt idx="2">
                  <c:v>228143</c:v>
                </c:pt>
                <c:pt idx="3">
                  <c:v>247650</c:v>
                </c:pt>
                <c:pt idx="4">
                  <c:v>253072</c:v>
                </c:pt>
                <c:pt idx="5">
                  <c:v>263040</c:v>
                </c:pt>
                <c:pt idx="6">
                  <c:v>260807</c:v>
                </c:pt>
                <c:pt idx="7">
                  <c:v>281329</c:v>
                </c:pt>
                <c:pt idx="8">
                  <c:v>280837</c:v>
                </c:pt>
                <c:pt idx="9">
                  <c:v>263201</c:v>
                </c:pt>
                <c:pt idx="10">
                  <c:v>275896</c:v>
                </c:pt>
                <c:pt idx="11">
                  <c:v>275811</c:v>
                </c:pt>
                <c:pt idx="12">
                  <c:v>296810</c:v>
                </c:pt>
                <c:pt idx="14">
                  <c:v>3173276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5-6C40-A728-8BAA6FE6D3C2}"/>
            </c:ext>
          </c:extLst>
        </c:ser>
        <c:ser>
          <c:idx val="2"/>
          <c:order val="2"/>
          <c:tx>
            <c:v>2022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'[1]MENSUAL-2024'!$A$6:$A$17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'[1]MENSUAL-2024'!$D$5:$D$35</c:f>
              <c:numCache>
                <c:formatCode>General</c:formatCode>
                <c:ptCount val="31"/>
                <c:pt idx="1">
                  <c:v>250584</c:v>
                </c:pt>
                <c:pt idx="2">
                  <c:v>242483</c:v>
                </c:pt>
                <c:pt idx="3">
                  <c:v>264918</c:v>
                </c:pt>
                <c:pt idx="4">
                  <c:v>253254</c:v>
                </c:pt>
                <c:pt idx="5">
                  <c:v>272521</c:v>
                </c:pt>
                <c:pt idx="6">
                  <c:v>282713</c:v>
                </c:pt>
                <c:pt idx="7">
                  <c:v>289997</c:v>
                </c:pt>
                <c:pt idx="8">
                  <c:v>289022</c:v>
                </c:pt>
                <c:pt idx="9">
                  <c:v>264687</c:v>
                </c:pt>
                <c:pt idx="10">
                  <c:v>275569</c:v>
                </c:pt>
                <c:pt idx="11">
                  <c:v>288542</c:v>
                </c:pt>
                <c:pt idx="12">
                  <c:v>316050</c:v>
                </c:pt>
                <c:pt idx="14">
                  <c:v>3290340</c:v>
                </c:pt>
                <c:pt idx="17">
                  <c:v>8361.4827586206902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45-6C40-A728-8BAA6FE6D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861951"/>
        <c:axId val="523830127"/>
      </c:barChart>
      <c:catAx>
        <c:axId val="122886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523830127"/>
        <c:crosses val="autoZero"/>
        <c:auto val="1"/>
        <c:lblAlgn val="ctr"/>
        <c:lblOffset val="100"/>
        <c:noMultiLvlLbl val="0"/>
      </c:catAx>
      <c:valAx>
        <c:axId val="52383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22886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PSP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'[1]MENSUAL-2024'!$G$3:$G$4</c:f>
              <c:strCache>
                <c:ptCount val="1"/>
                <c:pt idx="0">
                  <c:v>PSP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'[1]MENSUAL-2024'!$G$5:$G$17</c:f>
              <c:numCache>
                <c:formatCode>General</c:formatCode>
                <c:ptCount val="13"/>
                <c:pt idx="1">
                  <c:v>174664</c:v>
                </c:pt>
                <c:pt idx="2">
                  <c:v>192907</c:v>
                </c:pt>
                <c:pt idx="3">
                  <c:v>224286</c:v>
                </c:pt>
                <c:pt idx="4">
                  <c:v>210811</c:v>
                </c:pt>
                <c:pt idx="5">
                  <c:v>243039</c:v>
                </c:pt>
                <c:pt idx="6">
                  <c:v>238737</c:v>
                </c:pt>
                <c:pt idx="7">
                  <c:v>245030</c:v>
                </c:pt>
                <c:pt idx="8">
                  <c:v>227211</c:v>
                </c:pt>
                <c:pt idx="9">
                  <c:v>213300</c:v>
                </c:pt>
                <c:pt idx="10">
                  <c:v>223460</c:v>
                </c:pt>
                <c:pt idx="11">
                  <c:v>216522</c:v>
                </c:pt>
                <c:pt idx="12">
                  <c:v>254191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3-5F4A-BF47-82E82DC81975}"/>
            </c:ext>
          </c:extLst>
        </c:ser>
        <c:ser>
          <c:idx val="1"/>
          <c:order val="1"/>
          <c:tx>
            <c:strRef>
              <c:f>'[1]MENSUAL-2024'!$H$3:$H$4</c:f>
              <c:strCache>
                <c:ptCount val="1"/>
                <c:pt idx="0">
                  <c:v>PSP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'[1]MENSUAL-2024'!$H$5:$H$17</c:f>
              <c:numCache>
                <c:formatCode>General</c:formatCode>
                <c:ptCount val="13"/>
                <c:pt idx="1">
                  <c:v>221780</c:v>
                </c:pt>
                <c:pt idx="2">
                  <c:v>201018</c:v>
                </c:pt>
                <c:pt idx="3">
                  <c:v>221110</c:v>
                </c:pt>
                <c:pt idx="4">
                  <c:v>227470</c:v>
                </c:pt>
                <c:pt idx="5">
                  <c:v>233473</c:v>
                </c:pt>
                <c:pt idx="6">
                  <c:v>227859</c:v>
                </c:pt>
                <c:pt idx="7">
                  <c:v>239590</c:v>
                </c:pt>
                <c:pt idx="8">
                  <c:v>221742</c:v>
                </c:pt>
                <c:pt idx="9">
                  <c:v>210212</c:v>
                </c:pt>
                <c:pt idx="10">
                  <c:v>214226</c:v>
                </c:pt>
                <c:pt idx="11">
                  <c:v>210378</c:v>
                </c:pt>
                <c:pt idx="12">
                  <c:v>238677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13-5F4A-BF47-82E82DC81975}"/>
            </c:ext>
          </c:extLst>
        </c:ser>
        <c:ser>
          <c:idx val="2"/>
          <c:order val="2"/>
          <c:tx>
            <c:strRef>
              <c:f>'[1]MENSUAL-2024'!$I$3:$I$4</c:f>
              <c:strCache>
                <c:ptCount val="1"/>
                <c:pt idx="0">
                  <c:v>PSP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'[1]MENSUAL-2024'!$I$5:$I$17</c:f>
              <c:numCache>
                <c:formatCode>General</c:formatCode>
                <c:ptCount val="13"/>
                <c:pt idx="1">
                  <c:v>204045</c:v>
                </c:pt>
                <c:pt idx="2">
                  <c:v>195947</c:v>
                </c:pt>
                <c:pt idx="3">
                  <c:v>207663</c:v>
                </c:pt>
                <c:pt idx="4">
                  <c:v>202870</c:v>
                </c:pt>
                <c:pt idx="5">
                  <c:v>211702</c:v>
                </c:pt>
                <c:pt idx="6">
                  <c:v>226324</c:v>
                </c:pt>
                <c:pt idx="7">
                  <c:v>222731</c:v>
                </c:pt>
                <c:pt idx="8">
                  <c:v>226047</c:v>
                </c:pt>
                <c:pt idx="9">
                  <c:v>203999</c:v>
                </c:pt>
                <c:pt idx="10">
                  <c:v>203182</c:v>
                </c:pt>
                <c:pt idx="11">
                  <c:v>208874</c:v>
                </c:pt>
                <c:pt idx="12">
                  <c:v>229883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13-5F4A-BF47-82E82DC8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920783"/>
        <c:axId val="13537615"/>
      </c:lineChart>
      <c:catAx>
        <c:axId val="123292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3537615"/>
        <c:crosses val="autoZero"/>
        <c:auto val="1"/>
        <c:lblAlgn val="ctr"/>
        <c:lblOffset val="100"/>
        <c:noMultiLvlLbl val="0"/>
      </c:catAx>
      <c:valAx>
        <c:axId val="1353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23292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 i="0"/>
              <a:t>PRG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'[1]MENSUAL-2024'!$L$3:$L$4</c:f>
              <c:strCache>
                <c:ptCount val="1"/>
                <c:pt idx="0">
                  <c:v>PRG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'[1]MENSUAL-2024'!$L$5:$L$17</c:f>
              <c:numCache>
                <c:formatCode>General</c:formatCode>
                <c:ptCount val="13"/>
                <c:pt idx="1">
                  <c:v>203521</c:v>
                </c:pt>
                <c:pt idx="2">
                  <c:v>196249</c:v>
                </c:pt>
                <c:pt idx="3">
                  <c:v>216605</c:v>
                </c:pt>
                <c:pt idx="4">
                  <c:v>217978</c:v>
                </c:pt>
                <c:pt idx="5">
                  <c:v>226188</c:v>
                </c:pt>
                <c:pt idx="6">
                  <c:v>217727</c:v>
                </c:pt>
                <c:pt idx="7">
                  <c:v>212607</c:v>
                </c:pt>
                <c:pt idx="8">
                  <c:v>207527</c:v>
                </c:pt>
                <c:pt idx="9">
                  <c:v>209758</c:v>
                </c:pt>
                <c:pt idx="10">
                  <c:v>217742</c:v>
                </c:pt>
                <c:pt idx="11">
                  <c:v>207263</c:v>
                </c:pt>
                <c:pt idx="12">
                  <c:v>240562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B-4A44-B666-6D041601BEEB}"/>
            </c:ext>
          </c:extLst>
        </c:ser>
        <c:ser>
          <c:idx val="1"/>
          <c:order val="1"/>
          <c:tx>
            <c:strRef>
              <c:f>'[1]MENSUAL-2024'!$M$3:$M$4</c:f>
              <c:strCache>
                <c:ptCount val="1"/>
                <c:pt idx="0">
                  <c:v>PRG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'[1]MENSUAL-2024'!$M$5:$M$17</c:f>
              <c:numCache>
                <c:formatCode>General</c:formatCode>
                <c:ptCount val="13"/>
                <c:pt idx="1">
                  <c:v>202405</c:v>
                </c:pt>
                <c:pt idx="2">
                  <c:v>191201</c:v>
                </c:pt>
                <c:pt idx="3">
                  <c:v>211876</c:v>
                </c:pt>
                <c:pt idx="4">
                  <c:v>216978</c:v>
                </c:pt>
                <c:pt idx="5">
                  <c:v>220603</c:v>
                </c:pt>
                <c:pt idx="6">
                  <c:v>217818</c:v>
                </c:pt>
                <c:pt idx="7">
                  <c:v>219526</c:v>
                </c:pt>
                <c:pt idx="8">
                  <c:v>214397</c:v>
                </c:pt>
                <c:pt idx="9">
                  <c:v>206171</c:v>
                </c:pt>
                <c:pt idx="10">
                  <c:v>210597</c:v>
                </c:pt>
                <c:pt idx="11">
                  <c:v>207265</c:v>
                </c:pt>
                <c:pt idx="12">
                  <c:v>231180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B-4A44-B666-6D041601BEEB}"/>
            </c:ext>
          </c:extLst>
        </c:ser>
        <c:ser>
          <c:idx val="2"/>
          <c:order val="2"/>
          <c:tx>
            <c:strRef>
              <c:f>'[1]MENSUAL-2024'!$N$3:$N$4</c:f>
              <c:strCache>
                <c:ptCount val="1"/>
                <c:pt idx="0">
                  <c:v>PRG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'[1]MENSUAL-2024'!$N$5:$N$17</c:f>
              <c:numCache>
                <c:formatCode>General</c:formatCode>
                <c:ptCount val="13"/>
                <c:pt idx="1">
                  <c:v>190042</c:v>
                </c:pt>
                <c:pt idx="2">
                  <c:v>180523</c:v>
                </c:pt>
                <c:pt idx="3">
                  <c:v>207128</c:v>
                </c:pt>
                <c:pt idx="4">
                  <c:v>191810</c:v>
                </c:pt>
                <c:pt idx="5">
                  <c:v>214778</c:v>
                </c:pt>
                <c:pt idx="6">
                  <c:v>225434</c:v>
                </c:pt>
                <c:pt idx="7">
                  <c:v>230141</c:v>
                </c:pt>
                <c:pt idx="8">
                  <c:v>218193</c:v>
                </c:pt>
                <c:pt idx="9">
                  <c:v>171688</c:v>
                </c:pt>
                <c:pt idx="10">
                  <c:v>177975</c:v>
                </c:pt>
                <c:pt idx="11">
                  <c:v>180413</c:v>
                </c:pt>
                <c:pt idx="12">
                  <c:v>200145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B-4A44-B666-6D041601B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5393103"/>
        <c:axId val="1275133599"/>
      </c:lineChart>
      <c:catAx>
        <c:axId val="2125393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275133599"/>
        <c:crosses val="autoZero"/>
        <c:auto val="1"/>
        <c:lblAlgn val="ctr"/>
        <c:lblOffset val="100"/>
        <c:noMultiLvlLbl val="0"/>
      </c:catAx>
      <c:valAx>
        <c:axId val="127513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212539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'[1]MENSUAL-2024'!$Q$3:$Q$4</c:f>
              <c:strCache>
                <c:ptCount val="1"/>
                <c:pt idx="0">
                  <c:v>PC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'[1]MENSUAL-2024'!$Q$5:$Q$17</c:f>
              <c:numCache>
                <c:formatCode>General</c:formatCode>
                <c:ptCount val="13"/>
                <c:pt idx="1">
                  <c:v>79886</c:v>
                </c:pt>
                <c:pt idx="2">
                  <c:v>82545</c:v>
                </c:pt>
                <c:pt idx="3">
                  <c:v>89130</c:v>
                </c:pt>
                <c:pt idx="4">
                  <c:v>91032</c:v>
                </c:pt>
                <c:pt idx="5">
                  <c:v>91515</c:v>
                </c:pt>
                <c:pt idx="6">
                  <c:v>83202</c:v>
                </c:pt>
                <c:pt idx="7">
                  <c:v>90513</c:v>
                </c:pt>
                <c:pt idx="8">
                  <c:v>88636</c:v>
                </c:pt>
                <c:pt idx="9">
                  <c:v>89939</c:v>
                </c:pt>
                <c:pt idx="10">
                  <c:v>90995</c:v>
                </c:pt>
                <c:pt idx="11">
                  <c:v>113671</c:v>
                </c:pt>
                <c:pt idx="12">
                  <c:v>112405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F-954B-985C-D8815AC5ACC5}"/>
            </c:ext>
          </c:extLst>
        </c:ser>
        <c:ser>
          <c:idx val="1"/>
          <c:order val="1"/>
          <c:tx>
            <c:strRef>
              <c:f>'[1]MENSUAL-2024'!$R$3:$R$4</c:f>
              <c:strCache>
                <c:ptCount val="1"/>
                <c:pt idx="0">
                  <c:v>PC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'[1]MENSUAL-2024'!$R$5:$R$17</c:f>
              <c:numCache>
                <c:formatCode>General</c:formatCode>
                <c:ptCount val="13"/>
                <c:pt idx="1">
                  <c:v>88356</c:v>
                </c:pt>
                <c:pt idx="2">
                  <c:v>73498</c:v>
                </c:pt>
                <c:pt idx="3">
                  <c:v>79963</c:v>
                </c:pt>
                <c:pt idx="4">
                  <c:v>72682</c:v>
                </c:pt>
                <c:pt idx="5">
                  <c:v>85242</c:v>
                </c:pt>
                <c:pt idx="6">
                  <c:v>75410</c:v>
                </c:pt>
                <c:pt idx="7">
                  <c:v>73166</c:v>
                </c:pt>
                <c:pt idx="8">
                  <c:v>78306</c:v>
                </c:pt>
                <c:pt idx="9">
                  <c:v>84481</c:v>
                </c:pt>
                <c:pt idx="10">
                  <c:v>92942</c:v>
                </c:pt>
                <c:pt idx="11">
                  <c:v>85560</c:v>
                </c:pt>
                <c:pt idx="12">
                  <c:v>99104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F-954B-985C-D8815AC5ACC5}"/>
            </c:ext>
          </c:extLst>
        </c:ser>
        <c:ser>
          <c:idx val="2"/>
          <c:order val="2"/>
          <c:tx>
            <c:strRef>
              <c:f>'[1]MENSUAL-2024'!$S$3:$S$4</c:f>
              <c:strCache>
                <c:ptCount val="1"/>
                <c:pt idx="0">
                  <c:v>PC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'[1]MENSUAL-2024'!$S$5:$S$17</c:f>
              <c:numCache>
                <c:formatCode>General</c:formatCode>
                <c:ptCount val="13"/>
                <c:pt idx="1">
                  <c:v>92123</c:v>
                </c:pt>
                <c:pt idx="2">
                  <c:v>100656</c:v>
                </c:pt>
                <c:pt idx="3">
                  <c:v>89651</c:v>
                </c:pt>
                <c:pt idx="4">
                  <c:v>87575</c:v>
                </c:pt>
                <c:pt idx="5">
                  <c:v>85463</c:v>
                </c:pt>
                <c:pt idx="6">
                  <c:v>79280</c:v>
                </c:pt>
                <c:pt idx="7">
                  <c:v>85146</c:v>
                </c:pt>
                <c:pt idx="8">
                  <c:v>80047</c:v>
                </c:pt>
                <c:pt idx="9">
                  <c:v>81208</c:v>
                </c:pt>
                <c:pt idx="10">
                  <c:v>88071</c:v>
                </c:pt>
                <c:pt idx="11">
                  <c:v>88237</c:v>
                </c:pt>
                <c:pt idx="12">
                  <c:v>101917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F-954B-985C-D8815AC5A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569791"/>
        <c:axId val="1308904655"/>
      </c:lineChart>
      <c:catAx>
        <c:axId val="982569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308904655"/>
        <c:crosses val="autoZero"/>
        <c:auto val="1"/>
        <c:lblAlgn val="ctr"/>
        <c:lblOffset val="100"/>
        <c:noMultiLvlLbl val="0"/>
      </c:catAx>
      <c:valAx>
        <c:axId val="130890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98256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PSI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'[1]MENSUAL-2024'!$V$3:$V$4</c:f>
              <c:strCache>
                <c:ptCount val="1"/>
                <c:pt idx="0">
                  <c:v>PSI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'[1]MENSUAL-2024'!$V$5:$V$17</c:f>
              <c:numCache>
                <c:formatCode>General</c:formatCode>
                <c:ptCount val="13"/>
                <c:pt idx="1">
                  <c:v>112783</c:v>
                </c:pt>
                <c:pt idx="2">
                  <c:v>114531</c:v>
                </c:pt>
                <c:pt idx="3">
                  <c:v>125636</c:v>
                </c:pt>
                <c:pt idx="4">
                  <c:v>127770</c:v>
                </c:pt>
                <c:pt idx="5">
                  <c:v>135612</c:v>
                </c:pt>
                <c:pt idx="6">
                  <c:v>130204</c:v>
                </c:pt>
                <c:pt idx="7">
                  <c:v>141008</c:v>
                </c:pt>
                <c:pt idx="8">
                  <c:v>138096</c:v>
                </c:pt>
                <c:pt idx="9">
                  <c:v>123648</c:v>
                </c:pt>
                <c:pt idx="10">
                  <c:v>130746</c:v>
                </c:pt>
                <c:pt idx="11">
                  <c:v>122874</c:v>
                </c:pt>
                <c:pt idx="12">
                  <c:v>140521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F-9F47-921C-120B0F86534F}"/>
            </c:ext>
          </c:extLst>
        </c:ser>
        <c:ser>
          <c:idx val="1"/>
          <c:order val="1"/>
          <c:tx>
            <c:strRef>
              <c:f>'[1]MENSUAL-2024'!$W$3:$W$4</c:f>
              <c:strCache>
                <c:ptCount val="1"/>
                <c:pt idx="0">
                  <c:v>PSI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'[1]MENSUAL-2024'!$W$5:$W$17</c:f>
              <c:numCache>
                <c:formatCode>General</c:formatCode>
                <c:ptCount val="13"/>
                <c:pt idx="1">
                  <c:v>114062</c:v>
                </c:pt>
                <c:pt idx="2">
                  <c:v>108216</c:v>
                </c:pt>
                <c:pt idx="3">
                  <c:v>110258</c:v>
                </c:pt>
                <c:pt idx="4">
                  <c:v>125665</c:v>
                </c:pt>
                <c:pt idx="5">
                  <c:v>128767</c:v>
                </c:pt>
                <c:pt idx="6">
                  <c:v>124389</c:v>
                </c:pt>
                <c:pt idx="7">
                  <c:v>131253</c:v>
                </c:pt>
                <c:pt idx="8">
                  <c:v>133112</c:v>
                </c:pt>
                <c:pt idx="9">
                  <c:v>125694</c:v>
                </c:pt>
                <c:pt idx="10">
                  <c:v>127080</c:v>
                </c:pt>
                <c:pt idx="11">
                  <c:v>120826</c:v>
                </c:pt>
                <c:pt idx="12">
                  <c:v>135900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F-9F47-921C-120B0F86534F}"/>
            </c:ext>
          </c:extLst>
        </c:ser>
        <c:ser>
          <c:idx val="2"/>
          <c:order val="2"/>
          <c:tx>
            <c:strRef>
              <c:f>'[1]MENSUAL-2024'!$X$3:$X$4</c:f>
              <c:strCache>
                <c:ptCount val="1"/>
                <c:pt idx="0">
                  <c:v>PSI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'[1]MENSUAL-2024'!$X$5:$X$17</c:f>
              <c:numCache>
                <c:formatCode>General</c:formatCode>
                <c:ptCount val="13"/>
                <c:pt idx="1">
                  <c:v>113411</c:v>
                </c:pt>
                <c:pt idx="2">
                  <c:v>111464</c:v>
                </c:pt>
                <c:pt idx="3">
                  <c:v>117749</c:v>
                </c:pt>
                <c:pt idx="4">
                  <c:v>116399</c:v>
                </c:pt>
                <c:pt idx="5">
                  <c:v>120280</c:v>
                </c:pt>
                <c:pt idx="6">
                  <c:v>124409</c:v>
                </c:pt>
                <c:pt idx="7">
                  <c:v>125020</c:v>
                </c:pt>
                <c:pt idx="8">
                  <c:v>125661</c:v>
                </c:pt>
                <c:pt idx="9">
                  <c:v>102955</c:v>
                </c:pt>
                <c:pt idx="10">
                  <c:v>108164</c:v>
                </c:pt>
                <c:pt idx="11">
                  <c:v>107986</c:v>
                </c:pt>
                <c:pt idx="12">
                  <c:v>117620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F-9F47-921C-120B0F865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515615"/>
        <c:axId val="1308912815"/>
      </c:lineChart>
      <c:catAx>
        <c:axId val="1424515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308912815"/>
        <c:crosses val="autoZero"/>
        <c:auto val="1"/>
        <c:lblAlgn val="ctr"/>
        <c:lblOffset val="100"/>
        <c:noMultiLvlLbl val="0"/>
      </c:catAx>
      <c:valAx>
        <c:axId val="130891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42451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PPA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'[1]MENSUAL-2024'!$AA$3:$AA$4</c:f>
              <c:strCache>
                <c:ptCount val="1"/>
                <c:pt idx="0">
                  <c:v>PPA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'[1]MENSUAL-2024'!$AA$5:$AA$17</c:f>
              <c:numCache>
                <c:formatCode>General</c:formatCode>
                <c:ptCount val="13"/>
                <c:pt idx="1">
                  <c:v>63521</c:v>
                </c:pt>
                <c:pt idx="2">
                  <c:v>58893</c:v>
                </c:pt>
                <c:pt idx="3">
                  <c:v>89845</c:v>
                </c:pt>
                <c:pt idx="4">
                  <c:v>67137</c:v>
                </c:pt>
                <c:pt idx="5">
                  <c:v>54989</c:v>
                </c:pt>
                <c:pt idx="6">
                  <c:v>43501</c:v>
                </c:pt>
                <c:pt idx="7">
                  <c:v>73386</c:v>
                </c:pt>
                <c:pt idx="8">
                  <c:v>63665</c:v>
                </c:pt>
                <c:pt idx="9">
                  <c:v>59042</c:v>
                </c:pt>
                <c:pt idx="10">
                  <c:v>62397</c:v>
                </c:pt>
                <c:pt idx="11">
                  <c:v>73627</c:v>
                </c:pt>
                <c:pt idx="12">
                  <c:v>64575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C-504C-A9FE-E58A792867D1}"/>
            </c:ext>
          </c:extLst>
        </c:ser>
        <c:ser>
          <c:idx val="1"/>
          <c:order val="1"/>
          <c:tx>
            <c:strRef>
              <c:f>'[1]MENSUAL-2024'!$AB$3:$AB$4</c:f>
              <c:strCache>
                <c:ptCount val="1"/>
                <c:pt idx="0">
                  <c:v>PPA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'[1]MENSUAL-2024'!$AB$5:$AB$17</c:f>
              <c:numCache>
                <c:formatCode>General</c:formatCode>
                <c:ptCount val="13"/>
                <c:pt idx="1">
                  <c:v>74755</c:v>
                </c:pt>
                <c:pt idx="2">
                  <c:v>58528</c:v>
                </c:pt>
                <c:pt idx="3">
                  <c:v>60645</c:v>
                </c:pt>
                <c:pt idx="4">
                  <c:v>70869</c:v>
                </c:pt>
                <c:pt idx="5">
                  <c:v>60679</c:v>
                </c:pt>
                <c:pt idx="6">
                  <c:v>66646</c:v>
                </c:pt>
                <c:pt idx="7">
                  <c:v>70355</c:v>
                </c:pt>
                <c:pt idx="8">
                  <c:v>77578</c:v>
                </c:pt>
                <c:pt idx="9">
                  <c:v>58348</c:v>
                </c:pt>
                <c:pt idx="10">
                  <c:v>70291</c:v>
                </c:pt>
                <c:pt idx="11">
                  <c:v>68097</c:v>
                </c:pt>
                <c:pt idx="12">
                  <c:v>64262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C-504C-A9FE-E58A792867D1}"/>
            </c:ext>
          </c:extLst>
        </c:ser>
        <c:ser>
          <c:idx val="2"/>
          <c:order val="2"/>
          <c:tx>
            <c:strRef>
              <c:f>'[1]MENSUAL-2024'!$AC$3:$AC$4</c:f>
              <c:strCache>
                <c:ptCount val="1"/>
                <c:pt idx="0">
                  <c:v>PPA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'[1]MENSUAL-2024'!$AC$5:$AC$17</c:f>
              <c:numCache>
                <c:formatCode>General</c:formatCode>
                <c:ptCount val="13"/>
                <c:pt idx="1">
                  <c:v>73295</c:v>
                </c:pt>
                <c:pt idx="2">
                  <c:v>60672</c:v>
                </c:pt>
                <c:pt idx="3">
                  <c:v>89645</c:v>
                </c:pt>
                <c:pt idx="4">
                  <c:v>85809</c:v>
                </c:pt>
                <c:pt idx="5">
                  <c:v>76169</c:v>
                </c:pt>
                <c:pt idx="6">
                  <c:v>83393</c:v>
                </c:pt>
                <c:pt idx="7">
                  <c:v>93038</c:v>
                </c:pt>
                <c:pt idx="8">
                  <c:v>75406</c:v>
                </c:pt>
                <c:pt idx="9">
                  <c:v>53119</c:v>
                </c:pt>
                <c:pt idx="10">
                  <c:v>76196</c:v>
                </c:pt>
                <c:pt idx="11">
                  <c:v>65661</c:v>
                </c:pt>
                <c:pt idx="12">
                  <c:v>67686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C-504C-A9FE-E58A79286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981999"/>
        <c:axId val="1308883535"/>
      </c:lineChart>
      <c:catAx>
        <c:axId val="1223981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308883535"/>
        <c:crosses val="autoZero"/>
        <c:auto val="1"/>
        <c:lblAlgn val="ctr"/>
        <c:lblOffset val="100"/>
        <c:noMultiLvlLbl val="0"/>
      </c:catAx>
      <c:valAx>
        <c:axId val="13088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22398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PPB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'[1]MENSUAL-2024'!$AG$3:$AG$4</c:f>
              <c:strCache>
                <c:ptCount val="1"/>
                <c:pt idx="0">
                  <c:v>PPA 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'[1]MENSUAL-2024'!$AG$5:$AG$17</c:f>
              <c:numCache>
                <c:formatCode>General</c:formatCode>
                <c:ptCount val="13"/>
                <c:pt idx="1">
                  <c:v>73727</c:v>
                </c:pt>
                <c:pt idx="2">
                  <c:v>69030</c:v>
                </c:pt>
                <c:pt idx="3">
                  <c:v>74755</c:v>
                </c:pt>
                <c:pt idx="4">
                  <c:v>76718</c:v>
                </c:pt>
                <c:pt idx="5">
                  <c:v>75198</c:v>
                </c:pt>
                <c:pt idx="6">
                  <c:v>72002</c:v>
                </c:pt>
                <c:pt idx="7">
                  <c:v>74768</c:v>
                </c:pt>
                <c:pt idx="8">
                  <c:v>67200</c:v>
                </c:pt>
                <c:pt idx="9">
                  <c:v>77014</c:v>
                </c:pt>
                <c:pt idx="10">
                  <c:v>74429</c:v>
                </c:pt>
                <c:pt idx="11">
                  <c:v>69161</c:v>
                </c:pt>
                <c:pt idx="12">
                  <c:v>83327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1-3946-BE36-2EC743E77FF9}"/>
            </c:ext>
          </c:extLst>
        </c:ser>
        <c:ser>
          <c:idx val="1"/>
          <c:order val="1"/>
          <c:tx>
            <c:strRef>
              <c:f>'[1]MENSUAL-2024'!$AH$3:$AH$4</c:f>
              <c:strCache>
                <c:ptCount val="1"/>
                <c:pt idx="0">
                  <c:v>PPA 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'[1]MENSUAL-2024'!$AH$5:$AH$17</c:f>
              <c:numCache>
                <c:formatCode>General</c:formatCode>
                <c:ptCount val="13"/>
                <c:pt idx="1">
                  <c:v>64439</c:v>
                </c:pt>
                <c:pt idx="2">
                  <c:v>55937</c:v>
                </c:pt>
                <c:pt idx="3">
                  <c:v>63326</c:v>
                </c:pt>
                <c:pt idx="4">
                  <c:v>56633</c:v>
                </c:pt>
                <c:pt idx="5">
                  <c:v>62475</c:v>
                </c:pt>
                <c:pt idx="6">
                  <c:v>58231</c:v>
                </c:pt>
                <c:pt idx="7">
                  <c:v>61733</c:v>
                </c:pt>
                <c:pt idx="8">
                  <c:v>64237</c:v>
                </c:pt>
                <c:pt idx="9">
                  <c:v>66603</c:v>
                </c:pt>
                <c:pt idx="10">
                  <c:v>72873</c:v>
                </c:pt>
                <c:pt idx="11">
                  <c:v>73500</c:v>
                </c:pt>
                <c:pt idx="12">
                  <c:v>81670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21-3946-BE36-2EC743E77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7928143"/>
        <c:axId val="67011423"/>
      </c:lineChart>
      <c:catAx>
        <c:axId val="1227928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67011423"/>
        <c:crosses val="autoZero"/>
        <c:auto val="1"/>
        <c:lblAlgn val="ctr"/>
        <c:lblOffset val="100"/>
        <c:noMultiLvlLbl val="0"/>
      </c:catAx>
      <c:valAx>
        <c:axId val="6701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22792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CBA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'[1]MENSUAL-2024'!$AJ$3:$AJ$4</c:f>
              <c:strCache>
                <c:ptCount val="1"/>
                <c:pt idx="0">
                  <c:v>CBA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'[1]MENSUAL-2024'!$AJ$5:$AJ$17</c:f>
              <c:numCache>
                <c:formatCode>General</c:formatCode>
                <c:ptCount val="13"/>
                <c:pt idx="10">
                  <c:v>56995</c:v>
                </c:pt>
                <c:pt idx="11">
                  <c:v>131599</c:v>
                </c:pt>
                <c:pt idx="12">
                  <c:v>174030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FE-2047-BB6F-D601A46FA961}"/>
            </c:ext>
          </c:extLst>
        </c:ser>
        <c:ser>
          <c:idx val="1"/>
          <c:order val="1"/>
          <c:tx>
            <c:strRef>
              <c:f>'[1]MENSUAL-2024'!$AK$3:$AK$4</c:f>
              <c:strCache>
                <c:ptCount val="1"/>
                <c:pt idx="0">
                  <c:v>CBA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'[1]MENSUAL-2024'!$AK$5:$AK$17</c:f>
              <c:numCache>
                <c:formatCode>General</c:formatCode>
                <c:ptCount val="13"/>
                <c:pt idx="1">
                  <c:v>118634</c:v>
                </c:pt>
                <c:pt idx="2">
                  <c:v>117598</c:v>
                </c:pt>
                <c:pt idx="3">
                  <c:v>135512</c:v>
                </c:pt>
                <c:pt idx="4">
                  <c:v>134759</c:v>
                </c:pt>
                <c:pt idx="5">
                  <c:v>146367</c:v>
                </c:pt>
                <c:pt idx="6">
                  <c:v>140423</c:v>
                </c:pt>
                <c:pt idx="7">
                  <c:v>145914</c:v>
                </c:pt>
                <c:pt idx="8">
                  <c:v>139648</c:v>
                </c:pt>
                <c:pt idx="9">
                  <c:v>139927</c:v>
                </c:pt>
                <c:pt idx="10">
                  <c:v>136582</c:v>
                </c:pt>
                <c:pt idx="11">
                  <c:v>145325</c:v>
                </c:pt>
                <c:pt idx="12">
                  <c:v>191174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E-2047-BB6F-D601A46FA961}"/>
            </c:ext>
          </c:extLst>
        </c:ser>
        <c:ser>
          <c:idx val="2"/>
          <c:order val="2"/>
          <c:tx>
            <c:strRef>
              <c:f>'[1]MENSUAL-2024'!$AL$3:$AL$4</c:f>
              <c:strCache>
                <c:ptCount val="1"/>
                <c:pt idx="0">
                  <c:v>CBA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'[1]MENSUAL-2024'!$AL$5:$AL$17</c:f>
              <c:numCache>
                <c:formatCode>General</c:formatCode>
                <c:ptCount val="13"/>
                <c:pt idx="1">
                  <c:v>138765</c:v>
                </c:pt>
                <c:pt idx="2">
                  <c:v>133520</c:v>
                </c:pt>
                <c:pt idx="3">
                  <c:v>134215</c:v>
                </c:pt>
                <c:pt idx="4">
                  <c:v>147123</c:v>
                </c:pt>
                <c:pt idx="5">
                  <c:v>159056</c:v>
                </c:pt>
                <c:pt idx="6">
                  <c:v>154718</c:v>
                </c:pt>
                <c:pt idx="7">
                  <c:v>161827</c:v>
                </c:pt>
                <c:pt idx="8">
                  <c:v>153503</c:v>
                </c:pt>
                <c:pt idx="9">
                  <c:v>106528</c:v>
                </c:pt>
                <c:pt idx="10">
                  <c:v>134395</c:v>
                </c:pt>
                <c:pt idx="11">
                  <c:v>148086</c:v>
                </c:pt>
                <c:pt idx="12">
                  <c:v>188089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FE-2047-BB6F-D601A46FA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395743"/>
        <c:axId val="61521759"/>
      </c:lineChart>
      <c:catAx>
        <c:axId val="1449395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61521759"/>
        <c:crosses val="autoZero"/>
        <c:auto val="1"/>
        <c:lblAlgn val="ctr"/>
        <c:lblOffset val="100"/>
        <c:noMultiLvlLbl val="0"/>
      </c:catAx>
      <c:valAx>
        <c:axId val="615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44939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'[1]MENSUAL-2024'!$AO$3:$AO$4</c:f>
              <c:strCache>
                <c:ptCount val="1"/>
                <c:pt idx="0">
                  <c:v>PV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'[1]MENSUAL-2024'!$AO$5:$AO$17</c:f>
              <c:numCache>
                <c:formatCode>General</c:formatCode>
                <c:ptCount val="13"/>
                <c:pt idx="9">
                  <c:v>101461</c:v>
                </c:pt>
                <c:pt idx="10">
                  <c:v>101480</c:v>
                </c:pt>
                <c:pt idx="11">
                  <c:v>99023</c:v>
                </c:pt>
                <c:pt idx="12">
                  <c:v>96129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01-2745-A23E-3058C9DC6DE0}"/>
            </c:ext>
          </c:extLst>
        </c:ser>
        <c:ser>
          <c:idx val="1"/>
          <c:order val="1"/>
          <c:tx>
            <c:strRef>
              <c:f>'[1]MENSUAL-2024'!$AP$3:$AP$4</c:f>
              <c:strCache>
                <c:ptCount val="1"/>
                <c:pt idx="0">
                  <c:v>PV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'[1]MENSUAL-2024'!$AP$5:$AP$17</c:f>
              <c:numCache>
                <c:formatCode>General</c:formatCode>
                <c:ptCount val="13"/>
                <c:pt idx="1">
                  <c:v>106554</c:v>
                </c:pt>
                <c:pt idx="2">
                  <c:v>100481</c:v>
                </c:pt>
                <c:pt idx="3">
                  <c:v>112578</c:v>
                </c:pt>
                <c:pt idx="4">
                  <c:v>113104</c:v>
                </c:pt>
                <c:pt idx="5">
                  <c:v>116216</c:v>
                </c:pt>
                <c:pt idx="6">
                  <c:v>120214</c:v>
                </c:pt>
                <c:pt idx="7">
                  <c:v>122015</c:v>
                </c:pt>
                <c:pt idx="8">
                  <c:v>109314</c:v>
                </c:pt>
                <c:pt idx="9">
                  <c:v>108072</c:v>
                </c:pt>
                <c:pt idx="10">
                  <c:v>107668</c:v>
                </c:pt>
                <c:pt idx="11">
                  <c:v>101710</c:v>
                </c:pt>
                <c:pt idx="12">
                  <c:v>104227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01-2745-A23E-3058C9DC6DE0}"/>
            </c:ext>
          </c:extLst>
        </c:ser>
        <c:ser>
          <c:idx val="2"/>
          <c:order val="2"/>
          <c:tx>
            <c:strRef>
              <c:f>'[1]MENSUAL-2024'!$AQ$3:$AQ$4</c:f>
              <c:strCache>
                <c:ptCount val="1"/>
                <c:pt idx="0">
                  <c:v>PV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'[1]MENSUAL-2024'!$AQ$5:$AQ$17</c:f>
              <c:numCache>
                <c:formatCode>General</c:formatCode>
                <c:ptCount val="13"/>
                <c:pt idx="1">
                  <c:v>110591</c:v>
                </c:pt>
                <c:pt idx="2">
                  <c:v>105337</c:v>
                </c:pt>
                <c:pt idx="3">
                  <c:v>109810</c:v>
                </c:pt>
                <c:pt idx="4">
                  <c:v>108717</c:v>
                </c:pt>
                <c:pt idx="5">
                  <c:v>112574</c:v>
                </c:pt>
                <c:pt idx="6">
                  <c:v>125821</c:v>
                </c:pt>
                <c:pt idx="7">
                  <c:v>122130</c:v>
                </c:pt>
                <c:pt idx="8">
                  <c:v>116686</c:v>
                </c:pt>
                <c:pt idx="9">
                  <c:v>105745</c:v>
                </c:pt>
                <c:pt idx="10">
                  <c:v>110135</c:v>
                </c:pt>
                <c:pt idx="11">
                  <c:v>114610</c:v>
                </c:pt>
                <c:pt idx="12">
                  <c:v>116194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01-2745-A23E-3058C9DC6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087903"/>
        <c:axId val="1308907535"/>
      </c:lineChart>
      <c:catAx>
        <c:axId val="1306087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308907535"/>
        <c:crosses val="autoZero"/>
        <c:auto val="1"/>
        <c:lblAlgn val="ctr"/>
        <c:lblOffset val="100"/>
        <c:noMultiLvlLbl val="0"/>
      </c:catAx>
      <c:valAx>
        <c:axId val="130890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30608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PLP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'[1]MENSUAL-2024'!$AT$3:$AT$4</c:f>
              <c:strCache>
                <c:ptCount val="1"/>
                <c:pt idx="0">
                  <c:v>PLP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'[1]MENSUAL-2024'!$AT$5:$AT$18</c:f>
              <c:numCache>
                <c:formatCode>General</c:formatCode>
                <c:ptCount val="14"/>
                <c:pt idx="1">
                  <c:v>148388</c:v>
                </c:pt>
                <c:pt idx="2">
                  <c:v>141593</c:v>
                </c:pt>
                <c:pt idx="3">
                  <c:v>170517</c:v>
                </c:pt>
                <c:pt idx="4">
                  <c:v>210485</c:v>
                </c:pt>
                <c:pt idx="5">
                  <c:v>193304</c:v>
                </c:pt>
                <c:pt idx="6">
                  <c:v>173008</c:v>
                </c:pt>
                <c:pt idx="7">
                  <c:v>173332</c:v>
                </c:pt>
                <c:pt idx="8">
                  <c:v>185875</c:v>
                </c:pt>
                <c:pt idx="9">
                  <c:v>164687</c:v>
                </c:pt>
                <c:pt idx="10">
                  <c:v>185514</c:v>
                </c:pt>
                <c:pt idx="11">
                  <c:v>238931</c:v>
                </c:pt>
                <c:pt idx="12">
                  <c:v>282266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A-7B4C-95B1-4E1B4EB65FFC}"/>
            </c:ext>
          </c:extLst>
        </c:ser>
        <c:ser>
          <c:idx val="1"/>
          <c:order val="1"/>
          <c:tx>
            <c:strRef>
              <c:f>'[1]MENSUAL-2024'!$AU$3:$AU$4</c:f>
              <c:strCache>
                <c:ptCount val="1"/>
                <c:pt idx="0">
                  <c:v>PLP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'[1]MENSUAL-2024'!$AU$5:$AU$18</c:f>
              <c:numCache>
                <c:formatCode>General</c:formatCode>
                <c:ptCount val="14"/>
                <c:pt idx="1">
                  <c:v>183476</c:v>
                </c:pt>
                <c:pt idx="2">
                  <c:v>148938</c:v>
                </c:pt>
                <c:pt idx="3">
                  <c:v>164984</c:v>
                </c:pt>
                <c:pt idx="4">
                  <c:v>157266</c:v>
                </c:pt>
                <c:pt idx="5">
                  <c:v>153318</c:v>
                </c:pt>
                <c:pt idx="6">
                  <c:v>152957</c:v>
                </c:pt>
                <c:pt idx="7">
                  <c:v>159046</c:v>
                </c:pt>
                <c:pt idx="8">
                  <c:v>136480</c:v>
                </c:pt>
                <c:pt idx="9">
                  <c:v>179123</c:v>
                </c:pt>
                <c:pt idx="10">
                  <c:v>201556</c:v>
                </c:pt>
                <c:pt idx="11">
                  <c:v>184252</c:v>
                </c:pt>
                <c:pt idx="12">
                  <c:v>210597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A-7B4C-95B1-4E1B4EB65FFC}"/>
            </c:ext>
          </c:extLst>
        </c:ser>
        <c:ser>
          <c:idx val="2"/>
          <c:order val="2"/>
          <c:tx>
            <c:strRef>
              <c:f>'[1]MENSUAL-2024'!$AV$3:$AV$4</c:f>
              <c:strCache>
                <c:ptCount val="1"/>
                <c:pt idx="0">
                  <c:v>PLP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'[1]MENSUAL-2024'!$AV$5:$AV$18</c:f>
              <c:numCache>
                <c:formatCode>General</c:formatCode>
                <c:ptCount val="14"/>
                <c:pt idx="1">
                  <c:v>190361</c:v>
                </c:pt>
                <c:pt idx="2">
                  <c:v>138313</c:v>
                </c:pt>
                <c:pt idx="3">
                  <c:v>140943</c:v>
                </c:pt>
                <c:pt idx="4">
                  <c:v>133377</c:v>
                </c:pt>
                <c:pt idx="5">
                  <c:v>139166</c:v>
                </c:pt>
                <c:pt idx="6">
                  <c:v>164304</c:v>
                </c:pt>
                <c:pt idx="7">
                  <c:v>202373</c:v>
                </c:pt>
                <c:pt idx="8">
                  <c:v>164304</c:v>
                </c:pt>
                <c:pt idx="9">
                  <c:v>167805</c:v>
                </c:pt>
                <c:pt idx="10">
                  <c:v>168817</c:v>
                </c:pt>
                <c:pt idx="11">
                  <c:v>205349</c:v>
                </c:pt>
                <c:pt idx="12">
                  <c:v>215074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A-7B4C-95B1-4E1B4EB65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678943"/>
        <c:axId val="1275136959"/>
      </c:lineChart>
      <c:catAx>
        <c:axId val="1448678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275136959"/>
        <c:crosses val="autoZero"/>
        <c:auto val="1"/>
        <c:lblAlgn val="ctr"/>
        <c:lblOffset val="100"/>
        <c:noMultiLvlLbl val="0"/>
      </c:catAx>
      <c:valAx>
        <c:axId val="12751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4486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r>
              <a:rPr lang="es-MX" b="1"/>
              <a:t>PPE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'[1]MENSUAL-2024'!$AY$3:$AY$4</c:f>
              <c:strCache>
                <c:ptCount val="1"/>
                <c:pt idx="0">
                  <c:v>PPE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'[1]MENSUAL-2024'!$AY$5:$AY$17</c:f>
              <c:numCache>
                <c:formatCode>General</c:formatCode>
                <c:ptCount val="13"/>
                <c:pt idx="6">
                  <c:v>40959</c:v>
                </c:pt>
                <c:pt idx="7">
                  <c:v>44709</c:v>
                </c:pt>
                <c:pt idx="8">
                  <c:v>41951</c:v>
                </c:pt>
                <c:pt idx="9">
                  <c:v>24618</c:v>
                </c:pt>
                <c:pt idx="10">
                  <c:v>25438</c:v>
                </c:pt>
                <c:pt idx="11">
                  <c:v>27128</c:v>
                </c:pt>
                <c:pt idx="12">
                  <c:v>26271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3-E54B-B7C9-DAEAD96CE681}"/>
            </c:ext>
          </c:extLst>
        </c:ser>
        <c:ser>
          <c:idx val="1"/>
          <c:order val="1"/>
          <c:tx>
            <c:strRef>
              <c:f>'[1]MENSUAL-2024'!$AZ$3:$AZ$4</c:f>
              <c:strCache>
                <c:ptCount val="1"/>
                <c:pt idx="0">
                  <c:v>PPE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'[1]MENSUAL-2024'!$AZ$5:$AZ$17</c:f>
              <c:numCache>
                <c:formatCode>General</c:formatCode>
                <c:ptCount val="13"/>
                <c:pt idx="1">
                  <c:v>49102</c:v>
                </c:pt>
                <c:pt idx="2">
                  <c:v>46339</c:v>
                </c:pt>
                <c:pt idx="3">
                  <c:v>43950</c:v>
                </c:pt>
                <c:pt idx="4">
                  <c:v>40270</c:v>
                </c:pt>
                <c:pt idx="5">
                  <c:v>39600</c:v>
                </c:pt>
                <c:pt idx="6">
                  <c:v>33661</c:v>
                </c:pt>
                <c:pt idx="7">
                  <c:v>28646</c:v>
                </c:pt>
                <c:pt idx="8">
                  <c:v>21929</c:v>
                </c:pt>
                <c:pt idx="9">
                  <c:v>17221</c:v>
                </c:pt>
                <c:pt idx="10">
                  <c:v>16920</c:v>
                </c:pt>
                <c:pt idx="11">
                  <c:v>31977</c:v>
                </c:pt>
                <c:pt idx="12">
                  <c:v>54414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3-E54B-B7C9-DAEAD96CE681}"/>
            </c:ext>
          </c:extLst>
        </c:ser>
        <c:ser>
          <c:idx val="2"/>
          <c:order val="2"/>
          <c:tx>
            <c:strRef>
              <c:f>'[1]MENSUAL-2024'!$BA$3:$BA$4</c:f>
              <c:strCache>
                <c:ptCount val="1"/>
                <c:pt idx="0">
                  <c:v>PPE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'[1]MENSUAL-2024'!$BA$5:$BA$17</c:f>
              <c:numCache>
                <c:formatCode>General</c:formatCode>
                <c:ptCount val="13"/>
                <c:pt idx="1">
                  <c:v>35453</c:v>
                </c:pt>
                <c:pt idx="2">
                  <c:v>46270</c:v>
                </c:pt>
                <c:pt idx="3">
                  <c:v>55857</c:v>
                </c:pt>
                <c:pt idx="4">
                  <c:v>56475</c:v>
                </c:pt>
                <c:pt idx="5">
                  <c:v>54748</c:v>
                </c:pt>
                <c:pt idx="6">
                  <c:v>46990</c:v>
                </c:pt>
                <c:pt idx="7">
                  <c:v>47381</c:v>
                </c:pt>
                <c:pt idx="8">
                  <c:v>49645</c:v>
                </c:pt>
                <c:pt idx="9">
                  <c:v>44631</c:v>
                </c:pt>
                <c:pt idx="10">
                  <c:v>54060</c:v>
                </c:pt>
                <c:pt idx="11">
                  <c:v>58632</c:v>
                </c:pt>
                <c:pt idx="12">
                  <c:v>56711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C3-E54B-B7C9-DAEAD96CE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790543"/>
        <c:axId val="529687951"/>
      </c:lineChart>
      <c:catAx>
        <c:axId val="1421790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529687951"/>
        <c:crosses val="autoZero"/>
        <c:auto val="1"/>
        <c:lblAlgn val="ctr"/>
        <c:lblOffset val="100"/>
        <c:noMultiLvlLbl val="0"/>
      </c:catAx>
      <c:valAx>
        <c:axId val="5296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142179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AFORO!$CC$21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AFORO!$CD$20:$CK$20</c:f>
              <c:strCache>
                <c:ptCount val="8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</c:strCache>
            </c:strRef>
          </c:cat>
          <c:val>
            <c:numRef>
              <c:f>AFORO!$CD$21:$CK$21</c:f>
              <c:numCache>
                <c:formatCode>#,##0</c:formatCode>
                <c:ptCount val="8"/>
                <c:pt idx="0">
                  <c:v>1597435</c:v>
                </c:pt>
                <c:pt idx="1">
                  <c:v>1284444</c:v>
                </c:pt>
                <c:pt idx="2">
                  <c:v>1278268</c:v>
                </c:pt>
                <c:pt idx="3">
                  <c:v>517310</c:v>
                </c:pt>
                <c:pt idx="4">
                  <c:v>746536</c:v>
                </c:pt>
                <c:pt idx="5">
                  <c:v>377886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D-284C-AAA4-7BD66E4F0217}"/>
            </c:ext>
          </c:extLst>
        </c:ser>
        <c:ser>
          <c:idx val="1"/>
          <c:order val="1"/>
          <c:tx>
            <c:strRef>
              <c:f>AFORO!$CC$22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AFORO!$CD$20:$CK$20</c:f>
              <c:strCache>
                <c:ptCount val="8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</c:strCache>
            </c:strRef>
          </c:cat>
          <c:val>
            <c:numRef>
              <c:f>AFORO!$CD$22:$CK$22</c:f>
              <c:numCache>
                <c:formatCode>#,##0</c:formatCode>
                <c:ptCount val="8"/>
                <c:pt idx="0">
                  <c:v>1499392</c:v>
                </c:pt>
                <c:pt idx="1">
                  <c:v>1332710</c:v>
                </c:pt>
                <c:pt idx="2">
                  <c:v>1260881</c:v>
                </c:pt>
                <c:pt idx="3">
                  <c:v>475151</c:v>
                </c:pt>
                <c:pt idx="4">
                  <c:v>711357</c:v>
                </c:pt>
                <c:pt idx="5">
                  <c:v>392122</c:v>
                </c:pt>
                <c:pt idx="6">
                  <c:v>793293</c:v>
                </c:pt>
                <c:pt idx="7">
                  <c:v>669147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D-284C-AAA4-7BD66E4F0217}"/>
            </c:ext>
          </c:extLst>
        </c:ser>
        <c:ser>
          <c:idx val="2"/>
          <c:order val="2"/>
          <c:tx>
            <c:strRef>
              <c:f>AFORO!$CC$23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AFORO!$CD$20:$CK$20</c:f>
              <c:strCache>
                <c:ptCount val="8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</c:strCache>
            </c:strRef>
          </c:cat>
          <c:val>
            <c:numRef>
              <c:f>AFORO!$CD$23:$CK$23</c:f>
              <c:numCache>
                <c:formatCode>#,##0</c:formatCode>
                <c:ptCount val="8"/>
                <c:pt idx="0">
                  <c:v>1566473</c:v>
                </c:pt>
                <c:pt idx="1">
                  <c:v>1248551</c:v>
                </c:pt>
                <c:pt idx="2">
                  <c:v>1209715</c:v>
                </c:pt>
                <c:pt idx="3">
                  <c:v>534748</c:v>
                </c:pt>
                <c:pt idx="4">
                  <c:v>703712</c:v>
                </c:pt>
                <c:pt idx="5">
                  <c:v>468983</c:v>
                </c:pt>
                <c:pt idx="6">
                  <c:v>867397</c:v>
                </c:pt>
                <c:pt idx="7">
                  <c:v>673950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1D-284C-AAA4-7BD66E4F0217}"/>
            </c:ext>
          </c:extLst>
        </c:ser>
        <c:ser>
          <c:idx val="3"/>
          <c:order val="3"/>
          <c:tx>
            <c:strRef>
              <c:f>AFORO!$CC$24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AFORO!$CD$20:$CK$20</c:f>
              <c:strCache>
                <c:ptCount val="8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</c:strCache>
            </c:strRef>
          </c:cat>
          <c:val>
            <c:numRef>
              <c:f>AFORO!$CD$24:$CK$24</c:f>
              <c:numCache>
                <c:formatCode>#,##0</c:formatCode>
                <c:ptCount val="8"/>
                <c:pt idx="0">
                  <c:v>1603254</c:v>
                </c:pt>
                <c:pt idx="1">
                  <c:v>1225048</c:v>
                </c:pt>
                <c:pt idx="2">
                  <c:v>1004765</c:v>
                </c:pt>
                <c:pt idx="3">
                  <c:v>528682</c:v>
                </c:pt>
                <c:pt idx="4">
                  <c:v>599273</c:v>
                </c:pt>
                <c:pt idx="5">
                  <c:v>441659</c:v>
                </c:pt>
                <c:pt idx="6">
                  <c:v>882885</c:v>
                </c:pt>
                <c:pt idx="7">
                  <c:v>684852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1D-284C-AAA4-7BD66E4F0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903856"/>
        <c:axId val="839890816"/>
      </c:barChart>
      <c:catAx>
        <c:axId val="194590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9890816"/>
        <c:crosses val="autoZero"/>
        <c:auto val="1"/>
        <c:lblAlgn val="ctr"/>
        <c:lblOffset val="100"/>
        <c:noMultiLvlLbl val="0"/>
      </c:catAx>
      <c:valAx>
        <c:axId val="8398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590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AFORO!$CC$21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AFORO!$CD$20:$CK$20</c:f>
              <c:strCache>
                <c:ptCount val="8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</c:strCache>
            </c:strRef>
          </c:cat>
          <c:val>
            <c:numRef>
              <c:f>AFORO!$CD$21:$CK$21</c:f>
              <c:numCache>
                <c:formatCode>#,##0</c:formatCode>
                <c:ptCount val="8"/>
                <c:pt idx="0">
                  <c:v>1597435</c:v>
                </c:pt>
                <c:pt idx="1">
                  <c:v>1284444</c:v>
                </c:pt>
                <c:pt idx="2">
                  <c:v>1278268</c:v>
                </c:pt>
                <c:pt idx="3">
                  <c:v>517310</c:v>
                </c:pt>
                <c:pt idx="4">
                  <c:v>746536</c:v>
                </c:pt>
                <c:pt idx="5">
                  <c:v>377886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E-8345-B468-0B120035432E}"/>
            </c:ext>
          </c:extLst>
        </c:ser>
        <c:ser>
          <c:idx val="1"/>
          <c:order val="1"/>
          <c:tx>
            <c:strRef>
              <c:f>AFORO!$CC$22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AFORO!$CD$20:$CK$20</c:f>
              <c:strCache>
                <c:ptCount val="8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</c:strCache>
            </c:strRef>
          </c:cat>
          <c:val>
            <c:numRef>
              <c:f>AFORO!$CD$22:$CK$22</c:f>
              <c:numCache>
                <c:formatCode>#,##0</c:formatCode>
                <c:ptCount val="8"/>
                <c:pt idx="0">
                  <c:v>1499392</c:v>
                </c:pt>
                <c:pt idx="1">
                  <c:v>1332710</c:v>
                </c:pt>
                <c:pt idx="2">
                  <c:v>1260881</c:v>
                </c:pt>
                <c:pt idx="3">
                  <c:v>475151</c:v>
                </c:pt>
                <c:pt idx="4">
                  <c:v>711357</c:v>
                </c:pt>
                <c:pt idx="5">
                  <c:v>392122</c:v>
                </c:pt>
                <c:pt idx="6">
                  <c:v>793293</c:v>
                </c:pt>
                <c:pt idx="7">
                  <c:v>669147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E-8345-B468-0B120035432E}"/>
            </c:ext>
          </c:extLst>
        </c:ser>
        <c:ser>
          <c:idx val="2"/>
          <c:order val="2"/>
          <c:tx>
            <c:strRef>
              <c:f>AFORO!$CC$23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AFORO!$CD$20:$CK$20</c:f>
              <c:strCache>
                <c:ptCount val="8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</c:strCache>
            </c:strRef>
          </c:cat>
          <c:val>
            <c:numRef>
              <c:f>AFORO!$CD$23:$CK$23</c:f>
              <c:numCache>
                <c:formatCode>#,##0</c:formatCode>
                <c:ptCount val="8"/>
                <c:pt idx="0">
                  <c:v>1566473</c:v>
                </c:pt>
                <c:pt idx="1">
                  <c:v>1248551</c:v>
                </c:pt>
                <c:pt idx="2">
                  <c:v>1209715</c:v>
                </c:pt>
                <c:pt idx="3">
                  <c:v>534748</c:v>
                </c:pt>
                <c:pt idx="4">
                  <c:v>703712</c:v>
                </c:pt>
                <c:pt idx="5">
                  <c:v>468983</c:v>
                </c:pt>
                <c:pt idx="6">
                  <c:v>867397</c:v>
                </c:pt>
                <c:pt idx="7">
                  <c:v>673950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CE-8345-B468-0B120035432E}"/>
            </c:ext>
          </c:extLst>
        </c:ser>
        <c:ser>
          <c:idx val="3"/>
          <c:order val="3"/>
          <c:tx>
            <c:strRef>
              <c:f>AFORO!$CC$24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AFORO!$CD$20:$CK$20</c:f>
              <c:strCache>
                <c:ptCount val="8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</c:strCache>
            </c:strRef>
          </c:cat>
          <c:val>
            <c:numRef>
              <c:f>AFORO!$CD$24:$CK$24</c:f>
              <c:numCache>
                <c:formatCode>#,##0</c:formatCode>
                <c:ptCount val="8"/>
                <c:pt idx="0">
                  <c:v>1603254</c:v>
                </c:pt>
                <c:pt idx="1">
                  <c:v>1225048</c:v>
                </c:pt>
                <c:pt idx="2">
                  <c:v>1004765</c:v>
                </c:pt>
                <c:pt idx="3">
                  <c:v>528682</c:v>
                </c:pt>
                <c:pt idx="4">
                  <c:v>599273</c:v>
                </c:pt>
                <c:pt idx="5">
                  <c:v>441659</c:v>
                </c:pt>
                <c:pt idx="6">
                  <c:v>882885</c:v>
                </c:pt>
                <c:pt idx="7">
                  <c:v>684852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CE-8345-B468-0B1200354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368080"/>
        <c:axId val="2037327888"/>
      </c:barChart>
      <c:catAx>
        <c:axId val="20373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7327888"/>
        <c:crosses val="autoZero"/>
        <c:auto val="1"/>
        <c:lblAlgn val="ctr"/>
        <c:lblOffset val="100"/>
        <c:noMultiLvlLbl val="0"/>
      </c:catAx>
      <c:valAx>
        <c:axId val="203732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7368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AFORO!$AW$25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AFORO!$AV$26:$AV$35</c:f>
              <c:strCache>
                <c:ptCount val="10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AFORO!$AW$26:$AW$35</c:f>
              <c:numCache>
                <c:formatCode>#,##0</c:formatCode>
                <c:ptCount val="10"/>
                <c:pt idx="8">
                  <c:v>101461</c:v>
                </c:pt>
                <c:pt idx="9">
                  <c:v>101480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8-354D-BCC0-81BAD7BA4A2B}"/>
            </c:ext>
          </c:extLst>
        </c:ser>
        <c:ser>
          <c:idx val="1"/>
          <c:order val="1"/>
          <c:tx>
            <c:strRef>
              <c:f>AFORO!$AX$25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AFORO!$AV$26:$AV$35</c:f>
              <c:strCache>
                <c:ptCount val="10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AFORO!$AX$26:$AX$35</c:f>
              <c:numCache>
                <c:formatCode>#,##0</c:formatCode>
                <c:ptCount val="10"/>
                <c:pt idx="0">
                  <c:v>106554</c:v>
                </c:pt>
                <c:pt idx="1">
                  <c:v>100481</c:v>
                </c:pt>
                <c:pt idx="2">
                  <c:v>112578</c:v>
                </c:pt>
                <c:pt idx="3">
                  <c:v>113104</c:v>
                </c:pt>
                <c:pt idx="4">
                  <c:v>116216</c:v>
                </c:pt>
                <c:pt idx="5">
                  <c:v>120214</c:v>
                </c:pt>
                <c:pt idx="6">
                  <c:v>122015</c:v>
                </c:pt>
                <c:pt idx="7">
                  <c:v>109314</c:v>
                </c:pt>
                <c:pt idx="8">
                  <c:v>108072</c:v>
                </c:pt>
                <c:pt idx="9">
                  <c:v>107668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8-354D-BCC0-81BAD7BA4A2B}"/>
            </c:ext>
          </c:extLst>
        </c:ser>
        <c:ser>
          <c:idx val="2"/>
          <c:order val="2"/>
          <c:tx>
            <c:strRef>
              <c:f>AFORO!$AY$25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AFORO!$AV$26:$AV$35</c:f>
              <c:strCache>
                <c:ptCount val="10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AFORO!$AY$26:$AY$35</c:f>
              <c:numCache>
                <c:formatCode>#,##0</c:formatCode>
                <c:ptCount val="10"/>
                <c:pt idx="0">
                  <c:v>110591</c:v>
                </c:pt>
                <c:pt idx="1">
                  <c:v>105337</c:v>
                </c:pt>
                <c:pt idx="2">
                  <c:v>110910</c:v>
                </c:pt>
                <c:pt idx="3">
                  <c:v>108717</c:v>
                </c:pt>
                <c:pt idx="4">
                  <c:v>112574</c:v>
                </c:pt>
                <c:pt idx="5">
                  <c:v>125821</c:v>
                </c:pt>
                <c:pt idx="6">
                  <c:v>122130</c:v>
                </c:pt>
                <c:pt idx="7">
                  <c:v>116686</c:v>
                </c:pt>
                <c:pt idx="8">
                  <c:v>105745</c:v>
                </c:pt>
                <c:pt idx="9">
                  <c:v>110135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F8-354D-BCC0-81BAD7BA4A2B}"/>
            </c:ext>
          </c:extLst>
        </c:ser>
        <c:ser>
          <c:idx val="3"/>
          <c:order val="3"/>
          <c:tx>
            <c:strRef>
              <c:f>AFORO!$AZ$25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AFORO!$AV$26:$AV$35</c:f>
              <c:strCache>
                <c:ptCount val="10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AFORO!$AZ$26:$AZ$35</c:f>
              <c:numCache>
                <c:formatCode>#,##0</c:formatCode>
                <c:ptCount val="10"/>
                <c:pt idx="0">
                  <c:v>114146</c:v>
                </c:pt>
                <c:pt idx="1">
                  <c:v>107505</c:v>
                </c:pt>
                <c:pt idx="2">
                  <c:v>115173</c:v>
                </c:pt>
                <c:pt idx="3">
                  <c:v>109523</c:v>
                </c:pt>
                <c:pt idx="4">
                  <c:v>122805</c:v>
                </c:pt>
                <c:pt idx="5">
                  <c:v>115700</c:v>
                </c:pt>
                <c:pt idx="6">
                  <c:v>117455</c:v>
                </c:pt>
                <c:pt idx="7">
                  <c:v>113038</c:v>
                </c:pt>
                <c:pt idx="8">
                  <c:v>108071</c:v>
                </c:pt>
                <c:pt idx="9">
                  <c:v>109416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F8-354D-BCC0-81BAD7BA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5200895"/>
        <c:axId val="1135213439"/>
      </c:barChart>
      <c:catAx>
        <c:axId val="113520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5213439"/>
        <c:crosses val="autoZero"/>
        <c:auto val="1"/>
        <c:lblAlgn val="ctr"/>
        <c:lblOffset val="100"/>
        <c:noMultiLvlLbl val="0"/>
      </c:catAx>
      <c:valAx>
        <c:axId val="113521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520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AFORO!$AW$25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AFORO!$AV$26:$AV$37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AFORO!$AW$26:$AW$37</c:f>
              <c:numCache>
                <c:formatCode>#,##0</c:formatCode>
                <c:ptCount val="12"/>
                <c:pt idx="8">
                  <c:v>101461</c:v>
                </c:pt>
                <c:pt idx="9">
                  <c:v>101480</c:v>
                </c:pt>
                <c:pt idx="10">
                  <c:v>99023</c:v>
                </c:pt>
                <c:pt idx="11">
                  <c:v>96129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8-BF4B-AC5E-FB3F9B58D11A}"/>
            </c:ext>
          </c:extLst>
        </c:ser>
        <c:ser>
          <c:idx val="1"/>
          <c:order val="1"/>
          <c:tx>
            <c:strRef>
              <c:f>AFORO!$AX$25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AFORO!$AV$26:$AV$37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AFORO!$AX$26:$AX$37</c:f>
              <c:numCache>
                <c:formatCode>#,##0</c:formatCode>
                <c:ptCount val="12"/>
                <c:pt idx="0">
                  <c:v>106554</c:v>
                </c:pt>
                <c:pt idx="1">
                  <c:v>100481</c:v>
                </c:pt>
                <c:pt idx="2">
                  <c:v>112578</c:v>
                </c:pt>
                <c:pt idx="3">
                  <c:v>113104</c:v>
                </c:pt>
                <c:pt idx="4">
                  <c:v>116216</c:v>
                </c:pt>
                <c:pt idx="5">
                  <c:v>120214</c:v>
                </c:pt>
                <c:pt idx="6">
                  <c:v>122015</c:v>
                </c:pt>
                <c:pt idx="7">
                  <c:v>109314</c:v>
                </c:pt>
                <c:pt idx="8">
                  <c:v>108072</c:v>
                </c:pt>
                <c:pt idx="9">
                  <c:v>107668</c:v>
                </c:pt>
                <c:pt idx="10">
                  <c:v>101710</c:v>
                </c:pt>
                <c:pt idx="11">
                  <c:v>104227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8-BF4B-AC5E-FB3F9B58D11A}"/>
            </c:ext>
          </c:extLst>
        </c:ser>
        <c:ser>
          <c:idx val="2"/>
          <c:order val="2"/>
          <c:tx>
            <c:strRef>
              <c:f>AFORO!$AY$25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AFORO!$AV$26:$AV$37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AFORO!$AY$26:$AY$37</c:f>
              <c:numCache>
                <c:formatCode>#,##0</c:formatCode>
                <c:ptCount val="12"/>
                <c:pt idx="0">
                  <c:v>110591</c:v>
                </c:pt>
                <c:pt idx="1">
                  <c:v>105337</c:v>
                </c:pt>
                <c:pt idx="2">
                  <c:v>110910</c:v>
                </c:pt>
                <c:pt idx="3">
                  <c:v>108717</c:v>
                </c:pt>
                <c:pt idx="4">
                  <c:v>112574</c:v>
                </c:pt>
                <c:pt idx="5">
                  <c:v>125821</c:v>
                </c:pt>
                <c:pt idx="6">
                  <c:v>122130</c:v>
                </c:pt>
                <c:pt idx="7">
                  <c:v>116686</c:v>
                </c:pt>
                <c:pt idx="8">
                  <c:v>105745</c:v>
                </c:pt>
                <c:pt idx="9">
                  <c:v>110135</c:v>
                </c:pt>
                <c:pt idx="10">
                  <c:v>114610</c:v>
                </c:pt>
                <c:pt idx="11">
                  <c:v>116194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08-BF4B-AC5E-FB3F9B58D11A}"/>
            </c:ext>
          </c:extLst>
        </c:ser>
        <c:ser>
          <c:idx val="3"/>
          <c:order val="3"/>
          <c:tx>
            <c:strRef>
              <c:f>AFORO!$AZ$25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AFORO!$AV$26:$AV$37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AFORO!$AZ$26:$AZ$37</c:f>
              <c:numCache>
                <c:formatCode>#,##0</c:formatCode>
                <c:ptCount val="12"/>
                <c:pt idx="0">
                  <c:v>114146</c:v>
                </c:pt>
                <c:pt idx="1">
                  <c:v>107505</c:v>
                </c:pt>
                <c:pt idx="2">
                  <c:v>115173</c:v>
                </c:pt>
                <c:pt idx="3">
                  <c:v>109523</c:v>
                </c:pt>
                <c:pt idx="4">
                  <c:v>122805</c:v>
                </c:pt>
                <c:pt idx="5">
                  <c:v>115700</c:v>
                </c:pt>
                <c:pt idx="6">
                  <c:v>117455</c:v>
                </c:pt>
                <c:pt idx="7">
                  <c:v>113038</c:v>
                </c:pt>
                <c:pt idx="8">
                  <c:v>108071</c:v>
                </c:pt>
                <c:pt idx="9">
                  <c:v>109416</c:v>
                </c:pt>
                <c:pt idx="10">
                  <c:v>101770</c:v>
                </c:pt>
                <c:pt idx="11">
                  <c:v>107292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08-BF4B-AC5E-FB3F9B58D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005247"/>
        <c:axId val="692589375"/>
      </c:barChart>
      <c:catAx>
        <c:axId val="40000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2589375"/>
        <c:crosses val="autoZero"/>
        <c:auto val="1"/>
        <c:lblAlgn val="ctr"/>
        <c:lblOffset val="100"/>
        <c:noMultiLvlLbl val="0"/>
      </c:catAx>
      <c:valAx>
        <c:axId val="69258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000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Roboto Medium" panose="02000000000000000000" pitchFamily="2" charset="0"/>
                    <a:ea typeface="Roboto Medium" panose="02000000000000000000" pitchFamily="2" charset="0"/>
                    <a:cs typeface="Roboto Medium" panose="02000000000000000000" pitchFamily="2" charset="0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'SEMANAL-2024'!$X$7:$X$58</c:f>
              <c:numCache>
                <c:formatCode>#,##0</c:formatCode>
                <c:ptCount val="52"/>
                <c:pt idx="0">
                  <c:v>509436</c:v>
                </c:pt>
                <c:pt idx="1">
                  <c:v>524185</c:v>
                </c:pt>
                <c:pt idx="2">
                  <c:v>511287</c:v>
                </c:pt>
                <c:pt idx="3">
                  <c:v>511386</c:v>
                </c:pt>
                <c:pt idx="4">
                  <c:v>507865</c:v>
                </c:pt>
                <c:pt idx="5">
                  <c:v>509461</c:v>
                </c:pt>
                <c:pt idx="6">
                  <c:v>539775</c:v>
                </c:pt>
                <c:pt idx="7">
                  <c:v>515616</c:v>
                </c:pt>
                <c:pt idx="8">
                  <c:v>522337</c:v>
                </c:pt>
                <c:pt idx="9">
                  <c:v>512772</c:v>
                </c:pt>
                <c:pt idx="10">
                  <c:v>525090</c:v>
                </c:pt>
                <c:pt idx="11">
                  <c:v>509630</c:v>
                </c:pt>
                <c:pt idx="12">
                  <c:v>539642</c:v>
                </c:pt>
                <c:pt idx="13">
                  <c:v>539243</c:v>
                </c:pt>
                <c:pt idx="14">
                  <c:v>501205</c:v>
                </c:pt>
                <c:pt idx="15">
                  <c:v>519702</c:v>
                </c:pt>
                <c:pt idx="16">
                  <c:v>538799</c:v>
                </c:pt>
                <c:pt idx="17">
                  <c:v>585249</c:v>
                </c:pt>
                <c:pt idx="18">
                  <c:v>560824</c:v>
                </c:pt>
                <c:pt idx="19">
                  <c:v>549015</c:v>
                </c:pt>
                <c:pt idx="20">
                  <c:v>528067</c:v>
                </c:pt>
                <c:pt idx="21">
                  <c:v>552634</c:v>
                </c:pt>
                <c:pt idx="22">
                  <c:v>554235</c:v>
                </c:pt>
                <c:pt idx="23">
                  <c:v>628148</c:v>
                </c:pt>
                <c:pt idx="24">
                  <c:v>615531</c:v>
                </c:pt>
                <c:pt idx="25">
                  <c:v>602146</c:v>
                </c:pt>
                <c:pt idx="26">
                  <c:v>645619</c:v>
                </c:pt>
                <c:pt idx="27">
                  <c:v>623679</c:v>
                </c:pt>
                <c:pt idx="28">
                  <c:v>607729</c:v>
                </c:pt>
                <c:pt idx="29">
                  <c:v>591715</c:v>
                </c:pt>
                <c:pt idx="30">
                  <c:v>568315</c:v>
                </c:pt>
                <c:pt idx="31">
                  <c:v>555750</c:v>
                </c:pt>
                <c:pt idx="32">
                  <c:v>592379</c:v>
                </c:pt>
                <c:pt idx="33">
                  <c:v>617165</c:v>
                </c:pt>
                <c:pt idx="34">
                  <c:v>553477</c:v>
                </c:pt>
                <c:pt idx="35">
                  <c:v>666581</c:v>
                </c:pt>
                <c:pt idx="36">
                  <c:v>444613</c:v>
                </c:pt>
                <c:pt idx="37">
                  <c:v>501954</c:v>
                </c:pt>
                <c:pt idx="38">
                  <c:v>493993</c:v>
                </c:pt>
                <c:pt idx="39">
                  <c:v>538427</c:v>
                </c:pt>
                <c:pt idx="40">
                  <c:v>503797</c:v>
                </c:pt>
                <c:pt idx="41">
                  <c:v>538236</c:v>
                </c:pt>
                <c:pt idx="42">
                  <c:v>535030</c:v>
                </c:pt>
                <c:pt idx="43">
                  <c:v>584406</c:v>
                </c:pt>
                <c:pt idx="44">
                  <c:v>544197</c:v>
                </c:pt>
                <c:pt idx="45">
                  <c:v>619696</c:v>
                </c:pt>
                <c:pt idx="46">
                  <c:v>602440</c:v>
                </c:pt>
                <c:pt idx="47">
                  <c:v>610628</c:v>
                </c:pt>
                <c:pt idx="48">
                  <c:v>656889</c:v>
                </c:pt>
                <c:pt idx="49">
                  <c:v>689906</c:v>
                </c:pt>
                <c:pt idx="50">
                  <c:v>775273</c:v>
                </c:pt>
                <c:pt idx="51">
                  <c:v>687341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4-4B02-9481-EEC21DDA189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2.1359406194878951E-2"/>
                  <c:y val="-0.10103169772330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9D-4311-A146-E20B8CAC8274}"/>
                </c:ext>
              </c:extLst>
            </c:dLbl>
            <c:dLbl>
              <c:idx val="8"/>
              <c:layout>
                <c:manualLayout>
                  <c:x val="-3.1292421987630659E-2"/>
                  <c:y val="-8.67423872810184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9D-4311-A146-E20B8CAC8274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Roboto Medium" panose="02000000000000000000" pitchFamily="2" charset="0"/>
                    <a:ea typeface="Roboto Medium" panose="02000000000000000000" pitchFamily="2" charset="0"/>
                    <a:cs typeface="Roboto Medium" panose="02000000000000000000" pitchFamily="2" charset="0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'SEMANAL-2024'!$Y$7:$Y$58</c:f>
              <c:numCache>
                <c:formatCode>#,##0</c:formatCode>
                <c:ptCount val="52"/>
                <c:pt idx="0">
                  <c:v>517438</c:v>
                </c:pt>
                <c:pt idx="1">
                  <c:v>545093</c:v>
                </c:pt>
                <c:pt idx="2">
                  <c:v>546225</c:v>
                </c:pt>
                <c:pt idx="3">
                  <c:v>551787</c:v>
                </c:pt>
                <c:pt idx="4">
                  <c:v>546256</c:v>
                </c:pt>
                <c:pt idx="5">
                  <c:v>565882</c:v>
                </c:pt>
                <c:pt idx="6">
                  <c:v>582761</c:v>
                </c:pt>
                <c:pt idx="7">
                  <c:v>517448</c:v>
                </c:pt>
                <c:pt idx="8">
                  <c:v>504753</c:v>
                </c:pt>
                <c:pt idx="9">
                  <c:v>565648</c:v>
                </c:pt>
                <c:pt idx="10">
                  <c:v>574355</c:v>
                </c:pt>
                <c:pt idx="11">
                  <c:v>568464</c:v>
                </c:pt>
                <c:pt idx="12">
                  <c:v>539934</c:v>
                </c:pt>
                <c:pt idx="13">
                  <c:v>613327</c:v>
                </c:pt>
                <c:pt idx="14">
                  <c:v>606660</c:v>
                </c:pt>
                <c:pt idx="15">
                  <c:v>561128</c:v>
                </c:pt>
                <c:pt idx="16">
                  <c:v>572592</c:v>
                </c:pt>
                <c:pt idx="17">
                  <c:v>592144</c:v>
                </c:pt>
                <c:pt idx="18">
                  <c:v>562507</c:v>
                </c:pt>
                <c:pt idx="19">
                  <c:v>563997</c:v>
                </c:pt>
                <c:pt idx="20">
                  <c:v>584860</c:v>
                </c:pt>
                <c:pt idx="21">
                  <c:v>595441</c:v>
                </c:pt>
                <c:pt idx="22">
                  <c:v>577267</c:v>
                </c:pt>
                <c:pt idx="23">
                  <c:v>588504</c:v>
                </c:pt>
                <c:pt idx="24">
                  <c:v>571041</c:v>
                </c:pt>
                <c:pt idx="25">
                  <c:v>576253</c:v>
                </c:pt>
                <c:pt idx="26">
                  <c:v>579094</c:v>
                </c:pt>
                <c:pt idx="27">
                  <c:v>595528</c:v>
                </c:pt>
                <c:pt idx="28">
                  <c:v>604876</c:v>
                </c:pt>
                <c:pt idx="29">
                  <c:v>607478</c:v>
                </c:pt>
                <c:pt idx="30">
                  <c:v>576901</c:v>
                </c:pt>
                <c:pt idx="31">
                  <c:v>563717</c:v>
                </c:pt>
                <c:pt idx="32">
                  <c:v>560343</c:v>
                </c:pt>
                <c:pt idx="33">
                  <c:v>608815</c:v>
                </c:pt>
                <c:pt idx="34">
                  <c:v>564445</c:v>
                </c:pt>
                <c:pt idx="35">
                  <c:v>639944</c:v>
                </c:pt>
                <c:pt idx="36">
                  <c:v>531532</c:v>
                </c:pt>
                <c:pt idx="37">
                  <c:v>523475</c:v>
                </c:pt>
                <c:pt idx="38">
                  <c:v>545512</c:v>
                </c:pt>
                <c:pt idx="39">
                  <c:v>561381</c:v>
                </c:pt>
                <c:pt idx="40">
                  <c:v>563130</c:v>
                </c:pt>
                <c:pt idx="41">
                  <c:v>538515</c:v>
                </c:pt>
                <c:pt idx="42">
                  <c:v>597321</c:v>
                </c:pt>
                <c:pt idx="43">
                  <c:v>587600</c:v>
                </c:pt>
                <c:pt idx="44">
                  <c:v>537569</c:v>
                </c:pt>
                <c:pt idx="45">
                  <c:v>605650</c:v>
                </c:pt>
                <c:pt idx="46">
                  <c:v>613889</c:v>
                </c:pt>
                <c:pt idx="47">
                  <c:v>605945</c:v>
                </c:pt>
                <c:pt idx="48">
                  <c:v>696216</c:v>
                </c:pt>
                <c:pt idx="49">
                  <c:v>693678</c:v>
                </c:pt>
                <c:pt idx="50">
                  <c:v>763085</c:v>
                </c:pt>
                <c:pt idx="51">
                  <c:v>602705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4-4B02-9481-EEC21DDA18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647631"/>
        <c:axId val="993516703"/>
      </c:lineChart>
      <c:catAx>
        <c:axId val="121647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Medium" panose="02000000000000000000" pitchFamily="2" charset="0"/>
                <a:ea typeface="Roboto Medium" panose="02000000000000000000" pitchFamily="2" charset="0"/>
                <a:cs typeface="Roboto Medium" panose="02000000000000000000" pitchFamily="2" charset="0"/>
              </a:defRPr>
            </a:pPr>
            <a:endParaRPr lang="es-MX"/>
          </a:p>
        </c:txPr>
        <c:crossAx val="993516703"/>
        <c:crosses val="autoZero"/>
        <c:auto val="1"/>
        <c:lblAlgn val="ctr"/>
        <c:lblOffset val="100"/>
        <c:noMultiLvlLbl val="0"/>
      </c:catAx>
      <c:valAx>
        <c:axId val="9935167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164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Medium" panose="02000000000000000000" pitchFamily="2" charset="0"/>
              <a:ea typeface="Roboto Medium" panose="02000000000000000000" pitchFamily="2" charset="0"/>
              <a:cs typeface="Roboto Medium" panose="02000000000000000000" pitchFamily="2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Medium" panose="02000000000000000000" pitchFamily="2" charset="0"/>
          <a:ea typeface="Roboto Medium" panose="02000000000000000000" pitchFamily="2" charset="0"/>
          <a:cs typeface="Roboto Medium" panose="020000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Heebo" pitchFamily="2" charset="-79"/>
                    <a:ea typeface="+mn-ea"/>
                    <a:cs typeface="Heebo" pitchFamily="2" charset="-79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'SEMANAL-2023'!$B$6:$B$27</c:f>
              <c:numCache>
                <c:formatCode>General</c:formatCode>
                <c:ptCount val="22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  <c:pt idx="8">
                  <c:v>39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  <c:pt idx="21">
                  <c:v>52</c:v>
                </c:pt>
              </c:numCache>
            </c:numRef>
          </c:cat>
          <c:val>
            <c:numRef>
              <c:f>'SEMANAL-2023'!$X$6:$X$27</c:f>
              <c:numCache>
                <c:formatCode>#,##0</c:formatCode>
                <c:ptCount val="22"/>
                <c:pt idx="0">
                  <c:v>612697</c:v>
                </c:pt>
                <c:pt idx="1">
                  <c:v>594488</c:v>
                </c:pt>
                <c:pt idx="2">
                  <c:v>572966</c:v>
                </c:pt>
                <c:pt idx="3">
                  <c:v>647107</c:v>
                </c:pt>
                <c:pt idx="4">
                  <c:v>597120</c:v>
                </c:pt>
                <c:pt idx="5">
                  <c:v>575545</c:v>
                </c:pt>
                <c:pt idx="6">
                  <c:v>557816</c:v>
                </c:pt>
                <c:pt idx="7">
                  <c:v>553626</c:v>
                </c:pt>
                <c:pt idx="8">
                  <c:v>567720</c:v>
                </c:pt>
                <c:pt idx="9">
                  <c:v>532630</c:v>
                </c:pt>
                <c:pt idx="10">
                  <c:v>536584</c:v>
                </c:pt>
                <c:pt idx="11">
                  <c:v>505983</c:v>
                </c:pt>
                <c:pt idx="12">
                  <c:v>562028</c:v>
                </c:pt>
                <c:pt idx="13">
                  <c:v>577266</c:v>
                </c:pt>
                <c:pt idx="14">
                  <c:v>536193</c:v>
                </c:pt>
                <c:pt idx="15">
                  <c:v>605650</c:v>
                </c:pt>
                <c:pt idx="16">
                  <c:v>613889</c:v>
                </c:pt>
                <c:pt idx="17">
                  <c:v>605945</c:v>
                </c:pt>
                <c:pt idx="18">
                  <c:v>672933</c:v>
                </c:pt>
                <c:pt idx="19">
                  <c:v>693678</c:v>
                </c:pt>
                <c:pt idx="20">
                  <c:v>763085</c:v>
                </c:pt>
                <c:pt idx="21">
                  <c:v>602705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3-409A-80A1-61C32DFC189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Heebo" pitchFamily="2" charset="-79"/>
                    <a:ea typeface="+mn-ea"/>
                    <a:cs typeface="Heebo" pitchFamily="2" charset="-79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'SEMANAL-2023'!$B$6:$B$27</c:f>
              <c:numCache>
                <c:formatCode>General</c:formatCode>
                <c:ptCount val="22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  <c:pt idx="8">
                  <c:v>39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  <c:pt idx="21">
                  <c:v>52</c:v>
                </c:pt>
              </c:numCache>
            </c:numRef>
          </c:cat>
          <c:val>
            <c:numRef>
              <c:f>'SEMANAL-2023'!$Y$6:$Y$27</c:f>
              <c:numCache>
                <c:formatCode>#,##0</c:formatCode>
                <c:ptCount val="22"/>
                <c:pt idx="0">
                  <c:v>549686</c:v>
                </c:pt>
                <c:pt idx="1">
                  <c:v>506186</c:v>
                </c:pt>
                <c:pt idx="2">
                  <c:v>576012</c:v>
                </c:pt>
                <c:pt idx="3">
                  <c:v>576563</c:v>
                </c:pt>
                <c:pt idx="4">
                  <c:v>539406</c:v>
                </c:pt>
                <c:pt idx="5">
                  <c:v>580242</c:v>
                </c:pt>
                <c:pt idx="6">
                  <c:v>596486</c:v>
                </c:pt>
                <c:pt idx="7">
                  <c:v>584220</c:v>
                </c:pt>
                <c:pt idx="8">
                  <c:v>579011</c:v>
                </c:pt>
                <c:pt idx="9">
                  <c:v>549885</c:v>
                </c:pt>
                <c:pt idx="10">
                  <c:v>553351</c:v>
                </c:pt>
                <c:pt idx="11">
                  <c:v>571957</c:v>
                </c:pt>
                <c:pt idx="12">
                  <c:v>583281</c:v>
                </c:pt>
                <c:pt idx="13">
                  <c:v>610355</c:v>
                </c:pt>
                <c:pt idx="14">
                  <c:v>560489</c:v>
                </c:pt>
                <c:pt idx="15">
                  <c:v>600721</c:v>
                </c:pt>
                <c:pt idx="16">
                  <c:v>592937</c:v>
                </c:pt>
                <c:pt idx="17">
                  <c:v>554924</c:v>
                </c:pt>
                <c:pt idx="18">
                  <c:v>608039</c:v>
                </c:pt>
                <c:pt idx="19">
                  <c:v>676122</c:v>
                </c:pt>
                <c:pt idx="20">
                  <c:v>775511</c:v>
                </c:pt>
                <c:pt idx="21">
                  <c:v>598925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D3-409A-80A1-61C32DFC18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7807375"/>
        <c:axId val="484889183"/>
      </c:lineChart>
      <c:catAx>
        <c:axId val="120780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ebo" pitchFamily="2" charset="-79"/>
                <a:ea typeface="+mn-ea"/>
                <a:cs typeface="Heebo" pitchFamily="2" charset="-79"/>
              </a:defRPr>
            </a:pPr>
            <a:endParaRPr lang="es-MX"/>
          </a:p>
        </c:txPr>
        <c:crossAx val="484889183"/>
        <c:crosses val="autoZero"/>
        <c:auto val="1"/>
        <c:lblAlgn val="ctr"/>
        <c:lblOffset val="100"/>
        <c:noMultiLvlLbl val="0"/>
      </c:catAx>
      <c:valAx>
        <c:axId val="4848891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0780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ebo" pitchFamily="2" charset="-79"/>
              <a:ea typeface="+mn-ea"/>
              <a:cs typeface="Heebo" pitchFamily="2" charset="-79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Heebo" pitchFamily="2" charset="-79"/>
          <a:cs typeface="Heebo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8" Type="http://schemas.openxmlformats.org/officeDocument/2006/relationships/chart" Target="../charts/chart20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ustomXml" Target="../ink/ink1.xml"/><Relationship Id="rId17" Type="http://schemas.openxmlformats.org/officeDocument/2006/relationships/chart" Target="../charts/chart19.xml"/><Relationship Id="rId2" Type="http://schemas.openxmlformats.org/officeDocument/2006/relationships/chart" Target="../charts/chart7.xml"/><Relationship Id="rId16" Type="http://schemas.openxmlformats.org/officeDocument/2006/relationships/chart" Target="../charts/chart18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5" Type="http://schemas.openxmlformats.org/officeDocument/2006/relationships/chart" Target="../charts/chart17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812800</xdr:colOff>
      <xdr:row>54</xdr:row>
      <xdr:rowOff>219075</xdr:rowOff>
    </xdr:from>
    <xdr:to>
      <xdr:col>9</xdr:col>
      <xdr:colOff>419100</xdr:colOff>
      <xdr:row>68</xdr:row>
      <xdr:rowOff>92075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52A4DBFC-5B03-119A-1DCF-8D42B5AB64E2}"/>
            </a:ext>
            <a:ext uri="{147F2762-F138-4A5C-976F-8EAC2B608ADB}">
              <a16:predDERef xmlns:a16="http://schemas.microsoft.com/office/drawing/2014/main" pred="{EBD9673C-6557-D20E-628B-932D0FA58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273050</xdr:colOff>
      <xdr:row>43</xdr:row>
      <xdr:rowOff>3175</xdr:rowOff>
    </xdr:from>
    <xdr:to>
      <xdr:col>37</xdr:col>
      <xdr:colOff>806450</xdr:colOff>
      <xdr:row>56</xdr:row>
      <xdr:rowOff>76200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B39890AF-C2B1-1F80-11AF-E898A0D4B6A8}"/>
            </a:ext>
            <a:ext uri="{147F2762-F138-4A5C-976F-8EAC2B608ADB}">
              <a16:predDERef xmlns:a16="http://schemas.microsoft.com/office/drawing/2014/main" pred="{52A4DBFC-5B03-119A-1DCF-8D42B5AB6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81</xdr:col>
      <xdr:colOff>826558</xdr:colOff>
      <xdr:row>55</xdr:row>
      <xdr:rowOff>82550</xdr:rowOff>
    </xdr:from>
    <xdr:to>
      <xdr:col>86</xdr:col>
      <xdr:colOff>410633</xdr:colOff>
      <xdr:row>67</xdr:row>
      <xdr:rowOff>35983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FC8F6DE-02CB-0B62-4FC3-BB17BE3C5CBC}"/>
            </a:ext>
            <a:ext uri="{147F2762-F138-4A5C-976F-8EAC2B608ADB}">
              <a16:predDERef xmlns:a16="http://schemas.microsoft.com/office/drawing/2014/main" pred="{B39890AF-C2B1-1F80-11AF-E898A0D4B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81</xdr:col>
      <xdr:colOff>495300</xdr:colOff>
      <xdr:row>15</xdr:row>
      <xdr:rowOff>180975</xdr:rowOff>
    </xdr:from>
    <xdr:to>
      <xdr:col>86</xdr:col>
      <xdr:colOff>66675</xdr:colOff>
      <xdr:row>28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C3FCFF-A0A1-6CC2-CBEA-156A6F6E73ED}"/>
            </a:ext>
            <a:ext uri="{147F2762-F138-4A5C-976F-8EAC2B608ADB}">
              <a16:predDERef xmlns:a16="http://schemas.microsoft.com/office/drawing/2014/main" pred="{6FC8F6DE-02CB-0B62-4FC3-BB17BE3C5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184150</xdr:colOff>
      <xdr:row>35</xdr:row>
      <xdr:rowOff>158750</xdr:rowOff>
    </xdr:from>
    <xdr:to>
      <xdr:col>14</xdr:col>
      <xdr:colOff>1136650</xdr:colOff>
      <xdr:row>47</xdr:row>
      <xdr:rowOff>158750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7229A8-FA78-463F-2833-9224FB2D2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49</xdr:row>
      <xdr:rowOff>146938</xdr:rowOff>
    </xdr:from>
    <xdr:to>
      <xdr:col>13</xdr:col>
      <xdr:colOff>914399</xdr:colOff>
      <xdr:row>65</xdr:row>
      <xdr:rowOff>4060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9DCF2B-A380-F540-A990-84F7C1852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-9525</xdr:colOff>
      <xdr:row>88</xdr:row>
      <xdr:rowOff>194563</xdr:rowOff>
    </xdr:from>
    <xdr:to>
      <xdr:col>14</xdr:col>
      <xdr:colOff>76200</xdr:colOff>
      <xdr:row>104</xdr:row>
      <xdr:rowOff>51685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410F22-BFBA-B442-8273-8050E467471E}"/>
            </a:ext>
            <a:ext uri="{147F2762-F138-4A5C-976F-8EAC2B608ADB}">
              <a16:predDERef xmlns:a16="http://schemas.microsoft.com/office/drawing/2014/main" pred="{0A9DCF2B-A380-F540-A990-84F7C1852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396874</xdr:colOff>
      <xdr:row>52</xdr:row>
      <xdr:rowOff>42163</xdr:rowOff>
    </xdr:from>
    <xdr:to>
      <xdr:col>42</xdr:col>
      <xdr:colOff>492124</xdr:colOff>
      <xdr:row>67</xdr:row>
      <xdr:rowOff>99310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7B3739-3940-6D48-8F52-020A22EF4ADE}"/>
            </a:ext>
            <a:ext uri="{147F2762-F138-4A5C-976F-8EAC2B608ADB}">
              <a16:predDERef xmlns:a16="http://schemas.microsoft.com/office/drawing/2014/main" pred="{6B410F22-BFBA-B442-8273-8050E4674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280987</xdr:colOff>
      <xdr:row>92</xdr:row>
      <xdr:rowOff>39782</xdr:rowOff>
    </xdr:from>
    <xdr:to>
      <xdr:col>54</xdr:col>
      <xdr:colOff>157162</xdr:colOff>
      <xdr:row>107</xdr:row>
      <xdr:rowOff>96929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DB5F74-BA42-A940-BDFF-49AE13F9A7B0}"/>
            </a:ext>
            <a:ext uri="{147F2762-F138-4A5C-976F-8EAC2B608ADB}">
              <a16:predDERef xmlns:a16="http://schemas.microsoft.com/office/drawing/2014/main" pred="{297B3739-3940-6D48-8F52-020A22EF4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19049</xdr:colOff>
      <xdr:row>65</xdr:row>
      <xdr:rowOff>184357</xdr:rowOff>
    </xdr:from>
    <xdr:to>
      <xdr:col>13</xdr:col>
      <xdr:colOff>885824</xdr:colOff>
      <xdr:row>81</xdr:row>
      <xdr:rowOff>13588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56F46A1-5AF0-DC4A-BDDB-4C8601B90AEC}"/>
            </a:ext>
            <a:ext uri="{147F2762-F138-4A5C-976F-8EAC2B608ADB}">
              <a16:predDERef xmlns:a16="http://schemas.microsoft.com/office/drawing/2014/main" pred="{E7DB5F74-BA42-A940-BDFF-49AE13F9A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180975</xdr:colOff>
      <xdr:row>60</xdr:row>
      <xdr:rowOff>51007</xdr:rowOff>
    </xdr:from>
    <xdr:to>
      <xdr:col>30</xdr:col>
      <xdr:colOff>123825</xdr:colOff>
      <xdr:row>75</xdr:row>
      <xdr:rowOff>80263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23A7BE7-C6A1-8E4A-87E3-A93E177D247B}"/>
            </a:ext>
            <a:ext uri="{147F2762-F138-4A5C-976F-8EAC2B608ADB}">
              <a16:predDERef xmlns:a16="http://schemas.microsoft.com/office/drawing/2014/main" pred="{256F46A1-5AF0-DC4A-BDDB-4C8601B90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206375</xdr:colOff>
      <xdr:row>60</xdr:row>
      <xdr:rowOff>60532</xdr:rowOff>
    </xdr:from>
    <xdr:to>
      <xdr:col>42</xdr:col>
      <xdr:colOff>301625</xdr:colOff>
      <xdr:row>75</xdr:row>
      <xdr:rowOff>89788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220F3AF-AB1A-BB4C-97D8-F7A3DBAACCC0}"/>
            </a:ext>
            <a:ext uri="{147F2762-F138-4A5C-976F-8EAC2B608ADB}">
              <a16:predDERef xmlns:a16="http://schemas.microsoft.com/office/drawing/2014/main" pred="{123A7BE7-C6A1-8E4A-87E3-A93E177D2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171450</xdr:colOff>
      <xdr:row>76</xdr:row>
      <xdr:rowOff>31956</xdr:rowOff>
    </xdr:from>
    <xdr:to>
      <xdr:col>15</xdr:col>
      <xdr:colOff>114300</xdr:colOff>
      <xdr:row>91</xdr:row>
      <xdr:rowOff>51006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4D47344-17E2-734E-95F1-EDFA9847881C}"/>
            </a:ext>
            <a:ext uri="{147F2762-F138-4A5C-976F-8EAC2B608ADB}">
              <a16:predDERef xmlns:a16="http://schemas.microsoft.com/office/drawing/2014/main" pred="{8220F3AF-AB1A-BB4C-97D8-F7A3DBAAC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190499</xdr:colOff>
      <xdr:row>91</xdr:row>
      <xdr:rowOff>165985</xdr:rowOff>
    </xdr:from>
    <xdr:to>
      <xdr:col>15</xdr:col>
      <xdr:colOff>133349</xdr:colOff>
      <xdr:row>107</xdr:row>
      <xdr:rowOff>17667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70B5B13-28F3-6145-8AA4-FE15FD9054B4}"/>
            </a:ext>
            <a:ext uri="{147F2762-F138-4A5C-976F-8EAC2B608ADB}">
              <a16:predDERef xmlns:a16="http://schemas.microsoft.com/office/drawing/2014/main" pred="{C4D47344-17E2-734E-95F1-EDFA98478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190499</xdr:colOff>
      <xdr:row>107</xdr:row>
      <xdr:rowOff>70737</xdr:rowOff>
    </xdr:from>
    <xdr:to>
      <xdr:col>15</xdr:col>
      <xdr:colOff>133349</xdr:colOff>
      <xdr:row>122</xdr:row>
      <xdr:rowOff>89788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8ECED1F-030D-BD4C-B0F9-14EAAFB24900}"/>
            </a:ext>
            <a:ext uri="{147F2762-F138-4A5C-976F-8EAC2B608ADB}">
              <a16:predDERef xmlns:a16="http://schemas.microsoft.com/office/drawing/2014/main" pred="{A70B5B13-28F3-6145-8AA4-FE15FD905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190500</xdr:colOff>
      <xdr:row>123</xdr:row>
      <xdr:rowOff>31954</xdr:rowOff>
    </xdr:from>
    <xdr:to>
      <xdr:col>15</xdr:col>
      <xdr:colOff>133350</xdr:colOff>
      <xdr:row>138</xdr:row>
      <xdr:rowOff>31958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9CD5D8A-66BE-7D47-9593-AC98BB31C26C}"/>
            </a:ext>
            <a:ext uri="{147F2762-F138-4A5C-976F-8EAC2B608ADB}">
              <a16:predDERef xmlns:a16="http://schemas.microsoft.com/office/drawing/2014/main" pred="{88ECED1F-030D-BD4C-B0F9-14EAAFB24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14</xdr:col>
      <xdr:colOff>16329</xdr:colOff>
      <xdr:row>124</xdr:row>
      <xdr:rowOff>125318</xdr:rowOff>
    </xdr:from>
    <xdr:to>
      <xdr:col>14</xdr:col>
      <xdr:colOff>16329</xdr:colOff>
      <xdr:row>124</xdr:row>
      <xdr:rowOff>162480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CC52AAD9-18CA-5D4F-8092-405AFA007CB0}"/>
                </a:ext>
              </a:extLst>
            </xdr14:cNvPr>
            <xdr14:cNvContentPartPr/>
          </xdr14:nvContentPartPr>
          <xdr14:nvPr macro=""/>
          <xdr14:xfrm>
            <a:off x="4284720" y="24039022"/>
            <a:ext cx="12600" cy="3240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D32369CA-40E8-C103-4CFC-F0F8E60B403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275720" y="24030022"/>
              <a:ext cx="30240" cy="50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911225</xdr:colOff>
      <xdr:row>86</xdr:row>
      <xdr:rowOff>73025</xdr:rowOff>
    </xdr:from>
    <xdr:to>
      <xdr:col>9</xdr:col>
      <xdr:colOff>796925</xdr:colOff>
      <xdr:row>99</xdr:row>
      <xdr:rowOff>174625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F8765D3-D41C-742C-1747-3456CF231909}"/>
            </a:ext>
            <a:ext uri="{147F2762-F138-4A5C-976F-8EAC2B608ADB}">
              <a16:predDERef xmlns:a16="http://schemas.microsoft.com/office/drawing/2014/main" pred="{CC52AAD9-18CA-5D4F-8092-405AFA007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77</xdr:col>
      <xdr:colOff>296141</xdr:colOff>
      <xdr:row>49</xdr:row>
      <xdr:rowOff>138257</xdr:rowOff>
    </xdr:from>
    <xdr:to>
      <xdr:col>83</xdr:col>
      <xdr:colOff>292678</xdr:colOff>
      <xdr:row>63</xdr:row>
      <xdr:rowOff>133638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36A1C5A-1C9A-0F02-C1EB-564EFA4FF828}"/>
            </a:ext>
            <a:ext uri="{147F2762-F138-4A5C-976F-8EAC2B608ADB}">
              <a16:predDERef xmlns:a16="http://schemas.microsoft.com/office/drawing/2014/main" pred="{7F8765D3-D41C-742C-1747-3456CF231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48</xdr:col>
      <xdr:colOff>224270</xdr:colOff>
      <xdr:row>62</xdr:row>
      <xdr:rowOff>119784</xdr:rowOff>
    </xdr:from>
    <xdr:to>
      <xdr:col>54</xdr:col>
      <xdr:colOff>405534</xdr:colOff>
      <xdr:row>75</xdr:row>
      <xdr:rowOff>161347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064B906-3430-2496-FA97-1D2A999B7E7A}"/>
            </a:ext>
            <a:ext uri="{147F2762-F138-4A5C-976F-8EAC2B608ADB}">
              <a16:predDERef xmlns:a16="http://schemas.microsoft.com/office/drawing/2014/main" pred="{936A1C5A-1C9A-0F02-C1EB-564EFA4FF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41</xdr:col>
      <xdr:colOff>848591</xdr:colOff>
      <xdr:row>24</xdr:row>
      <xdr:rowOff>158173</xdr:rowOff>
    </xdr:from>
    <xdr:to>
      <xdr:col>46</xdr:col>
      <xdr:colOff>513773</xdr:colOff>
      <xdr:row>37</xdr:row>
      <xdr:rowOff>199737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5436D825-7115-B14E-BE8B-AE419C2AD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411780</xdr:colOff>
      <xdr:row>64</xdr:row>
      <xdr:rowOff>19670</xdr:rowOff>
    </xdr:from>
    <xdr:to>
      <xdr:col>41</xdr:col>
      <xdr:colOff>386245</xdr:colOff>
      <xdr:row>84</xdr:row>
      <xdr:rowOff>148281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7627CBCA-9339-4AF9-07C6-4B0B1B188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-2</xdr:colOff>
      <xdr:row>32</xdr:row>
      <xdr:rowOff>57149</xdr:rowOff>
    </xdr:from>
    <xdr:to>
      <xdr:col>26</xdr:col>
      <xdr:colOff>679450</xdr:colOff>
      <xdr:row>47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6EC1EE-08CF-6A73-24BB-F190FBF05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evalenzuelaem/Library/CloudStorage/OneDrive-ARCOA&#769;REASCOMERCIALES/DEO/AFLUENCIAS/2024/AFORO2024.xlsx" TargetMode="External"/><Relationship Id="rId2" Type="http://schemas.openxmlformats.org/officeDocument/2006/relationships/externalLinkPath" Target="https://arcomexicocom-my.sharepoint.com/personal/evalenzuela_arcomexico_com/Documents/DEO/AFLUENCIAS/2024/AFORO2024.xlsx" TargetMode="External"/><Relationship Id="rId1" Type="http://schemas.openxmlformats.org/officeDocument/2006/relationships/externalLinkPath" Target="/Users/evalenzuelaem/Library/CloudStorage/OneDrive-ARCOA&#769;REASCOMERCIALES/DEO/AFLUENCIAS/2024/AFORO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NSUAL-2024"/>
    </sheetNames>
    <sheetDataSet>
      <sheetData sheetId="0">
        <row r="3">
          <cell r="G3" t="str">
            <v>PSP</v>
          </cell>
          <cell r="H3"/>
          <cell r="I3"/>
          <cell r="L3" t="str">
            <v>PRG</v>
          </cell>
          <cell r="M3"/>
          <cell r="N3"/>
          <cell r="Q3" t="str">
            <v>PC</v>
          </cell>
          <cell r="R3"/>
          <cell r="S3"/>
          <cell r="V3" t="str">
            <v>PSI</v>
          </cell>
          <cell r="W3"/>
          <cell r="X3"/>
          <cell r="AA3" t="str">
            <v>PPA</v>
          </cell>
          <cell r="AB3"/>
          <cell r="AC3"/>
          <cell r="AG3"/>
          <cell r="AH3"/>
          <cell r="AJ3" t="str">
            <v>CBA</v>
          </cell>
          <cell r="AK3"/>
          <cell r="AL3"/>
          <cell r="AO3" t="str">
            <v>PV</v>
          </cell>
          <cell r="AP3"/>
          <cell r="AQ3"/>
          <cell r="AT3" t="str">
            <v>PLP</v>
          </cell>
          <cell r="AU3"/>
          <cell r="AV3"/>
          <cell r="AY3" t="str">
            <v>PPE</v>
          </cell>
          <cell r="AZ3"/>
          <cell r="BA3"/>
        </row>
        <row r="4">
          <cell r="G4">
            <v>2022</v>
          </cell>
          <cell r="H4">
            <v>2023</v>
          </cell>
          <cell r="I4">
            <v>2024</v>
          </cell>
          <cell r="L4">
            <v>2022</v>
          </cell>
          <cell r="M4">
            <v>2023</v>
          </cell>
          <cell r="N4">
            <v>2024</v>
          </cell>
          <cell r="Q4">
            <v>2022</v>
          </cell>
          <cell r="R4">
            <v>2023</v>
          </cell>
          <cell r="S4">
            <v>2024</v>
          </cell>
          <cell r="V4">
            <v>2022</v>
          </cell>
          <cell r="W4">
            <v>2023</v>
          </cell>
          <cell r="X4">
            <v>2024</v>
          </cell>
          <cell r="AA4">
            <v>2022</v>
          </cell>
          <cell r="AB4">
            <v>2023</v>
          </cell>
          <cell r="AC4">
            <v>2024</v>
          </cell>
          <cell r="AG4">
            <v>2023</v>
          </cell>
          <cell r="AH4">
            <v>2022</v>
          </cell>
          <cell r="AJ4">
            <v>2022</v>
          </cell>
          <cell r="AK4">
            <v>2023</v>
          </cell>
          <cell r="AL4">
            <v>2024</v>
          </cell>
          <cell r="AO4">
            <v>2022</v>
          </cell>
          <cell r="AP4">
            <v>2023</v>
          </cell>
          <cell r="AQ4">
            <v>2024</v>
          </cell>
          <cell r="AT4">
            <v>2022</v>
          </cell>
          <cell r="AU4">
            <v>2023</v>
          </cell>
          <cell r="AV4">
            <v>2024</v>
          </cell>
          <cell r="AY4">
            <v>2022</v>
          </cell>
          <cell r="AZ4">
            <v>2023</v>
          </cell>
          <cell r="BA4">
            <v>2024</v>
          </cell>
        </row>
        <row r="5">
          <cell r="B5"/>
          <cell r="G5"/>
          <cell r="L5"/>
          <cell r="Q5"/>
          <cell r="V5"/>
          <cell r="AA5"/>
          <cell r="AJ5"/>
          <cell r="AO5"/>
          <cell r="AT5"/>
          <cell r="AY5"/>
        </row>
        <row r="6">
          <cell r="A6" t="str">
            <v>ENE</v>
          </cell>
          <cell r="B6">
            <v>250565</v>
          </cell>
          <cell r="C6">
            <v>246680</v>
          </cell>
          <cell r="D6">
            <v>250584</v>
          </cell>
          <cell r="E6">
            <v>258887</v>
          </cell>
          <cell r="G6">
            <v>174664</v>
          </cell>
          <cell r="H6">
            <v>221780</v>
          </cell>
          <cell r="I6">
            <v>204045</v>
          </cell>
          <cell r="J6">
            <v>198019</v>
          </cell>
          <cell r="L6">
            <v>203521</v>
          </cell>
          <cell r="M6">
            <v>202405</v>
          </cell>
          <cell r="N6">
            <v>190042</v>
          </cell>
          <cell r="O6">
            <v>158744</v>
          </cell>
          <cell r="Q6">
            <v>79886</v>
          </cell>
          <cell r="R6">
            <v>88356</v>
          </cell>
          <cell r="S6">
            <v>92123</v>
          </cell>
          <cell r="V6">
            <v>112783</v>
          </cell>
          <cell r="W6">
            <v>114062</v>
          </cell>
          <cell r="X6">
            <v>113411</v>
          </cell>
          <cell r="Y6">
            <v>94209</v>
          </cell>
          <cell r="AA6">
            <v>63521</v>
          </cell>
          <cell r="AB6">
            <v>74755</v>
          </cell>
          <cell r="AC6">
            <v>73295</v>
          </cell>
          <cell r="AG6">
            <v>73727</v>
          </cell>
          <cell r="AH6">
            <v>64439</v>
          </cell>
          <cell r="AJ6"/>
          <cell r="AK6">
            <v>118634</v>
          </cell>
          <cell r="AL6">
            <v>138765</v>
          </cell>
          <cell r="AM6">
            <v>141331</v>
          </cell>
          <cell r="AO6"/>
          <cell r="AP6">
            <v>106554</v>
          </cell>
          <cell r="AQ6">
            <v>110591</v>
          </cell>
          <cell r="AR6">
            <v>114146</v>
          </cell>
          <cell r="AT6">
            <v>148388</v>
          </cell>
          <cell r="AU6">
            <v>183476</v>
          </cell>
          <cell r="AV6">
            <v>190361</v>
          </cell>
          <cell r="AW6">
            <v>180486</v>
          </cell>
          <cell r="AY6"/>
          <cell r="AZ6">
            <v>49102</v>
          </cell>
          <cell r="BA6">
            <v>35453</v>
          </cell>
        </row>
        <row r="7">
          <cell r="A7" t="str">
            <v>FEB</v>
          </cell>
          <cell r="B7">
            <v>243117</v>
          </cell>
          <cell r="C7">
            <v>228143</v>
          </cell>
          <cell r="D7">
            <v>242483</v>
          </cell>
          <cell r="E7">
            <v>244488</v>
          </cell>
          <cell r="G7">
            <v>192907</v>
          </cell>
          <cell r="H7">
            <v>201018</v>
          </cell>
          <cell r="I7">
            <v>195947</v>
          </cell>
          <cell r="J7">
            <v>185451</v>
          </cell>
          <cell r="L7">
            <v>196249</v>
          </cell>
          <cell r="M7">
            <v>191201</v>
          </cell>
          <cell r="N7">
            <v>180523</v>
          </cell>
          <cell r="O7">
            <v>146553</v>
          </cell>
          <cell r="Q7">
            <v>82545</v>
          </cell>
          <cell r="R7">
            <v>73498</v>
          </cell>
          <cell r="S7">
            <v>100656</v>
          </cell>
          <cell r="V7">
            <v>114531</v>
          </cell>
          <cell r="W7">
            <v>108216</v>
          </cell>
          <cell r="X7">
            <v>111464</v>
          </cell>
          <cell r="Y7">
            <v>91867</v>
          </cell>
          <cell r="AA7">
            <v>58893</v>
          </cell>
          <cell r="AB7">
            <v>58528</v>
          </cell>
          <cell r="AC7">
            <v>60672</v>
          </cell>
          <cell r="AG7">
            <v>69030</v>
          </cell>
          <cell r="AH7">
            <v>55937</v>
          </cell>
          <cell r="AJ7"/>
          <cell r="AK7">
            <v>117598</v>
          </cell>
          <cell r="AL7">
            <v>133520</v>
          </cell>
          <cell r="AM7">
            <v>133079</v>
          </cell>
          <cell r="AO7"/>
          <cell r="AP7">
            <v>100481</v>
          </cell>
          <cell r="AQ7">
            <v>105337</v>
          </cell>
          <cell r="AR7">
            <v>107505</v>
          </cell>
          <cell r="AT7">
            <v>141593</v>
          </cell>
          <cell r="AU7">
            <v>148938</v>
          </cell>
          <cell r="AV7">
            <v>138313</v>
          </cell>
          <cell r="AW7">
            <v>173355</v>
          </cell>
          <cell r="AY7"/>
          <cell r="AZ7">
            <v>46339</v>
          </cell>
          <cell r="BA7">
            <v>46270</v>
          </cell>
        </row>
        <row r="8">
          <cell r="A8" t="str">
            <v>MAR</v>
          </cell>
          <cell r="B8">
            <v>274873</v>
          </cell>
          <cell r="C8">
            <v>247650</v>
          </cell>
          <cell r="D8">
            <v>264918</v>
          </cell>
          <cell r="G8">
            <v>224286</v>
          </cell>
          <cell r="H8">
            <v>221110</v>
          </cell>
          <cell r="I8">
            <v>207663</v>
          </cell>
          <cell r="L8">
            <v>216605</v>
          </cell>
          <cell r="M8">
            <v>211876</v>
          </cell>
          <cell r="N8">
            <v>207128</v>
          </cell>
          <cell r="Q8">
            <v>89130</v>
          </cell>
          <cell r="R8">
            <v>79963</v>
          </cell>
          <cell r="S8">
            <v>89651</v>
          </cell>
          <cell r="V8">
            <v>125636</v>
          </cell>
          <cell r="W8">
            <v>110258</v>
          </cell>
          <cell r="X8">
            <v>117749</v>
          </cell>
          <cell r="AA8">
            <v>89845</v>
          </cell>
          <cell r="AB8">
            <v>60645</v>
          </cell>
          <cell r="AC8">
            <v>89645</v>
          </cell>
          <cell r="AG8">
            <v>74755</v>
          </cell>
          <cell r="AH8">
            <v>63326</v>
          </cell>
          <cell r="AJ8"/>
          <cell r="AK8">
            <v>135512</v>
          </cell>
          <cell r="AL8">
            <v>134215</v>
          </cell>
          <cell r="AO8"/>
          <cell r="AP8">
            <v>112578</v>
          </cell>
          <cell r="AQ8">
            <v>109810</v>
          </cell>
          <cell r="AT8">
            <v>170517</v>
          </cell>
          <cell r="AU8">
            <v>164984</v>
          </cell>
          <cell r="AV8">
            <v>140943</v>
          </cell>
          <cell r="AY8"/>
          <cell r="AZ8">
            <v>43950</v>
          </cell>
          <cell r="BA8">
            <v>55857</v>
          </cell>
        </row>
        <row r="9">
          <cell r="A9" t="str">
            <v>ABR</v>
          </cell>
          <cell r="B9">
            <v>266376</v>
          </cell>
          <cell r="C9">
            <v>253072</v>
          </cell>
          <cell r="D9">
            <v>253254</v>
          </cell>
          <cell r="G9">
            <v>210811</v>
          </cell>
          <cell r="H9">
            <v>227470</v>
          </cell>
          <cell r="I9">
            <v>202870</v>
          </cell>
          <cell r="L9">
            <v>217978</v>
          </cell>
          <cell r="M9">
            <v>216978</v>
          </cell>
          <cell r="N9">
            <v>191810</v>
          </cell>
          <cell r="Q9">
            <v>91032</v>
          </cell>
          <cell r="R9">
            <v>72682</v>
          </cell>
          <cell r="S9">
            <v>87575</v>
          </cell>
          <cell r="V9">
            <v>127770</v>
          </cell>
          <cell r="W9">
            <v>125665</v>
          </cell>
          <cell r="X9">
            <v>116399</v>
          </cell>
          <cell r="AA9">
            <v>67137</v>
          </cell>
          <cell r="AB9">
            <v>70869</v>
          </cell>
          <cell r="AC9">
            <v>85809</v>
          </cell>
          <cell r="AG9">
            <v>76718</v>
          </cell>
          <cell r="AH9">
            <v>56633</v>
          </cell>
          <cell r="AJ9"/>
          <cell r="AK9">
            <v>134759</v>
          </cell>
          <cell r="AL9">
            <v>147123</v>
          </cell>
          <cell r="AO9"/>
          <cell r="AP9">
            <v>113104</v>
          </cell>
          <cell r="AQ9">
            <v>108717</v>
          </cell>
          <cell r="AT9">
            <v>210485</v>
          </cell>
          <cell r="AU9">
            <v>157266</v>
          </cell>
          <cell r="AV9">
            <v>133377</v>
          </cell>
          <cell r="AY9"/>
          <cell r="AZ9">
            <v>40270</v>
          </cell>
          <cell r="BA9">
            <v>56475</v>
          </cell>
        </row>
        <row r="10">
          <cell r="A10" t="str">
            <v>MAY</v>
          </cell>
          <cell r="B10">
            <v>285596</v>
          </cell>
          <cell r="C10">
            <v>263040</v>
          </cell>
          <cell r="D10">
            <v>272521</v>
          </cell>
          <cell r="G10">
            <v>243039</v>
          </cell>
          <cell r="H10">
            <v>233473</v>
          </cell>
          <cell r="I10">
            <v>211702</v>
          </cell>
          <cell r="L10">
            <v>226188</v>
          </cell>
          <cell r="M10">
            <v>220603</v>
          </cell>
          <cell r="N10">
            <v>214778</v>
          </cell>
          <cell r="Q10">
            <v>91515</v>
          </cell>
          <cell r="R10">
            <v>85242</v>
          </cell>
          <cell r="S10">
            <v>85463</v>
          </cell>
          <cell r="V10">
            <v>135612</v>
          </cell>
          <cell r="W10">
            <v>128767</v>
          </cell>
          <cell r="X10">
            <v>120280</v>
          </cell>
          <cell r="AA10">
            <v>54989</v>
          </cell>
          <cell r="AB10">
            <v>60679</v>
          </cell>
          <cell r="AC10">
            <v>76169</v>
          </cell>
          <cell r="AG10">
            <v>75198</v>
          </cell>
          <cell r="AH10">
            <v>62475</v>
          </cell>
          <cell r="AJ10"/>
          <cell r="AK10">
            <v>146367</v>
          </cell>
          <cell r="AL10">
            <v>159056</v>
          </cell>
          <cell r="AO10"/>
          <cell r="AP10">
            <v>116216</v>
          </cell>
          <cell r="AQ10">
            <v>112574</v>
          </cell>
          <cell r="AT10">
            <v>193304</v>
          </cell>
          <cell r="AU10">
            <v>153318</v>
          </cell>
          <cell r="AV10">
            <v>139166</v>
          </cell>
          <cell r="AY10"/>
          <cell r="AZ10">
            <v>39600</v>
          </cell>
          <cell r="BA10">
            <v>54748</v>
          </cell>
        </row>
        <row r="11">
          <cell r="A11" t="str">
            <v>JUN</v>
          </cell>
          <cell r="B11">
            <v>276908</v>
          </cell>
          <cell r="C11">
            <v>260807</v>
          </cell>
          <cell r="D11">
            <v>282713</v>
          </cell>
          <cell r="G11">
            <v>238737</v>
          </cell>
          <cell r="H11">
            <v>227859</v>
          </cell>
          <cell r="I11">
            <v>226324</v>
          </cell>
          <cell r="L11">
            <v>217727</v>
          </cell>
          <cell r="M11">
            <v>217818</v>
          </cell>
          <cell r="N11">
            <v>225434</v>
          </cell>
          <cell r="Q11">
            <v>83202</v>
          </cell>
          <cell r="R11">
            <v>75410</v>
          </cell>
          <cell r="S11">
            <v>79280</v>
          </cell>
          <cell r="V11">
            <v>130204</v>
          </cell>
          <cell r="W11">
            <v>124389</v>
          </cell>
          <cell r="X11">
            <v>124409</v>
          </cell>
          <cell r="AA11">
            <v>43501</v>
          </cell>
          <cell r="AB11">
            <v>66646</v>
          </cell>
          <cell r="AC11">
            <v>83393</v>
          </cell>
          <cell r="AG11">
            <v>72002</v>
          </cell>
          <cell r="AH11">
            <v>58231</v>
          </cell>
          <cell r="AJ11"/>
          <cell r="AK11">
            <v>140423</v>
          </cell>
          <cell r="AL11">
            <v>154718</v>
          </cell>
          <cell r="AO11"/>
          <cell r="AP11">
            <v>120214</v>
          </cell>
          <cell r="AQ11">
            <v>125821</v>
          </cell>
          <cell r="AT11">
            <v>173008</v>
          </cell>
          <cell r="AU11">
            <v>152957</v>
          </cell>
          <cell r="AV11">
            <v>164304</v>
          </cell>
          <cell r="AY11">
            <v>40959</v>
          </cell>
          <cell r="AZ11">
            <v>33661</v>
          </cell>
          <cell r="BA11">
            <v>46990</v>
          </cell>
        </row>
        <row r="12">
          <cell r="A12" t="str">
            <v>JUL</v>
          </cell>
          <cell r="B12">
            <v>294078</v>
          </cell>
          <cell r="C12">
            <v>281329</v>
          </cell>
          <cell r="D12">
            <v>289997</v>
          </cell>
          <cell r="G12">
            <v>245030</v>
          </cell>
          <cell r="H12">
            <v>239590</v>
          </cell>
          <cell r="I12">
            <v>222731</v>
          </cell>
          <cell r="L12">
            <v>212607</v>
          </cell>
          <cell r="M12">
            <v>219526</v>
          </cell>
          <cell r="N12">
            <v>230141</v>
          </cell>
          <cell r="Q12">
            <v>90513</v>
          </cell>
          <cell r="R12">
            <v>73166</v>
          </cell>
          <cell r="S12">
            <v>85146</v>
          </cell>
          <cell r="V12">
            <v>141008</v>
          </cell>
          <cell r="W12">
            <v>131253</v>
          </cell>
          <cell r="X12">
            <v>125020</v>
          </cell>
          <cell r="AA12">
            <v>73386</v>
          </cell>
          <cell r="AB12">
            <v>70355</v>
          </cell>
          <cell r="AC12">
            <v>93038</v>
          </cell>
          <cell r="AG12">
            <v>74768</v>
          </cell>
          <cell r="AH12">
            <v>61733</v>
          </cell>
          <cell r="AJ12"/>
          <cell r="AK12">
            <v>145914</v>
          </cell>
          <cell r="AL12">
            <v>161827</v>
          </cell>
          <cell r="AO12"/>
          <cell r="AP12">
            <v>122015</v>
          </cell>
          <cell r="AQ12">
            <v>122130</v>
          </cell>
          <cell r="AT12">
            <v>173332</v>
          </cell>
          <cell r="AU12">
            <v>159046</v>
          </cell>
          <cell r="AV12">
            <v>202373</v>
          </cell>
          <cell r="AY12">
            <v>44709</v>
          </cell>
          <cell r="AZ12">
            <v>28646</v>
          </cell>
          <cell r="BA12">
            <v>47381</v>
          </cell>
        </row>
        <row r="13">
          <cell r="A13" t="str">
            <v>AGO</v>
          </cell>
          <cell r="B13">
            <v>268601</v>
          </cell>
          <cell r="C13">
            <v>280837</v>
          </cell>
          <cell r="D13">
            <v>289022</v>
          </cell>
          <cell r="G13">
            <v>227211</v>
          </cell>
          <cell r="H13">
            <v>221742</v>
          </cell>
          <cell r="I13">
            <v>226047</v>
          </cell>
          <cell r="L13">
            <v>207527</v>
          </cell>
          <cell r="M13">
            <v>214397</v>
          </cell>
          <cell r="N13">
            <v>218193</v>
          </cell>
          <cell r="Q13">
            <v>88636</v>
          </cell>
          <cell r="R13">
            <v>78306</v>
          </cell>
          <cell r="S13">
            <v>80047</v>
          </cell>
          <cell r="V13">
            <v>138096</v>
          </cell>
          <cell r="W13">
            <v>133112</v>
          </cell>
          <cell r="X13">
            <v>125661</v>
          </cell>
          <cell r="AA13">
            <v>63665</v>
          </cell>
          <cell r="AB13">
            <v>77578</v>
          </cell>
          <cell r="AC13">
            <v>75406</v>
          </cell>
          <cell r="AG13">
            <v>67200</v>
          </cell>
          <cell r="AH13">
            <v>64237</v>
          </cell>
          <cell r="AJ13"/>
          <cell r="AK13">
            <v>139648</v>
          </cell>
          <cell r="AL13">
            <v>153503</v>
          </cell>
          <cell r="AO13"/>
          <cell r="AP13">
            <v>109314</v>
          </cell>
          <cell r="AQ13">
            <v>116686</v>
          </cell>
          <cell r="AT13">
            <v>185875</v>
          </cell>
          <cell r="AU13">
            <v>136480</v>
          </cell>
          <cell r="AV13">
            <v>164304</v>
          </cell>
          <cell r="AY13">
            <v>41951</v>
          </cell>
          <cell r="AZ13">
            <v>21929</v>
          </cell>
          <cell r="BA13">
            <v>49645</v>
          </cell>
        </row>
        <row r="14">
          <cell r="A14" t="str">
            <v>SEP</v>
          </cell>
          <cell r="B14">
            <v>198116</v>
          </cell>
          <cell r="C14">
            <v>263201</v>
          </cell>
          <cell r="D14">
            <v>264687</v>
          </cell>
          <cell r="G14">
            <v>213300</v>
          </cell>
          <cell r="H14">
            <v>210212</v>
          </cell>
          <cell r="I14">
            <v>203999</v>
          </cell>
          <cell r="L14">
            <v>209758</v>
          </cell>
          <cell r="M14">
            <v>206171</v>
          </cell>
          <cell r="N14">
            <v>171688</v>
          </cell>
          <cell r="Q14">
            <v>89939</v>
          </cell>
          <cell r="R14">
            <v>84481</v>
          </cell>
          <cell r="S14">
            <v>81208</v>
          </cell>
          <cell r="V14">
            <v>123648</v>
          </cell>
          <cell r="W14">
            <v>125694</v>
          </cell>
          <cell r="X14">
            <v>102955</v>
          </cell>
          <cell r="AA14">
            <v>59042</v>
          </cell>
          <cell r="AB14">
            <v>58348</v>
          </cell>
          <cell r="AC14">
            <v>53119</v>
          </cell>
          <cell r="AG14">
            <v>77014</v>
          </cell>
          <cell r="AH14">
            <v>66603</v>
          </cell>
          <cell r="AJ14"/>
          <cell r="AK14">
            <v>139927</v>
          </cell>
          <cell r="AL14">
            <v>106528</v>
          </cell>
          <cell r="AO14">
            <v>101461</v>
          </cell>
          <cell r="AP14">
            <v>108072</v>
          </cell>
          <cell r="AQ14">
            <v>105745</v>
          </cell>
          <cell r="AT14">
            <v>164687</v>
          </cell>
          <cell r="AU14">
            <v>179123</v>
          </cell>
          <cell r="AV14">
            <v>167805</v>
          </cell>
          <cell r="AY14">
            <v>24618</v>
          </cell>
          <cell r="AZ14">
            <v>17221</v>
          </cell>
          <cell r="BA14">
            <v>44631</v>
          </cell>
        </row>
        <row r="15">
          <cell r="A15" t="str">
            <v>OCT</v>
          </cell>
          <cell r="B15">
            <v>204138</v>
          </cell>
          <cell r="C15">
            <v>275896</v>
          </cell>
          <cell r="D15">
            <v>275569</v>
          </cell>
          <cell r="G15">
            <v>223460</v>
          </cell>
          <cell r="H15">
            <v>214226</v>
          </cell>
          <cell r="I15">
            <v>203182</v>
          </cell>
          <cell r="L15">
            <v>217742</v>
          </cell>
          <cell r="M15">
            <v>210597</v>
          </cell>
          <cell r="N15">
            <v>177975</v>
          </cell>
          <cell r="Q15">
            <v>90995</v>
          </cell>
          <cell r="R15">
            <v>92942</v>
          </cell>
          <cell r="S15">
            <v>88071</v>
          </cell>
          <cell r="V15">
            <v>130746</v>
          </cell>
          <cell r="W15">
            <v>127080</v>
          </cell>
          <cell r="X15">
            <v>108164</v>
          </cell>
          <cell r="AA15">
            <v>62397</v>
          </cell>
          <cell r="AB15">
            <v>70291</v>
          </cell>
          <cell r="AC15">
            <v>76196</v>
          </cell>
          <cell r="AG15">
            <v>74429</v>
          </cell>
          <cell r="AH15">
            <v>72873</v>
          </cell>
          <cell r="AJ15">
            <v>56995</v>
          </cell>
          <cell r="AK15">
            <v>136582</v>
          </cell>
          <cell r="AL15">
            <v>134395</v>
          </cell>
          <cell r="AO15">
            <v>101480</v>
          </cell>
          <cell r="AP15">
            <v>107668</v>
          </cell>
          <cell r="AQ15">
            <v>110135</v>
          </cell>
          <cell r="AT15">
            <v>185514</v>
          </cell>
          <cell r="AU15">
            <v>201556</v>
          </cell>
          <cell r="AV15">
            <v>168817</v>
          </cell>
          <cell r="AY15">
            <v>25438</v>
          </cell>
          <cell r="AZ15">
            <v>16920</v>
          </cell>
          <cell r="BA15">
            <v>54060</v>
          </cell>
        </row>
        <row r="16">
          <cell r="A16" t="str">
            <v>NOV</v>
          </cell>
          <cell r="B16" t="str">
            <v>x</v>
          </cell>
          <cell r="C16">
            <v>275811</v>
          </cell>
          <cell r="D16">
            <v>288542</v>
          </cell>
          <cell r="G16">
            <v>216522</v>
          </cell>
          <cell r="H16">
            <v>210378</v>
          </cell>
          <cell r="I16">
            <v>208874</v>
          </cell>
          <cell r="L16">
            <v>207263</v>
          </cell>
          <cell r="M16">
            <v>207265</v>
          </cell>
          <cell r="N16">
            <v>180413</v>
          </cell>
          <cell r="Q16">
            <v>113671</v>
          </cell>
          <cell r="R16">
            <v>85560</v>
          </cell>
          <cell r="S16">
            <v>88237</v>
          </cell>
          <cell r="V16">
            <v>122874</v>
          </cell>
          <cell r="W16">
            <v>120826</v>
          </cell>
          <cell r="X16">
            <v>107986</v>
          </cell>
          <cell r="AA16">
            <v>73627</v>
          </cell>
          <cell r="AB16">
            <v>68097</v>
          </cell>
          <cell r="AC16">
            <v>65661</v>
          </cell>
          <cell r="AG16">
            <v>69161</v>
          </cell>
          <cell r="AH16">
            <v>73500</v>
          </cell>
          <cell r="AJ16">
            <v>131599</v>
          </cell>
          <cell r="AK16">
            <v>145325</v>
          </cell>
          <cell r="AL16">
            <v>148086</v>
          </cell>
          <cell r="AO16">
            <v>99023</v>
          </cell>
          <cell r="AP16">
            <v>101710</v>
          </cell>
          <cell r="AQ16">
            <v>114610</v>
          </cell>
          <cell r="AT16">
            <v>238931</v>
          </cell>
          <cell r="AU16">
            <v>184252</v>
          </cell>
          <cell r="AV16">
            <v>205349</v>
          </cell>
          <cell r="AY16">
            <v>27128</v>
          </cell>
          <cell r="AZ16">
            <v>31977</v>
          </cell>
          <cell r="BA16">
            <v>58632</v>
          </cell>
        </row>
        <row r="17">
          <cell r="A17" t="str">
            <v>DIC</v>
          </cell>
          <cell r="B17">
            <v>295161</v>
          </cell>
          <cell r="C17">
            <v>296810</v>
          </cell>
          <cell r="D17">
            <v>316050</v>
          </cell>
          <cell r="G17">
            <v>254191</v>
          </cell>
          <cell r="H17">
            <v>238677</v>
          </cell>
          <cell r="I17">
            <v>229883</v>
          </cell>
          <cell r="L17">
            <v>240562</v>
          </cell>
          <cell r="M17">
            <v>231180</v>
          </cell>
          <cell r="N17">
            <v>200145</v>
          </cell>
          <cell r="Q17">
            <v>112405</v>
          </cell>
          <cell r="R17">
            <v>99104</v>
          </cell>
          <cell r="S17">
            <v>101917</v>
          </cell>
          <cell r="V17">
            <v>140521</v>
          </cell>
          <cell r="W17">
            <v>135900</v>
          </cell>
          <cell r="X17">
            <v>117620</v>
          </cell>
          <cell r="AA17">
            <v>64575</v>
          </cell>
          <cell r="AB17">
            <v>64262</v>
          </cell>
          <cell r="AC17">
            <v>67686</v>
          </cell>
          <cell r="AG17">
            <v>83327</v>
          </cell>
          <cell r="AH17">
            <v>81670</v>
          </cell>
          <cell r="AJ17">
            <v>174030</v>
          </cell>
          <cell r="AK17">
            <v>191174</v>
          </cell>
          <cell r="AL17">
            <v>188089</v>
          </cell>
          <cell r="AO17">
            <v>96129</v>
          </cell>
          <cell r="AP17">
            <v>104227</v>
          </cell>
          <cell r="AQ17">
            <v>116194</v>
          </cell>
          <cell r="AT17">
            <v>282266</v>
          </cell>
          <cell r="AU17">
            <v>210597</v>
          </cell>
          <cell r="AV17">
            <v>215074</v>
          </cell>
          <cell r="AY17">
            <v>26271</v>
          </cell>
          <cell r="AZ17">
            <v>54414</v>
          </cell>
          <cell r="BA17">
            <v>56711</v>
          </cell>
        </row>
        <row r="18">
          <cell r="B18"/>
          <cell r="C18"/>
          <cell r="D18"/>
          <cell r="AT18"/>
          <cell r="AU18"/>
          <cell r="AV18"/>
        </row>
        <row r="19">
          <cell r="B19">
            <v>2857529</v>
          </cell>
          <cell r="C19">
            <v>3173276</v>
          </cell>
          <cell r="D19">
            <v>3290340</v>
          </cell>
        </row>
        <row r="21">
          <cell r="C21"/>
        </row>
        <row r="22">
          <cell r="D22">
            <v>8361.4827586206902</v>
          </cell>
        </row>
        <row r="23">
          <cell r="B23"/>
          <cell r="C23"/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31T22:54:30.6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0 223 0 0,'3'4'64'0'0,"1"0"0"0"0,-1 0 0 0 0,0 0 0 0 0,0 1 0 0 0,-1-1 0 0 0,3 6 0 0 0,-4-7-29 0 0,0-1-1 0 0,0 1 1 0 0,0 0-1 0 0,0 0 1 0 0,0 0-1 0 0,-1 0 1 0 0,1 0-1 0 0,-1 0 1 0 0,0 0-1 0 0,0-1 1 0 0,0 1-1 0 0,-1 5 0 0 0,0-8-34 0 0,0 1 0 0 0,1 0 0 0 0,-1-1 0 0 0,0 1 0 0 0,0 0 0 0 0,0-1 0 0 0,0 1 0 0 0,0-1 0 0 0,0 0 0 0 0,0 1 0 0 0,0-1 0 0 0,0 0 0 0 0,-1 0 0 0 0,1 1 0 0 0,-1-1 0 0 0,-7 2 0 0 0,2 1 0 0 0</inkml:trace>
</inkml:ink>
</file>

<file path=xl/theme/theme1.xml><?xml version="1.0" encoding="utf-8"?>
<a:theme xmlns:a="http://schemas.openxmlformats.org/drawingml/2006/main" name="Office 2013 - Tema de 2022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9D36-3FFD-9943-89FF-6C8B3B974D6C}">
  <sheetPr>
    <tabColor rgb="FF615958"/>
  </sheetPr>
  <dimension ref="A1:AD18"/>
  <sheetViews>
    <sheetView workbookViewId="0">
      <selection activeCell="L6" sqref="L6:L17"/>
    </sheetView>
  </sheetViews>
  <sheetFormatPr baseColWidth="10" defaultColWidth="10.83203125" defaultRowHeight="15.75" customHeight="1"/>
  <cols>
    <col min="1" max="1" width="13.33203125" style="65" customWidth="1"/>
    <col min="2" max="2" width="3.1640625" style="65" customWidth="1"/>
    <col min="3" max="5" width="10.83203125" style="159"/>
    <col min="6" max="6" width="10.83203125" style="159" bestFit="1" customWidth="1"/>
    <col min="7" max="13" width="10.83203125" style="66"/>
    <col min="14" max="14" width="12.33203125" style="66" customWidth="1"/>
    <col min="15" max="16384" width="10.83203125" style="66"/>
  </cols>
  <sheetData>
    <row r="1" spans="1:30">
      <c r="A1" s="65" t="s">
        <v>0</v>
      </c>
    </row>
    <row r="2" spans="1:30"/>
    <row r="3" spans="1:30" s="65" customFormat="1">
      <c r="C3" s="550" t="s">
        <v>1</v>
      </c>
      <c r="D3" s="551"/>
      <c r="E3" s="552"/>
      <c r="F3" s="553"/>
      <c r="G3" s="550" t="s">
        <v>2</v>
      </c>
      <c r="H3" s="551"/>
      <c r="I3" s="552"/>
      <c r="J3" s="553"/>
      <c r="K3" s="550" t="s">
        <v>3</v>
      </c>
      <c r="L3" s="551"/>
      <c r="M3" s="552"/>
      <c r="N3" s="553"/>
      <c r="O3" s="550" t="s">
        <v>4</v>
      </c>
      <c r="P3" s="551"/>
      <c r="Q3" s="552"/>
      <c r="R3" s="553"/>
      <c r="S3" s="550" t="s">
        <v>5</v>
      </c>
      <c r="T3" s="551"/>
      <c r="U3" s="552"/>
      <c r="V3" s="553"/>
      <c r="W3" s="554" t="s">
        <v>6</v>
      </c>
      <c r="X3" s="555"/>
      <c r="Y3" s="555"/>
      <c r="Z3" s="556"/>
      <c r="AA3" s="550" t="s">
        <v>7</v>
      </c>
      <c r="AB3" s="551"/>
      <c r="AC3" s="552"/>
      <c r="AD3" s="553"/>
    </row>
    <row r="4" spans="1:30" s="65" customFormat="1">
      <c r="C4" s="173">
        <v>2024</v>
      </c>
      <c r="D4" s="174">
        <v>2025</v>
      </c>
      <c r="E4" s="222">
        <v>2026</v>
      </c>
      <c r="F4" s="175" t="s">
        <v>8</v>
      </c>
      <c r="G4" s="173">
        <v>2024</v>
      </c>
      <c r="H4" s="174">
        <v>2025</v>
      </c>
      <c r="I4" s="222">
        <v>2026</v>
      </c>
      <c r="J4" s="175" t="s">
        <v>8</v>
      </c>
      <c r="K4" s="173">
        <v>2024</v>
      </c>
      <c r="L4" s="174">
        <v>2025</v>
      </c>
      <c r="M4" s="222">
        <v>2026</v>
      </c>
      <c r="N4" s="175" t="s">
        <v>8</v>
      </c>
      <c r="O4" s="173">
        <v>2024</v>
      </c>
      <c r="P4" s="174">
        <v>2025</v>
      </c>
      <c r="Q4" s="222">
        <v>2026</v>
      </c>
      <c r="R4" s="175" t="s">
        <v>8</v>
      </c>
      <c r="S4" s="173">
        <v>2024</v>
      </c>
      <c r="T4" s="174">
        <v>2025</v>
      </c>
      <c r="U4" s="222">
        <v>2026</v>
      </c>
      <c r="V4" s="175" t="s">
        <v>8</v>
      </c>
      <c r="W4" s="173">
        <v>2024</v>
      </c>
      <c r="X4" s="174">
        <v>2025</v>
      </c>
      <c r="Y4" s="222">
        <v>2026</v>
      </c>
      <c r="Z4" s="175" t="s">
        <v>8</v>
      </c>
      <c r="AA4" s="173">
        <v>2024</v>
      </c>
      <c r="AB4" s="174">
        <v>2025</v>
      </c>
      <c r="AC4" s="222">
        <v>2026</v>
      </c>
      <c r="AD4" s="175" t="s">
        <v>8</v>
      </c>
    </row>
    <row r="5" spans="1:30" s="65" customFormat="1">
      <c r="C5" s="128"/>
      <c r="D5" s="67"/>
      <c r="E5" s="223"/>
      <c r="F5" s="161"/>
      <c r="G5" s="128"/>
      <c r="H5" s="67"/>
      <c r="I5" s="67"/>
      <c r="J5" s="161"/>
      <c r="K5" s="128"/>
      <c r="L5" s="67"/>
      <c r="M5" s="67"/>
      <c r="N5" s="161"/>
      <c r="O5" s="128"/>
      <c r="P5" s="67"/>
      <c r="Q5" s="67"/>
      <c r="R5" s="161"/>
      <c r="S5" s="128"/>
      <c r="T5" s="67"/>
      <c r="U5" s="67"/>
      <c r="V5" s="161"/>
      <c r="W5" s="128"/>
      <c r="X5" s="67"/>
      <c r="Y5" s="67"/>
      <c r="Z5" s="161"/>
      <c r="AA5" s="128"/>
      <c r="AB5" s="67"/>
      <c r="AC5" s="67"/>
      <c r="AD5" s="176"/>
    </row>
    <row r="6" spans="1:30">
      <c r="A6" s="177" t="s">
        <v>9</v>
      </c>
      <c r="C6" s="178">
        <f>(MENSUAL!$H$6/'[1]MENSUAL-2024'!$D$6)</f>
        <v>2.7780385020591898</v>
      </c>
      <c r="D6" s="179">
        <f>MENSUAL!$I$6/'[1]MENSUAL-2024'!$E$6</f>
        <v>2.8735857729434078</v>
      </c>
      <c r="E6" s="181">
        <f>+MENSUAL!J6/AFORO!F6</f>
        <v>3.1739536918306692</v>
      </c>
      <c r="F6" s="167">
        <f>E6/D6-1</f>
        <v>0.1045272153402943</v>
      </c>
      <c r="G6" s="178">
        <f>MENSUAL!$P$6/'[1]MENSUAL-2024'!$I$6</f>
        <v>1.098198926707344</v>
      </c>
      <c r="H6" s="179">
        <f>MENSUAL!$Q$6/'[1]MENSUAL-2024'!$J$6</f>
        <v>1.1495866558259562</v>
      </c>
      <c r="I6" s="179">
        <f>+MENSUAL!R6/AFORO!L6</f>
        <v>1.31359503776821</v>
      </c>
      <c r="J6" s="167">
        <f>I6/H6-1</f>
        <v>0.14266726315156886</v>
      </c>
      <c r="K6" s="178">
        <f>MENSUAL!$X$6/'[1]MENSUAL-2024'!$N$6</f>
        <v>1.5068248071478936</v>
      </c>
      <c r="L6" s="179">
        <f>MENSUAL!$Y$6/'[1]MENSUAL-2024'!$O$6</f>
        <v>1.9332573199616994</v>
      </c>
      <c r="M6" s="179">
        <f>+MENSUAL!Z6/AFORO!R6</f>
        <v>1.5910389006623316</v>
      </c>
      <c r="N6" s="167">
        <f>M6/L6-1</f>
        <v>-0.17701648702726636</v>
      </c>
      <c r="O6" s="178">
        <f>MENSUAL!$AF$6/'[1]MENSUAL-2024'!$X$6</f>
        <v>2.1438661152798231</v>
      </c>
      <c r="P6" s="179">
        <f>MENSUAL!$AG$6/'[1]MENSUAL-2024'!$Y$6</f>
        <v>2.2655372628942034</v>
      </c>
      <c r="Q6" s="179">
        <f>+MENSUAL!AH6/AFORO!AD6</f>
        <v>2.2176080650320418</v>
      </c>
      <c r="R6" s="167">
        <f>Q6/P6-1</f>
        <v>-2.1155775562452073E-2</v>
      </c>
      <c r="S6" s="178">
        <f>MENSUAL!$AM$6/'[1]MENSUAL-2024'!$AL$6</f>
        <v>3.1354664360609665</v>
      </c>
      <c r="T6" s="179">
        <f>MENSUAL!$AN$6/'[1]MENSUAL-2024'!$AM$6</f>
        <v>3.3668126596429659</v>
      </c>
      <c r="U6" s="179">
        <f>+MENSUAL!AO6/AFORO!AT6</f>
        <v>3.4446051029444322</v>
      </c>
      <c r="V6" s="167">
        <f>U6/T6-1</f>
        <v>2.3105664367353285E-2</v>
      </c>
      <c r="W6" s="178">
        <f>MENSUAL!$AS$6/'[1]MENSUAL-2024'!$AQ$6</f>
        <v>1.7056089555207927</v>
      </c>
      <c r="X6" s="179">
        <f>MENSUAL!$AT$6/'[1]MENSUAL-2024'!$AR$6</f>
        <v>1.8352373276330314</v>
      </c>
      <c r="Y6" s="179">
        <f>+MENSUAL!AU6/AFORO!AZ6</f>
        <v>2.0982847542392746</v>
      </c>
      <c r="Z6" s="167">
        <f>Y6/X6-1</f>
        <v>0.14333155861945368</v>
      </c>
      <c r="AA6" s="178">
        <f>MENSUAL!$BA$6/'[1]MENSUAL-2024'!$AV$6</f>
        <v>0.81230924401531823</v>
      </c>
      <c r="AB6" s="179">
        <f>MENSUAL!$BB$6/'[1]MENSUAL-2024'!$AW$6</f>
        <v>0.92754008621167294</v>
      </c>
      <c r="AC6" s="179">
        <f>+MENSUAL!BC6/AFORO!BF6</f>
        <v>0.88054874151127915</v>
      </c>
      <c r="AD6" s="167">
        <f>AC6/AB6-1</f>
        <v>-5.0662332980474512E-2</v>
      </c>
    </row>
    <row r="7" spans="1:30">
      <c r="A7" s="177" t="s">
        <v>10</v>
      </c>
      <c r="C7" s="180">
        <f>(MENSUAL!$H$7/'[1]MENSUAL-2024'!$D$7)</f>
        <v>2.6823571136945681</v>
      </c>
      <c r="D7" s="181">
        <f>MENSUAL!$I$7/'[1]MENSUAL-2024'!$E$7</f>
        <v>3.123805667353817</v>
      </c>
      <c r="E7" s="181"/>
      <c r="F7" s="168">
        <f t="shared" ref="F7:F17" si="0">D7/C7-1</f>
        <v>0.1645748626853103</v>
      </c>
      <c r="G7" s="180">
        <f>MENSUAL!$P$7/'[1]MENSUAL-2024'!$I$7</f>
        <v>1.0304674223131765</v>
      </c>
      <c r="H7" s="181">
        <f>MENSUAL!$Q$7/'[1]MENSUAL-2024'!$J$7</f>
        <v>1.134013836539032</v>
      </c>
      <c r="I7" s="181"/>
      <c r="J7" s="168">
        <f t="shared" ref="J7:J17" si="1">H7/G7-1</f>
        <v>0.10048489839049557</v>
      </c>
      <c r="K7" s="180">
        <f>MENSUAL!$X$7/'[1]MENSUAL-2024'!$N$7</f>
        <v>1.5206704962802524</v>
      </c>
      <c r="L7" s="181">
        <f>MENSUAL!$Y$7/'[1]MENSUAL-2024'!$O$7</f>
        <v>1.9402605200848839</v>
      </c>
      <c r="M7" s="181"/>
      <c r="N7" s="168">
        <f t="shared" ref="N7:N17" si="2">L7/K7-1</f>
        <v>0.27592435365255019</v>
      </c>
      <c r="O7" s="180">
        <f>MENSUAL!$AF$7/'[1]MENSUAL-2024'!$X$7</f>
        <v>2.069385631235197</v>
      </c>
      <c r="P7" s="181">
        <f>MENSUAL!$AG$7/'[1]MENSUAL-2024'!$Y$7</f>
        <v>2.2441028878705085</v>
      </c>
      <c r="Q7" s="181"/>
      <c r="R7" s="168">
        <f t="shared" ref="R7:R17" si="3">P7/O7-1</f>
        <v>8.4429530193956381E-2</v>
      </c>
      <c r="S7" s="180">
        <f>MENSUAL!$AM$7/'[1]MENSUAL-2024'!$AL$7</f>
        <v>3.0047558418214502</v>
      </c>
      <c r="T7" s="181">
        <f>MENSUAL!$AN$7/'[1]MENSUAL-2024'!$AM$7</f>
        <v>3.4026405368239918</v>
      </c>
      <c r="U7" s="181"/>
      <c r="V7" s="168">
        <f t="shared" ref="V7:V17" si="4">T7/S7-1</f>
        <v>0.13241831148628314</v>
      </c>
      <c r="W7" s="180">
        <f>MENSUAL!$AS$7/'[1]MENSUAL-2024'!$AQ$7</f>
        <v>1.6250605200451882</v>
      </c>
      <c r="X7" s="181">
        <f>MENSUAL!$AT$7/'[1]MENSUAL-2024'!$AR$7</f>
        <v>1.8937258732151994</v>
      </c>
      <c r="Y7" s="181"/>
      <c r="Z7" s="168">
        <f t="shared" ref="Z7:Z17" si="5">X7/W7-1</f>
        <v>0.16532636776046994</v>
      </c>
      <c r="AA7" s="180">
        <f>MENSUAL!$BA$7/'[1]MENSUAL-2024'!$AV$7</f>
        <v>1.0273943880907797</v>
      </c>
      <c r="AB7" s="181">
        <f>MENSUAL!$BB$7/'[1]MENSUAL-2024'!$AW$7</f>
        <v>0.80901618066972403</v>
      </c>
      <c r="AC7" s="181"/>
      <c r="AD7" s="168">
        <f t="shared" ref="AD7:AD17" si="6">AB7/AA7-1</f>
        <v>-0.21255538277454555</v>
      </c>
    </row>
    <row r="8" spans="1:30">
      <c r="A8" s="177" t="s">
        <v>11</v>
      </c>
      <c r="C8" s="180">
        <f>MENSUAL!$H$8/'[1]MENSUAL-2024'!$D$8</f>
        <v>2.6757449474931865</v>
      </c>
      <c r="D8" s="181">
        <f>MENSUAL!I8/AFORO!E8</f>
        <v>3.0169946532837191</v>
      </c>
      <c r="E8" s="181"/>
      <c r="F8" s="168">
        <f t="shared" si="0"/>
        <v>0.12753446703141025</v>
      </c>
      <c r="G8" s="180">
        <f>MENSUAL!$P$8/'[1]MENSUAL-2024'!$I$8</f>
        <v>1.1652629500681393</v>
      </c>
      <c r="H8" s="181">
        <f>MENSUAL!Q8/AFORO!K8</f>
        <v>1.1446135831381734</v>
      </c>
      <c r="I8" s="181"/>
      <c r="J8" s="168">
        <f t="shared" si="1"/>
        <v>-1.7720778755351607E-2</v>
      </c>
      <c r="K8" s="180">
        <f>MENSUAL!$X$8/'[1]MENSUAL-2024'!$N$8</f>
        <v>1.5743067088949829</v>
      </c>
      <c r="L8" s="181">
        <f>MENSUAL!Y8/AFORO!Q8</f>
        <v>1.6883696555712169</v>
      </c>
      <c r="M8" s="181"/>
      <c r="N8" s="168">
        <f t="shared" si="2"/>
        <v>7.2452811152850627E-2</v>
      </c>
      <c r="O8" s="180">
        <f>MENSUAL!$AF$8/'[1]MENSUAL-2024'!$X$8</f>
        <v>2.1880270745399111</v>
      </c>
      <c r="P8" s="181">
        <f>MENSUAL!AG8/AFORO!AC8</f>
        <v>2.233707307386815</v>
      </c>
      <c r="Q8" s="181"/>
      <c r="R8" s="168">
        <f t="shared" si="3"/>
        <v>2.0877361792476679E-2</v>
      </c>
      <c r="S8" s="180">
        <f>MENSUAL!$AM$8/'[1]MENSUAL-2024'!$AL$8</f>
        <v>3.1900681741981152</v>
      </c>
      <c r="T8" s="181">
        <f>MENSUAL!AN8/AFORO!AS8</f>
        <v>3.4627396906691299</v>
      </c>
      <c r="U8" s="181"/>
      <c r="V8" s="168">
        <f t="shared" si="4"/>
        <v>8.547513770283488E-2</v>
      </c>
      <c r="W8" s="180">
        <f>MENSUAL!$AS$8/'[1]MENSUAL-2024'!$AQ$8</f>
        <v>1.8773153628995538</v>
      </c>
      <c r="X8" s="181">
        <f>MENSUAL!AT8/AFORO!AY8</f>
        <v>2.0671164248565201</v>
      </c>
      <c r="Y8" s="181"/>
      <c r="Z8" s="168">
        <f t="shared" si="5"/>
        <v>0.10110238573012831</v>
      </c>
      <c r="AA8" s="180">
        <f>MENSUAL!$BA$8/'[1]MENSUAL-2024'!$AV$8</f>
        <v>1.117771013814095</v>
      </c>
      <c r="AB8" s="181">
        <f>MENSUAL!BB8/AFORO!BE8</f>
        <v>0.97608150973939023</v>
      </c>
      <c r="AC8" s="181"/>
      <c r="AD8" s="168">
        <f t="shared" si="6"/>
        <v>-0.12676076076729459</v>
      </c>
    </row>
    <row r="9" spans="1:30">
      <c r="A9" s="177" t="s">
        <v>12</v>
      </c>
      <c r="C9" s="180">
        <f>MENSUAL!$H$9/'[1]MENSUAL-2024'!$D$9</f>
        <v>2.7491253840018324</v>
      </c>
      <c r="D9" s="181">
        <f>MENSUAL!I9/AFORO!E9</f>
        <v>3.2902018594012987</v>
      </c>
      <c r="E9" s="181"/>
      <c r="F9" s="168">
        <f t="shared" si="0"/>
        <v>0.19681767828713403</v>
      </c>
      <c r="G9" s="180">
        <f>MENSUAL!$P$9/'[1]MENSUAL-2024'!$I$9</f>
        <v>1.0602799822546458</v>
      </c>
      <c r="H9" s="181">
        <f>MENSUAL!Q9/AFORO!K9</f>
        <v>1.2666047444233122</v>
      </c>
      <c r="I9" s="181"/>
      <c r="J9" s="168">
        <f t="shared" si="1"/>
        <v>0.19459460295565001</v>
      </c>
      <c r="K9" s="180">
        <f>MENSUAL!$X$9/'[1]MENSUAL-2024'!$N$9</f>
        <v>1.5417965695219227</v>
      </c>
      <c r="L9" s="181">
        <f>MENSUAL!Y9/AFORO!Q9</f>
        <v>1.9981712080679908</v>
      </c>
      <c r="M9" s="181"/>
      <c r="N9" s="168">
        <f t="shared" si="2"/>
        <v>0.29600185106624011</v>
      </c>
      <c r="O9" s="180">
        <f>MENSUAL!$AF$9/'[1]MENSUAL-2024'!$X$9</f>
        <v>2.0888667428414331</v>
      </c>
      <c r="P9" s="181">
        <f>MENSUAL!AG9/AFORO!AC9</f>
        <v>2.3099526820151897</v>
      </c>
      <c r="Q9" s="181"/>
      <c r="R9" s="168">
        <f t="shared" si="3"/>
        <v>0.10584013553349925</v>
      </c>
      <c r="S9" s="180">
        <f>MENSUAL!$AM$9/'[1]MENSUAL-2024'!$AL$9</f>
        <v>3.0249723020873689</v>
      </c>
      <c r="T9" s="181">
        <f>MENSUAL!AN9/AFORO!AS9</f>
        <v>3.5237853347794452</v>
      </c>
      <c r="U9" s="181"/>
      <c r="V9" s="168">
        <f t="shared" si="4"/>
        <v>0.1648983801761994</v>
      </c>
      <c r="W9" s="180">
        <f>MENSUAL!$AS$9/'[1]MENSUAL-2024'!$AQ$9</f>
        <v>1.7893889640074689</v>
      </c>
      <c r="X9" s="181">
        <f>MENSUAL!AT9/AFORO!AY9</f>
        <v>2.0144170630826403</v>
      </c>
      <c r="Y9" s="181"/>
      <c r="Z9" s="168">
        <f t="shared" si="5"/>
        <v>0.12575695033415446</v>
      </c>
      <c r="AA9" s="180">
        <f>MENSUAL!$BA$9/'[1]MENSUAL-2024'!$AV$9</f>
        <v>1.2291999370206257</v>
      </c>
      <c r="AB9" s="181">
        <f>MENSUAL!BB9/AFORO!BE9</f>
        <v>1.0313923572591877</v>
      </c>
      <c r="AC9" s="181"/>
      <c r="AD9" s="168">
        <f t="shared" si="6"/>
        <v>-0.16092384469274412</v>
      </c>
    </row>
    <row r="10" spans="1:30">
      <c r="A10" s="177" t="s">
        <v>13</v>
      </c>
      <c r="C10" s="180">
        <f>MENSUAL!$H$10/'[1]MENSUAL-2024'!$D$10</f>
        <v>2.7030320599146487</v>
      </c>
      <c r="D10" s="181">
        <f>MENSUAL!I10/AFORO!E10</f>
        <v>2.7071137062416413</v>
      </c>
      <c r="E10" s="181"/>
      <c r="F10" s="168">
        <f t="shared" si="0"/>
        <v>1.5100251260511399E-3</v>
      </c>
      <c r="G10" s="180">
        <f>MENSUAL!$P$10/'[1]MENSUAL-2024'!$I$10</f>
        <v>1.0493193262227092</v>
      </c>
      <c r="H10" s="181">
        <f>MENSUAL!Q10/AFORO!K10</f>
        <v>1.2908735535170912</v>
      </c>
      <c r="I10" s="181"/>
      <c r="J10" s="168">
        <f t="shared" si="1"/>
        <v>0.23020087523205901</v>
      </c>
      <c r="K10" s="180">
        <f>MENSUAL!$X$10/'[1]MENSUAL-2024'!$N$10</f>
        <v>1.5461313542355362</v>
      </c>
      <c r="L10" s="181">
        <f>MENSUAL!Y10/AFORO!Q10</f>
        <v>1.7683979321243939</v>
      </c>
      <c r="M10" s="181"/>
      <c r="N10" s="168">
        <f t="shared" si="2"/>
        <v>0.14375659434107679</v>
      </c>
      <c r="O10" s="180">
        <f>MENSUAL!$AF$10/'[1]MENSUAL-2024'!$X$10</f>
        <v>2.1302377785167943</v>
      </c>
      <c r="P10" s="181">
        <f>MENSUAL!AG10/AFORO!AC10</f>
        <v>2.2929428285591036</v>
      </c>
      <c r="Q10" s="181"/>
      <c r="R10" s="168">
        <f t="shared" si="3"/>
        <v>7.6378821032643041E-2</v>
      </c>
      <c r="S10" s="180">
        <f>MENSUAL!$AM$10/'[1]MENSUAL-2024'!$AL$10</f>
        <v>2.9169726385675485</v>
      </c>
      <c r="T10" s="181">
        <f>MENSUAL!AN10/AFORO!AS10</f>
        <v>3.319574671325507</v>
      </c>
      <c r="U10" s="181"/>
      <c r="V10" s="168">
        <f t="shared" si="4"/>
        <v>0.13802050366700258</v>
      </c>
      <c r="W10" s="180">
        <f>MENSUAL!$AS$10/'[1]MENSUAL-2024'!$AQ$10</f>
        <v>1.7244301526107271</v>
      </c>
      <c r="X10" s="181">
        <f>MENSUAL!AT10/AFORO!AY10</f>
        <v>1.9797483815805546</v>
      </c>
      <c r="Y10" s="181"/>
      <c r="Z10" s="168">
        <f t="shared" si="5"/>
        <v>0.14805947842148592</v>
      </c>
      <c r="AA10" s="180">
        <f>MENSUAL!$BA$10/'[1]MENSUAL-2024'!$AV$10</f>
        <v>1.2592012416825948</v>
      </c>
      <c r="AB10" s="181">
        <f>MENSUAL!BB10/AFORO!BE10</f>
        <v>0.9840991809495746</v>
      </c>
      <c r="AC10" s="181"/>
      <c r="AD10" s="168">
        <f t="shared" si="6"/>
        <v>-0.21847346685063451</v>
      </c>
    </row>
    <row r="11" spans="1:30">
      <c r="A11" s="177" t="s">
        <v>14</v>
      </c>
      <c r="C11" s="180">
        <f>MENSUAL!$H$11/'[1]MENSUAL-2024'!$D$11</f>
        <v>2.7876609848149889</v>
      </c>
      <c r="D11" s="181">
        <f>MENSUAL!I11/AFORO!E11</f>
        <v>2.9251826784213137</v>
      </c>
      <c r="E11" s="181"/>
      <c r="F11" s="168">
        <f t="shared" si="0"/>
        <v>4.9332287661748131E-2</v>
      </c>
      <c r="G11" s="180">
        <f>MENSUAL!$P$11/'[1]MENSUAL-2024'!$I$11</f>
        <v>1.1815229493999753</v>
      </c>
      <c r="H11" s="181">
        <f>MENSUAL!Q11/AFORO!K11</f>
        <v>1.3002542857947135</v>
      </c>
      <c r="I11" s="181"/>
      <c r="J11" s="168">
        <f t="shared" si="1"/>
        <v>0.10049008058204434</v>
      </c>
      <c r="K11" s="180">
        <f>MENSUAL!$X$11/'[1]MENSUAL-2024'!$N$11</f>
        <v>1.6986124541994552</v>
      </c>
      <c r="L11" s="181">
        <f>MENSUAL!Y11/AFORO!Q11</f>
        <v>1.5637789962041333</v>
      </c>
      <c r="M11" s="181"/>
      <c r="N11" s="168">
        <f t="shared" si="2"/>
        <v>-7.9378587895064023E-2</v>
      </c>
      <c r="O11" s="180">
        <f>MENSUAL!$AF$11/'[1]MENSUAL-2024'!$X$11</f>
        <v>2.28653875523475</v>
      </c>
      <c r="P11" s="181">
        <f>MENSUAL!AG11/AFORO!AC11</f>
        <v>2.2527883569096843</v>
      </c>
      <c r="Q11" s="181"/>
      <c r="R11" s="168">
        <f t="shared" si="3"/>
        <v>-1.4760475083922531E-2</v>
      </c>
      <c r="S11" s="180">
        <f>MENSUAL!$AM$11/'[1]MENSUAL-2024'!$AL$11</f>
        <v>2.9347264054602569</v>
      </c>
      <c r="T11" s="181">
        <f>MENSUAL!AN11/AFORO!AS11</f>
        <v>3.3181870477846243</v>
      </c>
      <c r="U11" s="181"/>
      <c r="V11" s="168">
        <f t="shared" si="4"/>
        <v>0.13066316560579994</v>
      </c>
      <c r="W11" s="180">
        <f>MENSUAL!$AS$11/'[1]MENSUAL-2024'!$AQ$11</f>
        <v>1.8141248281288498</v>
      </c>
      <c r="X11" s="181">
        <f>MENSUAL!AT11/AFORO!AY11</f>
        <v>1.9911495246326707</v>
      </c>
      <c r="Y11" s="181"/>
      <c r="Z11" s="168">
        <f t="shared" si="5"/>
        <v>9.7581320623019163E-2</v>
      </c>
      <c r="AA11" s="180">
        <f>MENSUAL!$BA$11/'[1]MENSUAL-2024'!$AV$11</f>
        <v>1.1489434219495569</v>
      </c>
      <c r="AB11" s="181">
        <f>MENSUAL!BB11/AFORO!BE11</f>
        <v>1.0303691496752929</v>
      </c>
      <c r="AC11" s="181"/>
      <c r="AD11" s="168">
        <f t="shared" si="6"/>
        <v>-0.10320288189044513</v>
      </c>
    </row>
    <row r="12" spans="1:30">
      <c r="A12" s="177" t="s">
        <v>15</v>
      </c>
      <c r="C12" s="180">
        <f>MENSUAL!$H$12/'[1]MENSUAL-2024'!$D$12</f>
        <v>2.6571550740180072</v>
      </c>
      <c r="D12" s="181">
        <f>MENSUAL!I12/AFORO!E12</f>
        <v>2.8466892074467718</v>
      </c>
      <c r="E12" s="181"/>
      <c r="F12" s="168">
        <f t="shared" si="0"/>
        <v>7.1329722258987704E-2</v>
      </c>
      <c r="G12" s="180">
        <f>MENSUAL!$P$12/'[1]MENSUAL-2024'!$I$12</f>
        <v>1.1695498156969617</v>
      </c>
      <c r="H12" s="181">
        <f>MENSUAL!Q12/AFORO!K12</f>
        <v>1.3485234065218679</v>
      </c>
      <c r="I12" s="181"/>
      <c r="J12" s="168">
        <f t="shared" si="1"/>
        <v>0.15302776198400037</v>
      </c>
      <c r="K12" s="180">
        <f>MENSUAL!$X$12/'[1]MENSUAL-2024'!$N$12</f>
        <v>1.6378654824650976</v>
      </c>
      <c r="L12" s="181">
        <f>MENSUAL!Y12/AFORO!Q12</f>
        <v>1.6251929266378353</v>
      </c>
      <c r="M12" s="181"/>
      <c r="N12" s="168">
        <f t="shared" si="2"/>
        <v>-7.7372384746695611E-3</v>
      </c>
      <c r="O12" s="180">
        <f>MENSUAL!$AF$12/'[1]MENSUAL-2024'!$X$12</f>
        <v>2.8996960486322187</v>
      </c>
      <c r="P12" s="181">
        <f>MENSUAL!AG12/AFORO!AC12</f>
        <v>2.3444731616289629</v>
      </c>
      <c r="Q12" s="181"/>
      <c r="R12" s="168">
        <f t="shared" si="3"/>
        <v>-0.19147623671286285</v>
      </c>
      <c r="S12" s="180">
        <f>MENSUAL!$AM$12/'[1]MENSUAL-2024'!$AL$12</f>
        <v>3.0067046908117927</v>
      </c>
      <c r="T12" s="181">
        <f>MENSUAL!AN12/AFORO!AS12</f>
        <v>3.4788031198539642</v>
      </c>
      <c r="U12" s="181"/>
      <c r="V12" s="168">
        <f t="shared" si="4"/>
        <v>0.1570152301570753</v>
      </c>
      <c r="W12" s="180">
        <f>MENSUAL!$AS$12/'[1]MENSUAL-2024'!$AQ$12</f>
        <v>1.8863506100057317</v>
      </c>
      <c r="X12" s="181">
        <f>MENSUAL!AT12/AFORO!AY12</f>
        <v>2.0003235281597207</v>
      </c>
      <c r="Y12" s="181"/>
      <c r="Z12" s="168">
        <f t="shared" si="5"/>
        <v>6.041979552976251E-2</v>
      </c>
      <c r="AA12" s="180">
        <f>MENSUAL!$BA$12/'[1]MENSUAL-2024'!$AV$12</f>
        <v>0.9427245729420427</v>
      </c>
      <c r="AB12" s="181">
        <f>MENSUAL!BB12/AFORO!BE12</f>
        <v>0.97803239191540625</v>
      </c>
      <c r="AC12" s="181"/>
      <c r="AD12" s="168">
        <f t="shared" si="6"/>
        <v>3.7452952841968923E-2</v>
      </c>
    </row>
    <row r="13" spans="1:30">
      <c r="A13" s="177" t="s">
        <v>16</v>
      </c>
      <c r="C13" s="180">
        <f>MENSUAL!$H$13/'[1]MENSUAL-2024'!$D$14</f>
        <v>2.9325429658426745</v>
      </c>
      <c r="D13" s="181">
        <f>MENSUAL!I13/AFORO!E13</f>
        <v>2.96384732701339</v>
      </c>
      <c r="E13" s="181"/>
      <c r="F13" s="168">
        <f t="shared" si="0"/>
        <v>1.0674817568008033E-2</v>
      </c>
      <c r="G13" s="180">
        <f>MENSUAL!$P$13/'[1]MENSUAL-2024'!$I$13</f>
        <v>1.1851075218870413</v>
      </c>
      <c r="H13" s="181">
        <f>MENSUAL!Q13/AFORO!K13</f>
        <v>1.3101684005263108</v>
      </c>
      <c r="I13" s="181"/>
      <c r="J13" s="168">
        <f t="shared" si="1"/>
        <v>0.10552703137023012</v>
      </c>
      <c r="K13" s="180">
        <f>MENSUAL!$X$13/'[1]MENSUAL-2024'!$N$13</f>
        <v>1.6160784259806684</v>
      </c>
      <c r="L13" s="181">
        <f>MENSUAL!Y13/AFORO!Q13</f>
        <v>1.6882074819586916</v>
      </c>
      <c r="M13" s="181"/>
      <c r="N13" s="168">
        <f t="shared" si="2"/>
        <v>4.4632150778359581E-2</v>
      </c>
      <c r="O13" s="180">
        <f>MENSUAL!$AF$13/'[1]MENSUAL-2024'!$X$13</f>
        <v>2.3241896849460053</v>
      </c>
      <c r="P13" s="181">
        <f>MENSUAL!AG13/AFORO!AC13</f>
        <v>2.3945897587250053</v>
      </c>
      <c r="Q13" s="181"/>
      <c r="R13" s="168">
        <f t="shared" si="3"/>
        <v>3.0290158430264169E-2</v>
      </c>
      <c r="S13" s="180">
        <f>MENSUAL!$AM$13/'[1]MENSUAL-2024'!$AL$13</f>
        <v>3.0181690260125209</v>
      </c>
      <c r="T13" s="181">
        <f>MENSUAL!AN13/AFORO!AS13</f>
        <v>3.5783939002563412</v>
      </c>
      <c r="U13" s="181"/>
      <c r="V13" s="168">
        <f t="shared" si="4"/>
        <v>0.18561746191662643</v>
      </c>
      <c r="W13" s="180">
        <f>MENSUAL!$AS$13/'[1]MENSUAL-2024'!$AQ$13</f>
        <v>1.8057264796119501</v>
      </c>
      <c r="X13" s="181">
        <f>MENSUAL!AT13/AFORO!AY13</f>
        <v>2.0064226189423024</v>
      </c>
      <c r="Y13" s="181"/>
      <c r="Z13" s="168">
        <f t="shared" si="5"/>
        <v>0.11114426331804239</v>
      </c>
      <c r="AA13" s="180">
        <f>MENSUAL!$BA$13/'[1]MENSUAL-2024'!$AV$13</f>
        <v>1.2211084331483104</v>
      </c>
      <c r="AB13" s="181">
        <f>MENSUAL!BB13/AFORO!BE13</f>
        <v>0.95307290187540106</v>
      </c>
      <c r="AC13" s="181"/>
      <c r="AD13" s="168">
        <f t="shared" si="6"/>
        <v>-0.21950182637085669</v>
      </c>
    </row>
    <row r="14" spans="1:30">
      <c r="A14" s="177" t="s">
        <v>17</v>
      </c>
      <c r="C14" s="180">
        <f>MENSUAL!$H$14/'[1]MENSUAL-2024'!$D$14</f>
        <v>2.6660735132439446</v>
      </c>
      <c r="D14" s="181">
        <f>MENSUAL!I14/AFORO!E14</f>
        <v>2.8438276430283214</v>
      </c>
      <c r="E14" s="181"/>
      <c r="F14" s="168">
        <f t="shared" si="0"/>
        <v>6.6672628830888536E-2</v>
      </c>
      <c r="G14" s="180">
        <f>MENSUAL!$P$14/'[1]MENSUAL-2024'!$I$14</f>
        <v>1.1097260280687651</v>
      </c>
      <c r="H14" s="181">
        <f>MENSUAL!Q14/AFORO!K14</f>
        <v>1.1759995155698866</v>
      </c>
      <c r="I14" s="181"/>
      <c r="J14" s="168">
        <f t="shared" si="1"/>
        <v>5.9720584923520281E-2</v>
      </c>
      <c r="K14" s="180">
        <f>MENSUAL!$X$14/'[1]MENSUAL-2024'!$N$14</f>
        <v>1.7229800568473044</v>
      </c>
      <c r="L14" s="181">
        <f>MENSUAL!Y14/AFORO!Q14</f>
        <v>1.5782448858582865</v>
      </c>
      <c r="M14" s="181"/>
      <c r="N14" s="168">
        <f t="shared" si="2"/>
        <v>-8.400281269294152E-2</v>
      </c>
      <c r="O14" s="180">
        <f>MENSUAL!$AF$14/'[1]MENSUAL-2024'!$X$14</f>
        <v>2.220921761934826</v>
      </c>
      <c r="P14" s="181">
        <f>MENSUAL!AG14/AFORO!AC14</f>
        <v>2.2584475967660733</v>
      </c>
      <c r="Q14" s="181"/>
      <c r="R14" s="168">
        <f t="shared" si="3"/>
        <v>1.6896513634300891E-2</v>
      </c>
      <c r="S14" s="180">
        <f>MENSUAL!$AM$14/'[1]MENSUAL-2024'!$AL$14</f>
        <v>3.245325172724542</v>
      </c>
      <c r="T14" s="181">
        <f>MENSUAL!AN14/AFORO!AS14</f>
        <v>3.3775287892934953</v>
      </c>
      <c r="U14" s="181"/>
      <c r="V14" s="168">
        <f t="shared" si="4"/>
        <v>4.073663178040321E-2</v>
      </c>
      <c r="W14" s="180">
        <f>MENSUAL!$AS$14/'[1]MENSUAL-2024'!$AQ$14</f>
        <v>1.831613787885952</v>
      </c>
      <c r="X14" s="181">
        <f>MENSUAL!AT14/AFORO!AY14</f>
        <v>1.9218014083334105</v>
      </c>
      <c r="Y14" s="181"/>
      <c r="Z14" s="168">
        <f t="shared" si="5"/>
        <v>4.9239430847238363E-2</v>
      </c>
      <c r="AA14" s="180">
        <f>MENSUAL!$BA$14/'[1]MENSUAL-2024'!$AV$14</f>
        <v>1.0871904889604005</v>
      </c>
      <c r="AB14" s="181">
        <f>MENSUAL!BB14/AFORO!BE14</f>
        <v>0.93556925941008784</v>
      </c>
      <c r="AC14" s="181"/>
      <c r="AD14" s="168">
        <f t="shared" si="6"/>
        <v>-0.13946151211762048</v>
      </c>
    </row>
    <row r="15" spans="1:30">
      <c r="A15" s="177" t="s">
        <v>18</v>
      </c>
      <c r="C15" s="180">
        <f>MENSUAL!$H$15/'[1]MENSUAL-2024'!$D$15</f>
        <v>2.7062840885585824</v>
      </c>
      <c r="D15" s="181">
        <f>MENSUAL!I15/AFORO!E15</f>
        <v>2.9580996289056967</v>
      </c>
      <c r="E15" s="181"/>
      <c r="F15" s="168">
        <f t="shared" si="0"/>
        <v>9.3048450239101133E-2</v>
      </c>
      <c r="G15" s="180">
        <f>MENSUAL!$P$15/'[1]MENSUAL-2024'!$I$15</f>
        <v>1.0432223326869505</v>
      </c>
      <c r="H15" s="181">
        <f>MENSUAL!Q15/AFORO!K15</f>
        <v>1.0924356872538956</v>
      </c>
      <c r="I15" s="181"/>
      <c r="J15" s="168">
        <f t="shared" si="1"/>
        <v>4.7174368324909066E-2</v>
      </c>
      <c r="K15" s="180">
        <f>MENSUAL!$X$15/'[1]MENSUAL-2024'!$N$15</f>
        <v>1.8129287821323219</v>
      </c>
      <c r="L15" s="181">
        <f>MENSUAL!Y15/AFORO!Q15</f>
        <v>1.6006642315387836</v>
      </c>
      <c r="M15" s="181"/>
      <c r="N15" s="168">
        <f t="shared" si="2"/>
        <v>-0.11708377774436241</v>
      </c>
      <c r="O15" s="180">
        <f>MENSUAL!$AF$15/'[1]MENSUAL-2024'!$X$15</f>
        <v>2.2095706519729301</v>
      </c>
      <c r="P15" s="181">
        <f>MENSUAL!AG15/AFORO!AC15</f>
        <v>2.285138773409352</v>
      </c>
      <c r="Q15" s="181"/>
      <c r="R15" s="168">
        <f t="shared" si="3"/>
        <v>3.4200364387057203E-2</v>
      </c>
      <c r="S15" s="180">
        <f>MENSUAL!$AM$15/'[1]MENSUAL-2024'!$AL$15</f>
        <v>3.2632761635477512</v>
      </c>
      <c r="T15" s="181">
        <f>MENSUAL!AN15/AFORO!AS15</f>
        <v>3.3984458235670147</v>
      </c>
      <c r="U15" s="181"/>
      <c r="V15" s="168">
        <f t="shared" si="4"/>
        <v>4.1421459062879418E-2</v>
      </c>
      <c r="W15" s="180">
        <f>MENSUAL!$AS$15/'[1]MENSUAL-2024'!$AQ$15</f>
        <v>1.8836337222499659</v>
      </c>
      <c r="X15" s="181">
        <f>MENSUAL!AT15/AFORO!AY15</f>
        <v>1.9120055567741463</v>
      </c>
      <c r="Y15" s="181"/>
      <c r="Z15" s="168">
        <f t="shared" si="5"/>
        <v>1.5062288484775532E-2</v>
      </c>
      <c r="AA15" s="180">
        <f>MENSUAL!$BA$15/'[1]MENSUAL-2024'!$AV$15</f>
        <v>1.0948719619469602</v>
      </c>
      <c r="AB15" s="181">
        <f>MENSUAL!BB15/AFORO!BE15</f>
        <v>0.87440514435860062</v>
      </c>
      <c r="AC15" s="181"/>
      <c r="AD15" s="168">
        <f t="shared" si="6"/>
        <v>-0.20136310477465658</v>
      </c>
    </row>
    <row r="16" spans="1:30">
      <c r="A16" s="177" t="s">
        <v>19</v>
      </c>
      <c r="C16" s="180">
        <f>MENSUAL!$H$16/'[1]MENSUAL-2024'!$D$16</f>
        <v>3.0268557090475565</v>
      </c>
      <c r="D16" s="181">
        <f>MENSUAL!I16/AFORO!E16</f>
        <v>2.9147514597352786</v>
      </c>
      <c r="E16" s="181"/>
      <c r="F16" s="168">
        <f t="shared" si="0"/>
        <v>-3.7036535629097811E-2</v>
      </c>
      <c r="G16" s="180">
        <f>MENSUAL!$P$16/'[1]MENSUAL-2024'!$I$16</f>
        <v>1.1436607715656328</v>
      </c>
      <c r="H16" s="181">
        <f>MENSUAL!Q16/AFORO!K16</f>
        <v>1.1536918770819782</v>
      </c>
      <c r="I16" s="181"/>
      <c r="J16" s="168">
        <f t="shared" si="1"/>
        <v>8.7710497428472589E-3</v>
      </c>
      <c r="K16" s="180">
        <f>MENSUAL!$X$16/'[1]MENSUAL-2024'!$N$16</f>
        <v>1.7208682301164551</v>
      </c>
      <c r="L16" s="181">
        <f>MENSUAL!Y16/AFORO!Q16</f>
        <v>1.6544534808976832</v>
      </c>
      <c r="M16" s="181"/>
      <c r="N16" s="168">
        <f t="shared" si="2"/>
        <v>-3.8593744748415371E-2</v>
      </c>
      <c r="O16" s="180">
        <f>MENSUAL!$AF$16/'[1]MENSUAL-2024'!$X$16</f>
        <v>2.3186709388254032</v>
      </c>
      <c r="P16" s="181">
        <f>MENSUAL!AG16/AFORO!AC16</f>
        <v>2.5543829420633211</v>
      </c>
      <c r="Q16" s="181"/>
      <c r="R16" s="168">
        <f t="shared" si="3"/>
        <v>0.10165823847230571</v>
      </c>
      <c r="S16" s="180">
        <f>MENSUAL!$AM$16/'[1]MENSUAL-2024'!$AL$16</f>
        <v>3.4958064908229001</v>
      </c>
      <c r="T16" s="181">
        <f>MENSUAL!AN16/AFORO!AS16</f>
        <v>3.5950587915888272</v>
      </c>
      <c r="U16" s="181"/>
      <c r="V16" s="168">
        <f t="shared" si="4"/>
        <v>2.8391817746915349E-2</v>
      </c>
      <c r="W16" s="180">
        <f>MENSUAL!$AS$16/'[1]MENSUAL-2024'!$AQ$16</f>
        <v>1.8463397609283658</v>
      </c>
      <c r="X16" s="181">
        <f>MENSUAL!AT16/AFORO!AY16</f>
        <v>2.0025940847007959</v>
      </c>
      <c r="Y16" s="181"/>
      <c r="Z16" s="168">
        <f t="shared" si="5"/>
        <v>8.4629236221324344E-2</v>
      </c>
      <c r="AA16" s="180">
        <f>MENSUAL!$BA$16/'[1]MENSUAL-2024'!$AV$16</f>
        <v>0.95253933547278047</v>
      </c>
      <c r="AB16" s="181">
        <f>MENSUAL!BB16/AFORO!BE16</f>
        <v>0.8886562867983776</v>
      </c>
      <c r="AC16" s="181"/>
      <c r="AD16" s="168">
        <f t="shared" si="6"/>
        <v>-6.7066047873703183E-2</v>
      </c>
    </row>
    <row r="17" spans="1:30">
      <c r="A17" s="177" t="s">
        <v>20</v>
      </c>
      <c r="C17" s="182">
        <f>MENSUAL!$H$17/'[1]MENSUAL-2024'!$D$17</f>
        <v>3.1404619522227497</v>
      </c>
      <c r="D17" s="183">
        <f>MENSUAL!I17/AFORO!E17</f>
        <v>3.3962103492498201</v>
      </c>
      <c r="E17" s="183"/>
      <c r="F17" s="184">
        <f t="shared" si="0"/>
        <v>8.1436553258050992E-2</v>
      </c>
      <c r="G17" s="182">
        <f>MENSUAL!$P$17/'[1]MENSUAL-2024'!$I$17</f>
        <v>1.2600061770552846</v>
      </c>
      <c r="H17" s="183">
        <f>MENSUAL!Q17/AFORO!K17</f>
        <v>1.3274246534971006</v>
      </c>
      <c r="I17" s="183"/>
      <c r="J17" s="184">
        <f t="shared" si="1"/>
        <v>5.3506465023351879E-2</v>
      </c>
      <c r="K17" s="182">
        <f>MENSUAL!$X$17/'[1]MENSUAL-2024'!$N$17</f>
        <v>1.8430837642709037</v>
      </c>
      <c r="L17" s="183">
        <f>MENSUAL!Y17/AFORO!Q17</f>
        <v>1.7466339489937357</v>
      </c>
      <c r="M17" s="183"/>
      <c r="N17" s="184">
        <f t="shared" si="2"/>
        <v>-5.2330673812496009E-2</v>
      </c>
      <c r="O17" s="182">
        <f>MENSUAL!$AF$17/'[1]MENSUAL-2024'!$X$17</f>
        <v>2.5100323074307092</v>
      </c>
      <c r="P17" s="183">
        <f>MENSUAL!AG17/AFORO!AC17</f>
        <v>2.3417067521824335</v>
      </c>
      <c r="Q17" s="183"/>
      <c r="R17" s="184">
        <f t="shared" si="3"/>
        <v>-6.7061111026325837E-2</v>
      </c>
      <c r="S17" s="182">
        <f>MENSUAL!$AM$17/'[1]MENSUAL-2024'!$AL$17</f>
        <v>3.5343800009569937</v>
      </c>
      <c r="T17" s="183">
        <f>MENSUAL!AN17/AFORO!AS17</f>
        <v>3.5727523074280181</v>
      </c>
      <c r="U17" s="183"/>
      <c r="V17" s="184">
        <f t="shared" si="4"/>
        <v>1.0856870642272254E-2</v>
      </c>
      <c r="W17" s="182">
        <f>MENSUAL!$AS$17/'[1]MENSUAL-2024'!$AQ$17</f>
        <v>1.9875725080468871</v>
      </c>
      <c r="X17" s="183">
        <f>MENSUAL!AT17/AFORO!AY17</f>
        <v>2.1748499422137719</v>
      </c>
      <c r="Y17" s="183"/>
      <c r="Z17" s="184">
        <f t="shared" si="5"/>
        <v>9.4224202341637087E-2</v>
      </c>
      <c r="AA17" s="182">
        <f>MENSUAL!$BA$17/'[1]MENSUAL-2024'!$AV$17</f>
        <v>1.065289156290393</v>
      </c>
      <c r="AB17" s="183">
        <f>MENSUAL!BB17/AFORO!BE17</f>
        <v>0.96426872959005738</v>
      </c>
      <c r="AC17" s="183"/>
      <c r="AD17" s="184">
        <f t="shared" si="6"/>
        <v>-9.4829113864365544E-2</v>
      </c>
    </row>
    <row r="18" spans="1:30" s="65" customFormat="1">
      <c r="A18" s="65" t="s">
        <v>21</v>
      </c>
      <c r="C18" s="187" t="s">
        <v>22</v>
      </c>
      <c r="D18" s="187" t="s">
        <v>23</v>
      </c>
      <c r="E18" s="187"/>
      <c r="F18" s="67"/>
      <c r="G18" s="187" t="s">
        <v>24</v>
      </c>
      <c r="H18" s="187" t="s">
        <v>25</v>
      </c>
      <c r="I18" s="187"/>
      <c r="J18" s="67"/>
      <c r="K18" s="187">
        <v>1.77</v>
      </c>
      <c r="L18" s="187">
        <v>1.77</v>
      </c>
      <c r="M18" s="187"/>
      <c r="N18" s="67"/>
      <c r="O18" s="187">
        <v>2.2999999999999998</v>
      </c>
      <c r="P18" s="187">
        <v>2.2999999999999998</v>
      </c>
      <c r="Q18" s="187"/>
      <c r="R18" s="67"/>
      <c r="S18" s="187">
        <v>3.43</v>
      </c>
      <c r="T18" s="187">
        <v>3.43</v>
      </c>
      <c r="U18" s="187"/>
      <c r="V18" s="67"/>
      <c r="W18" s="187">
        <v>1.95</v>
      </c>
      <c r="X18" s="187">
        <v>1.95</v>
      </c>
      <c r="Y18" s="187"/>
      <c r="Z18" s="67"/>
      <c r="AA18" s="187">
        <v>0.98</v>
      </c>
      <c r="AB18" s="187">
        <v>0.98</v>
      </c>
      <c r="AC18" s="187"/>
      <c r="AD18" s="67"/>
    </row>
  </sheetData>
  <mergeCells count="7">
    <mergeCell ref="AA3:AD3"/>
    <mergeCell ref="C3:F3"/>
    <mergeCell ref="G3:J3"/>
    <mergeCell ref="K3:N3"/>
    <mergeCell ref="O3:R3"/>
    <mergeCell ref="S3:V3"/>
    <mergeCell ref="W3:Z3"/>
  </mergeCells>
  <conditionalFormatting sqref="C6:C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E17">
    <cfRule type="colorScale" priority="7">
      <colorScale>
        <cfvo type="min"/>
        <cfvo type="max"/>
        <color rgb="FFFCFCFF"/>
        <color rgb="FF63BE7B"/>
      </colorScale>
    </cfRule>
  </conditionalFormatting>
  <conditionalFormatting sqref="D6:E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I17">
    <cfRule type="colorScale" priority="6">
      <colorScale>
        <cfvo type="min"/>
        <cfvo type="max"/>
        <color rgb="FFFCFCFF"/>
        <color rgb="FF63BE7B"/>
      </colorScale>
    </cfRule>
  </conditionalFormatting>
  <conditionalFormatting sqref="H6:I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M17">
    <cfRule type="colorScale" priority="5">
      <colorScale>
        <cfvo type="min"/>
        <cfvo type="max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Q17">
    <cfRule type="colorScale" priority="4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:U17">
    <cfRule type="colorScale" priority="3">
      <colorScale>
        <cfvo type="min"/>
        <cfvo type="max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:Y17">
    <cfRule type="colorScale" priority="2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C17">
    <cfRule type="colorScale" priority="1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788551CD-615D-D74B-8FE1-6EEF290418D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F6:F17 J6:J17 N6:N17 R6:R17 V6:V17 Z6:Z17 AD6:AD17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0CC7-0FF9-4262-8269-678F260FFDDE}">
  <sheetPr>
    <tabColor rgb="FF4F9887"/>
  </sheetPr>
  <dimension ref="B1:AT73"/>
  <sheetViews>
    <sheetView showGridLines="0" tabSelected="1" zoomScaleNormal="100" workbookViewId="0">
      <pane xSplit="4" ySplit="4" topLeftCell="E41" activePane="bottomRight" state="frozen"/>
      <selection pane="topRight"/>
      <selection pane="bottomLeft"/>
      <selection pane="bottomRight" activeCell="AQ60" sqref="AQ60"/>
    </sheetView>
  </sheetViews>
  <sheetFormatPr baseColWidth="10" defaultColWidth="8.83203125" defaultRowHeight="18"/>
  <cols>
    <col min="1" max="1" width="1.6640625" style="334" customWidth="1"/>
    <col min="2" max="2" width="10.83203125" style="334" customWidth="1"/>
    <col min="3" max="3" width="9" style="334" bestFit="1" customWidth="1"/>
    <col min="4" max="4" width="13.33203125" style="334" hidden="1" customWidth="1"/>
    <col min="5" max="8" width="13.33203125" style="334" customWidth="1"/>
    <col min="9" max="9" width="13.33203125" style="334" hidden="1" customWidth="1"/>
    <col min="10" max="13" width="13.33203125" style="334" customWidth="1"/>
    <col min="14" max="14" width="13.33203125" style="334" hidden="1" customWidth="1"/>
    <col min="15" max="18" width="13.33203125" style="334" customWidth="1"/>
    <col min="19" max="19" width="13.33203125" style="334" hidden="1" customWidth="1"/>
    <col min="20" max="23" width="13.33203125" style="334" customWidth="1"/>
    <col min="24" max="24" width="13.33203125" style="334" hidden="1" customWidth="1"/>
    <col min="25" max="28" width="13.33203125" style="334" customWidth="1"/>
    <col min="29" max="29" width="13.33203125" style="334" hidden="1" customWidth="1"/>
    <col min="30" max="33" width="13.33203125" style="334" customWidth="1"/>
    <col min="34" max="34" width="13.33203125" style="334" hidden="1" customWidth="1"/>
    <col min="35" max="38" width="13.33203125" style="334" customWidth="1"/>
    <col min="39" max="39" width="14.33203125" style="334" hidden="1" customWidth="1"/>
    <col min="40" max="43" width="14.33203125" style="334" customWidth="1"/>
    <col min="44" max="16384" width="8.83203125" style="334"/>
  </cols>
  <sheetData>
    <row r="1" spans="2:46">
      <c r="B1" s="333" t="s">
        <v>26</v>
      </c>
    </row>
    <row r="3" spans="2:46" s="333" customFormat="1">
      <c r="B3" s="568" t="s">
        <v>27</v>
      </c>
      <c r="C3" s="568" t="s">
        <v>28</v>
      </c>
      <c r="D3" s="557" t="s">
        <v>1</v>
      </c>
      <c r="E3" s="558"/>
      <c r="F3" s="558"/>
      <c r="G3" s="558"/>
      <c r="H3" s="562"/>
      <c r="I3" s="557" t="s">
        <v>2</v>
      </c>
      <c r="J3" s="558"/>
      <c r="K3" s="558"/>
      <c r="L3" s="558"/>
      <c r="M3" s="558"/>
      <c r="N3" s="557" t="s">
        <v>3</v>
      </c>
      <c r="O3" s="558"/>
      <c r="P3" s="558"/>
      <c r="Q3" s="558"/>
      <c r="R3" s="562"/>
      <c r="S3" s="557" t="s">
        <v>4</v>
      </c>
      <c r="T3" s="558"/>
      <c r="U3" s="558"/>
      <c r="V3" s="558"/>
      <c r="W3" s="562"/>
      <c r="X3" s="557" t="s">
        <v>5</v>
      </c>
      <c r="Y3" s="558"/>
      <c r="Z3" s="558"/>
      <c r="AA3" s="558"/>
      <c r="AB3" s="558"/>
      <c r="AC3" s="559" t="s">
        <v>6</v>
      </c>
      <c r="AD3" s="560"/>
      <c r="AE3" s="560"/>
      <c r="AF3" s="560"/>
      <c r="AG3" s="561"/>
      <c r="AH3" s="558" t="s">
        <v>7</v>
      </c>
      <c r="AI3" s="558"/>
      <c r="AJ3" s="558"/>
      <c r="AK3" s="558"/>
      <c r="AL3" s="562"/>
      <c r="AM3" s="563" t="s">
        <v>29</v>
      </c>
      <c r="AN3" s="564"/>
      <c r="AO3" s="564"/>
      <c r="AP3" s="564"/>
      <c r="AQ3" s="565"/>
      <c r="AR3" s="338"/>
      <c r="AS3" s="338"/>
      <c r="AT3" s="338"/>
    </row>
    <row r="4" spans="2:46" s="333" customFormat="1">
      <c r="B4" s="569"/>
      <c r="C4" s="569"/>
      <c r="D4" s="464">
        <v>2023</v>
      </c>
      <c r="E4" s="465">
        <v>2024</v>
      </c>
      <c r="F4" s="465">
        <v>2025</v>
      </c>
      <c r="G4" s="465">
        <v>2026</v>
      </c>
      <c r="H4" s="466" t="s">
        <v>30</v>
      </c>
      <c r="I4" s="465">
        <v>2023</v>
      </c>
      <c r="J4" s="465">
        <v>2024</v>
      </c>
      <c r="K4" s="465">
        <v>2025</v>
      </c>
      <c r="L4" s="465">
        <v>2026</v>
      </c>
      <c r="M4" s="465" t="s">
        <v>30</v>
      </c>
      <c r="N4" s="464">
        <v>2023</v>
      </c>
      <c r="O4" s="465">
        <v>2024</v>
      </c>
      <c r="P4" s="465">
        <v>2025</v>
      </c>
      <c r="Q4" s="465">
        <v>2026</v>
      </c>
      <c r="R4" s="466" t="s">
        <v>30</v>
      </c>
      <c r="S4" s="464">
        <v>2023</v>
      </c>
      <c r="T4" s="465">
        <v>2024</v>
      </c>
      <c r="U4" s="465">
        <v>2025</v>
      </c>
      <c r="V4" s="465">
        <v>2026</v>
      </c>
      <c r="W4" s="466" t="s">
        <v>30</v>
      </c>
      <c r="X4" s="465">
        <v>2023</v>
      </c>
      <c r="Y4" s="465">
        <v>2024</v>
      </c>
      <c r="Z4" s="465">
        <v>2025</v>
      </c>
      <c r="AA4" s="465">
        <v>2026</v>
      </c>
      <c r="AB4" s="465" t="s">
        <v>30</v>
      </c>
      <c r="AC4" s="467">
        <v>2023</v>
      </c>
      <c r="AD4" s="468">
        <v>2024</v>
      </c>
      <c r="AE4" s="468">
        <v>2025</v>
      </c>
      <c r="AF4" s="468">
        <v>2026</v>
      </c>
      <c r="AG4" s="469" t="s">
        <v>30</v>
      </c>
      <c r="AH4" s="465">
        <v>2023</v>
      </c>
      <c r="AI4" s="465">
        <v>2024</v>
      </c>
      <c r="AJ4" s="465">
        <v>2025</v>
      </c>
      <c r="AK4" s="465">
        <v>2026</v>
      </c>
      <c r="AL4" s="466" t="s">
        <v>30</v>
      </c>
      <c r="AM4" s="470">
        <v>2023</v>
      </c>
      <c r="AN4" s="471">
        <v>2024</v>
      </c>
      <c r="AO4" s="471">
        <v>2025</v>
      </c>
      <c r="AP4" s="471">
        <v>2026</v>
      </c>
      <c r="AQ4" s="472" t="s">
        <v>31</v>
      </c>
      <c r="AR4" s="338"/>
      <c r="AS4" s="338"/>
      <c r="AT4" s="338"/>
    </row>
    <row r="5" spans="2:46" ht="8.25" customHeight="1"/>
    <row r="6" spans="2:46">
      <c r="B6" s="473">
        <v>46026</v>
      </c>
      <c r="C6" s="474">
        <v>1</v>
      </c>
      <c r="D6" s="475">
        <v>167896</v>
      </c>
      <c r="E6" s="351">
        <v>156713</v>
      </c>
      <c r="F6" s="352">
        <v>178990</v>
      </c>
      <c r="G6" s="352">
        <v>180807</v>
      </c>
      <c r="H6" s="358">
        <f>G6/F6-1</f>
        <v>1.0151405106430422E-2</v>
      </c>
      <c r="I6" s="350">
        <v>60260</v>
      </c>
      <c r="J6" s="351">
        <v>52568</v>
      </c>
      <c r="K6" s="476">
        <v>60929</v>
      </c>
      <c r="L6" s="476">
        <v>63348</v>
      </c>
      <c r="M6" s="358">
        <f>L6/K6-1</f>
        <v>3.970194816918049E-2</v>
      </c>
      <c r="N6" s="350">
        <v>70982</v>
      </c>
      <c r="O6" s="350">
        <v>64851</v>
      </c>
      <c r="P6" s="477">
        <v>75352</v>
      </c>
      <c r="Q6" s="477">
        <v>65955</v>
      </c>
      <c r="R6" s="478">
        <f>Q6/P6-1</f>
        <v>-0.12470803694659727</v>
      </c>
      <c r="S6" s="350">
        <v>50247</v>
      </c>
      <c r="T6" s="350">
        <v>53269</v>
      </c>
      <c r="U6" s="477">
        <v>55379</v>
      </c>
      <c r="V6" s="477">
        <v>50662</v>
      </c>
      <c r="W6" s="479">
        <f>V6/U6-1</f>
        <v>-8.5176691525668535E-2</v>
      </c>
      <c r="X6" s="475">
        <v>87311</v>
      </c>
      <c r="Y6" s="351">
        <v>99648</v>
      </c>
      <c r="Z6" s="476">
        <v>111930</v>
      </c>
      <c r="AA6" s="476">
        <v>123601</v>
      </c>
      <c r="AB6" s="358">
        <f>AA6/Z6-1</f>
        <v>0.10427052622174582</v>
      </c>
      <c r="AC6" s="350">
        <v>41218</v>
      </c>
      <c r="AD6" s="351">
        <v>42258</v>
      </c>
      <c r="AE6" s="360">
        <v>50572</v>
      </c>
      <c r="AF6" s="360">
        <v>45373</v>
      </c>
      <c r="AG6" s="358">
        <f>AF6/AE6-1</f>
        <v>-0.10280392311951281</v>
      </c>
      <c r="AH6" s="350">
        <v>39524</v>
      </c>
      <c r="AI6" s="350">
        <v>40129</v>
      </c>
      <c r="AJ6" s="477">
        <v>36900</v>
      </c>
      <c r="AK6" s="477">
        <v>35281</v>
      </c>
      <c r="AL6" s="479">
        <f>AK6/AJ6-1</f>
        <v>-4.3875338753387561E-2</v>
      </c>
      <c r="AM6" s="480">
        <f t="shared" ref="AM6:AM37" si="0">D6+I6+N6+S6+X6+AC6+AH6</f>
        <v>517438</v>
      </c>
      <c r="AN6" s="480">
        <f t="shared" ref="AN6:AN37" si="1">E6+J6+O6+T6+Y6+AD6+AI6</f>
        <v>509436</v>
      </c>
      <c r="AO6" s="364">
        <f t="shared" ref="AO6:AO37" si="2">F6+K6+P6+U6+Z6+AE6+AJ6</f>
        <v>570052</v>
      </c>
      <c r="AP6" s="364">
        <f t="shared" ref="AP6:AP16" si="3">G6+L6+Q6+V6+AA6+AF6+AK6</f>
        <v>565027</v>
      </c>
      <c r="AQ6" s="366">
        <f>AP6/AO6-1</f>
        <v>-8.8149852995866862E-3</v>
      </c>
      <c r="AR6" s="481"/>
    </row>
    <row r="7" spans="2:46">
      <c r="B7" s="482">
        <v>46033</v>
      </c>
      <c r="C7" s="483">
        <v>2</v>
      </c>
      <c r="D7" s="390">
        <v>182118</v>
      </c>
      <c r="E7" s="373">
        <v>163645</v>
      </c>
      <c r="F7" s="372">
        <v>172033</v>
      </c>
      <c r="G7" s="372">
        <v>167972</v>
      </c>
      <c r="H7" s="379">
        <f t="shared" ref="H7:H57" si="4">G7/F7-1</f>
        <v>-2.3605936070405065E-2</v>
      </c>
      <c r="I7" s="372">
        <v>56811</v>
      </c>
      <c r="J7" s="373">
        <v>50737</v>
      </c>
      <c r="K7" s="484">
        <v>53401</v>
      </c>
      <c r="L7" s="484">
        <v>58801</v>
      </c>
      <c r="M7" s="379">
        <f t="shared" ref="M7:M57" si="5">L7/K7-1</f>
        <v>0.1011217018407895</v>
      </c>
      <c r="N7" s="372">
        <v>68752</v>
      </c>
      <c r="O7" s="372">
        <v>70867</v>
      </c>
      <c r="P7" s="484">
        <v>67435</v>
      </c>
      <c r="Q7" s="484">
        <v>63093</v>
      </c>
      <c r="R7" s="416">
        <f t="shared" ref="R7:R57" si="6">Q7/P7-1</f>
        <v>-6.4387929116927367E-2</v>
      </c>
      <c r="S7" s="372">
        <v>54534</v>
      </c>
      <c r="T7" s="372">
        <v>53623</v>
      </c>
      <c r="U7" s="484">
        <v>47649</v>
      </c>
      <c r="V7" s="484">
        <v>46077</v>
      </c>
      <c r="W7" s="378">
        <f t="shared" ref="W7:W57" si="7">V7/U7-1</f>
        <v>-3.2991248504690596E-2</v>
      </c>
      <c r="X7" s="390">
        <v>101582</v>
      </c>
      <c r="Y7" s="373">
        <v>100879</v>
      </c>
      <c r="Z7" s="484">
        <v>108059</v>
      </c>
      <c r="AA7" s="484">
        <v>117305</v>
      </c>
      <c r="AB7" s="379">
        <f t="shared" ref="AB7:AB57" si="8">AA7/Z7-1</f>
        <v>8.5564367613988557E-2</v>
      </c>
      <c r="AC7" s="372">
        <v>43464</v>
      </c>
      <c r="AD7" s="373">
        <v>43739</v>
      </c>
      <c r="AE7" s="380">
        <v>46133</v>
      </c>
      <c r="AF7" s="380">
        <v>45455</v>
      </c>
      <c r="AG7" s="379">
        <f t="shared" ref="AG7:AG57" si="9">AF7/AE7-1</f>
        <v>-1.4696637981488347E-2</v>
      </c>
      <c r="AH7" s="372">
        <v>37832</v>
      </c>
      <c r="AI7" s="372">
        <v>40695</v>
      </c>
      <c r="AJ7" s="484">
        <v>38776</v>
      </c>
      <c r="AK7" s="484">
        <v>38677</v>
      </c>
      <c r="AL7" s="378">
        <f t="shared" ref="AL7:AL57" si="10">AK7/AJ7-1</f>
        <v>-2.5531256447286488E-3</v>
      </c>
      <c r="AM7" s="485">
        <f t="shared" si="0"/>
        <v>545093</v>
      </c>
      <c r="AN7" s="485">
        <f t="shared" si="1"/>
        <v>524185</v>
      </c>
      <c r="AO7" s="384">
        <f t="shared" si="2"/>
        <v>533486</v>
      </c>
      <c r="AP7" s="384">
        <f t="shared" si="3"/>
        <v>537380</v>
      </c>
      <c r="AQ7" s="386">
        <f t="shared" ref="AQ7:AQ57" si="11">AP7/AO7-1</f>
        <v>7.2991606152739141E-3</v>
      </c>
      <c r="AR7" s="481"/>
    </row>
    <row r="8" spans="2:46">
      <c r="B8" s="482">
        <v>46040</v>
      </c>
      <c r="C8" s="483">
        <v>3</v>
      </c>
      <c r="D8" s="390">
        <v>182798</v>
      </c>
      <c r="E8" s="373">
        <v>156581</v>
      </c>
      <c r="F8" s="372">
        <v>168260</v>
      </c>
      <c r="G8" s="372">
        <v>169726</v>
      </c>
      <c r="H8" s="379">
        <f t="shared" si="4"/>
        <v>8.712706525615177E-3</v>
      </c>
      <c r="I8" s="372">
        <v>55380</v>
      </c>
      <c r="J8" s="373">
        <v>49255</v>
      </c>
      <c r="K8" s="484">
        <v>49952</v>
      </c>
      <c r="L8" s="484">
        <v>59166</v>
      </c>
      <c r="M8" s="379">
        <f t="shared" si="5"/>
        <v>0.18445707879564388</v>
      </c>
      <c r="N8" s="372">
        <v>72416</v>
      </c>
      <c r="O8" s="372">
        <v>64457</v>
      </c>
      <c r="P8" s="484">
        <v>57657</v>
      </c>
      <c r="Q8" s="484">
        <v>56771</v>
      </c>
      <c r="R8" s="416">
        <f t="shared" si="6"/>
        <v>-1.5366737776852712E-2</v>
      </c>
      <c r="S8" s="372">
        <v>53307</v>
      </c>
      <c r="T8" s="372">
        <v>58480</v>
      </c>
      <c r="U8" s="484">
        <v>50457</v>
      </c>
      <c r="V8" s="484">
        <v>47828</v>
      </c>
      <c r="W8" s="378">
        <f t="shared" si="7"/>
        <v>-5.2103771528231979E-2</v>
      </c>
      <c r="X8" s="390">
        <v>102396</v>
      </c>
      <c r="Y8" s="373">
        <v>98887</v>
      </c>
      <c r="Z8" s="484">
        <v>110990</v>
      </c>
      <c r="AA8" s="484">
        <v>116809</v>
      </c>
      <c r="AB8" s="379">
        <f t="shared" si="8"/>
        <v>5.2428146679881049E-2</v>
      </c>
      <c r="AC8" s="372">
        <v>42136</v>
      </c>
      <c r="AD8" s="373">
        <v>41858</v>
      </c>
      <c r="AE8" s="380">
        <v>47375</v>
      </c>
      <c r="AF8" s="380">
        <v>47941</v>
      </c>
      <c r="AG8" s="379">
        <f t="shared" si="9"/>
        <v>1.1947229551451111E-2</v>
      </c>
      <c r="AH8" s="372">
        <v>37792</v>
      </c>
      <c r="AI8" s="372">
        <v>41769</v>
      </c>
      <c r="AJ8" s="484">
        <v>40246</v>
      </c>
      <c r="AK8" s="484">
        <v>37047</v>
      </c>
      <c r="AL8" s="378">
        <f t="shared" si="10"/>
        <v>-7.9486160115290971E-2</v>
      </c>
      <c r="AM8" s="485">
        <f t="shared" si="0"/>
        <v>546225</v>
      </c>
      <c r="AN8" s="485">
        <f t="shared" si="1"/>
        <v>511287</v>
      </c>
      <c r="AO8" s="384">
        <f t="shared" si="2"/>
        <v>524937</v>
      </c>
      <c r="AP8" s="384">
        <f t="shared" si="3"/>
        <v>535288</v>
      </c>
      <c r="AQ8" s="386">
        <f t="shared" si="11"/>
        <v>1.9718556702994938E-2</v>
      </c>
      <c r="AR8" s="481"/>
    </row>
    <row r="9" spans="2:46">
      <c r="B9" s="482">
        <v>46047</v>
      </c>
      <c r="C9" s="483">
        <v>4</v>
      </c>
      <c r="D9" s="390">
        <v>201189</v>
      </c>
      <c r="E9" s="373">
        <v>158722</v>
      </c>
      <c r="F9" s="372">
        <v>165512</v>
      </c>
      <c r="G9" s="372">
        <v>166083</v>
      </c>
      <c r="H9" s="379">
        <f t="shared" si="4"/>
        <v>3.4499009135289249E-3</v>
      </c>
      <c r="I9" s="372">
        <v>53718</v>
      </c>
      <c r="J9" s="373">
        <v>55398</v>
      </c>
      <c r="K9" s="484">
        <v>49739</v>
      </c>
      <c r="L9" s="484">
        <v>58232</v>
      </c>
      <c r="M9" s="379">
        <f t="shared" si="5"/>
        <v>0.17075132190031961</v>
      </c>
      <c r="N9" s="372">
        <v>71461</v>
      </c>
      <c r="O9" s="372">
        <v>61952</v>
      </c>
      <c r="P9" s="484">
        <v>59251</v>
      </c>
      <c r="Q9" s="484">
        <v>51245</v>
      </c>
      <c r="R9" s="416">
        <f t="shared" si="6"/>
        <v>-0.1351200823614791</v>
      </c>
      <c r="S9" s="372">
        <v>49593</v>
      </c>
      <c r="T9" s="372">
        <v>54477</v>
      </c>
      <c r="U9" s="484">
        <v>48530</v>
      </c>
      <c r="V9" s="484">
        <v>45368</v>
      </c>
      <c r="W9" s="378">
        <f t="shared" si="7"/>
        <v>-6.5155573871831907E-2</v>
      </c>
      <c r="X9" s="390">
        <v>97977</v>
      </c>
      <c r="Y9" s="373">
        <v>97913</v>
      </c>
      <c r="Z9" s="484">
        <v>108702</v>
      </c>
      <c r="AA9" s="484">
        <v>110237</v>
      </c>
      <c r="AB9" s="379">
        <f t="shared" si="8"/>
        <v>1.4121175323361213E-2</v>
      </c>
      <c r="AC9" s="372">
        <v>40952</v>
      </c>
      <c r="AD9" s="373">
        <v>44641</v>
      </c>
      <c r="AE9" s="380">
        <v>42077</v>
      </c>
      <c r="AF9" s="380">
        <v>51447</v>
      </c>
      <c r="AG9" s="379">
        <f t="shared" si="9"/>
        <v>0.22268697863440834</v>
      </c>
      <c r="AH9" s="372">
        <v>36897</v>
      </c>
      <c r="AI9" s="372">
        <v>38283</v>
      </c>
      <c r="AJ9" s="484">
        <v>36849</v>
      </c>
      <c r="AK9" s="484">
        <v>35584</v>
      </c>
      <c r="AL9" s="378">
        <f t="shared" si="10"/>
        <v>-3.4329289804336582E-2</v>
      </c>
      <c r="AM9" s="485">
        <f t="shared" si="0"/>
        <v>551787</v>
      </c>
      <c r="AN9" s="485">
        <f t="shared" si="1"/>
        <v>511386</v>
      </c>
      <c r="AO9" s="384">
        <f t="shared" si="2"/>
        <v>510660</v>
      </c>
      <c r="AP9" s="384">
        <f t="shared" si="3"/>
        <v>518196</v>
      </c>
      <c r="AQ9" s="386">
        <f t="shared" si="11"/>
        <v>1.4757372811655456E-2</v>
      </c>
      <c r="AR9" s="481"/>
    </row>
    <row r="10" spans="2:46">
      <c r="B10" s="482">
        <v>46054</v>
      </c>
      <c r="C10" s="483">
        <v>5</v>
      </c>
      <c r="D10" s="390">
        <v>195691</v>
      </c>
      <c r="E10" s="373">
        <v>158722</v>
      </c>
      <c r="F10" s="372">
        <v>180664</v>
      </c>
      <c r="G10" s="372">
        <v>165406</v>
      </c>
      <c r="H10" s="379">
        <f t="shared" si="4"/>
        <v>-8.4455121108798603E-2</v>
      </c>
      <c r="I10" s="372">
        <v>51778</v>
      </c>
      <c r="J10" s="373">
        <v>49065</v>
      </c>
      <c r="K10" s="484">
        <v>50801</v>
      </c>
      <c r="L10" s="484">
        <v>57033</v>
      </c>
      <c r="M10" s="379">
        <f t="shared" si="5"/>
        <v>0.12267475049703735</v>
      </c>
      <c r="N10" s="372">
        <v>69228</v>
      </c>
      <c r="O10" s="372">
        <v>64018</v>
      </c>
      <c r="P10" s="484">
        <v>59887</v>
      </c>
      <c r="Q10" s="484">
        <v>55468</v>
      </c>
      <c r="R10" s="416">
        <f t="shared" si="6"/>
        <v>-7.3788969225374479E-2</v>
      </c>
      <c r="S10" s="372">
        <v>54354</v>
      </c>
      <c r="T10" s="372">
        <v>56372</v>
      </c>
      <c r="U10" s="484">
        <v>48431</v>
      </c>
      <c r="V10" s="484">
        <v>44635</v>
      </c>
      <c r="W10" s="378">
        <f t="shared" si="7"/>
        <v>-7.8379550288038669E-2</v>
      </c>
      <c r="X10" s="390">
        <v>97189</v>
      </c>
      <c r="Y10" s="373">
        <v>94631</v>
      </c>
      <c r="Z10" s="484">
        <v>109219</v>
      </c>
      <c r="AA10" s="484">
        <v>108222</v>
      </c>
      <c r="AB10" s="379">
        <f t="shared" si="8"/>
        <v>-9.1284483468992983E-3</v>
      </c>
      <c r="AC10" s="372">
        <v>39324</v>
      </c>
      <c r="AD10" s="373">
        <v>42655</v>
      </c>
      <c r="AE10" s="380">
        <v>51447</v>
      </c>
      <c r="AF10" s="380">
        <v>50295</v>
      </c>
      <c r="AG10" s="379">
        <f t="shared" si="9"/>
        <v>-2.2391976208525288E-2</v>
      </c>
      <c r="AH10" s="372">
        <v>38692</v>
      </c>
      <c r="AI10" s="372">
        <v>42402</v>
      </c>
      <c r="AJ10" s="484">
        <v>37812</v>
      </c>
      <c r="AK10" s="484">
        <v>36863</v>
      </c>
      <c r="AL10" s="378">
        <f t="shared" si="10"/>
        <v>-2.5097852533587206E-2</v>
      </c>
      <c r="AM10" s="485">
        <f t="shared" si="0"/>
        <v>546256</v>
      </c>
      <c r="AN10" s="485">
        <f t="shared" si="1"/>
        <v>507865</v>
      </c>
      <c r="AO10" s="384">
        <f t="shared" si="2"/>
        <v>538261</v>
      </c>
      <c r="AP10" s="384">
        <f t="shared" si="3"/>
        <v>517922</v>
      </c>
      <c r="AQ10" s="386">
        <f t="shared" si="11"/>
        <v>-3.7786501344143408E-2</v>
      </c>
      <c r="AR10" s="481"/>
    </row>
    <row r="11" spans="2:46">
      <c r="B11" s="482">
        <v>46061</v>
      </c>
      <c r="C11" s="483">
        <v>6</v>
      </c>
      <c r="D11" s="390">
        <v>214925</v>
      </c>
      <c r="E11" s="373">
        <v>158830</v>
      </c>
      <c r="F11" s="372">
        <v>199855</v>
      </c>
      <c r="G11" s="372">
        <v>175760</v>
      </c>
      <c r="H11" s="379">
        <f t="shared" si="4"/>
        <v>-0.12056240774561555</v>
      </c>
      <c r="I11" s="372">
        <v>50148</v>
      </c>
      <c r="J11" s="373">
        <v>46655</v>
      </c>
      <c r="K11" s="484">
        <v>50394</v>
      </c>
      <c r="L11" s="484">
        <v>56767</v>
      </c>
      <c r="M11" s="379">
        <f t="shared" si="5"/>
        <v>0.12646346787315954</v>
      </c>
      <c r="N11" s="372">
        <v>74275</v>
      </c>
      <c r="O11" s="372">
        <v>64287</v>
      </c>
      <c r="P11" s="484">
        <v>59644</v>
      </c>
      <c r="Q11" s="484">
        <v>56054</v>
      </c>
      <c r="R11" s="416">
        <f t="shared" si="6"/>
        <v>-6.0190463416269879E-2</v>
      </c>
      <c r="S11" s="372">
        <v>50587</v>
      </c>
      <c r="T11" s="372">
        <v>57650</v>
      </c>
      <c r="U11" s="484">
        <v>52970</v>
      </c>
      <c r="V11" s="484">
        <v>49916</v>
      </c>
      <c r="W11" s="378">
        <f t="shared" si="7"/>
        <v>-5.7655276571644376E-2</v>
      </c>
      <c r="X11" s="390">
        <v>97495</v>
      </c>
      <c r="Y11" s="373">
        <v>98349</v>
      </c>
      <c r="Z11" s="484">
        <v>112307</v>
      </c>
      <c r="AA11" s="484">
        <v>109388</v>
      </c>
      <c r="AB11" s="379">
        <f t="shared" si="8"/>
        <v>-2.5991256110482919E-2</v>
      </c>
      <c r="AC11" s="372">
        <v>41374</v>
      </c>
      <c r="AD11" s="373">
        <v>44243</v>
      </c>
      <c r="AE11" s="380">
        <v>49578</v>
      </c>
      <c r="AF11" s="380">
        <v>51418</v>
      </c>
      <c r="AG11" s="379">
        <f t="shared" si="9"/>
        <v>3.7113235709387293E-2</v>
      </c>
      <c r="AH11" s="372">
        <v>37078</v>
      </c>
      <c r="AI11" s="372">
        <v>39447</v>
      </c>
      <c r="AJ11" s="484">
        <v>36315</v>
      </c>
      <c r="AK11" s="484">
        <v>34864</v>
      </c>
      <c r="AL11" s="378">
        <f t="shared" si="10"/>
        <v>-3.9955941071182721E-2</v>
      </c>
      <c r="AM11" s="485">
        <f t="shared" si="0"/>
        <v>565882</v>
      </c>
      <c r="AN11" s="485">
        <f t="shared" si="1"/>
        <v>509461</v>
      </c>
      <c r="AO11" s="384">
        <f t="shared" si="2"/>
        <v>561063</v>
      </c>
      <c r="AP11" s="384">
        <f t="shared" si="3"/>
        <v>534167</v>
      </c>
      <c r="AQ11" s="386">
        <f t="shared" si="11"/>
        <v>-4.7937575637673535E-2</v>
      </c>
      <c r="AR11" s="481"/>
      <c r="AS11" s="388"/>
    </row>
    <row r="12" spans="2:46">
      <c r="B12" s="482">
        <v>46068</v>
      </c>
      <c r="C12" s="483">
        <v>7</v>
      </c>
      <c r="D12" s="390">
        <v>209579</v>
      </c>
      <c r="E12" s="373">
        <v>168886</v>
      </c>
      <c r="F12" s="372">
        <v>212525</v>
      </c>
      <c r="G12" s="372">
        <v>170738</v>
      </c>
      <c r="H12" s="379">
        <f t="shared" si="4"/>
        <v>-0.19662157393247848</v>
      </c>
      <c r="I12" s="372">
        <v>58145</v>
      </c>
      <c r="J12" s="373">
        <v>54906</v>
      </c>
      <c r="K12" s="484">
        <v>59965</v>
      </c>
      <c r="L12" s="484">
        <v>63442</v>
      </c>
      <c r="M12" s="379">
        <f t="shared" si="5"/>
        <v>5.7983823897273412E-2</v>
      </c>
      <c r="N12" s="372">
        <v>70539</v>
      </c>
      <c r="O12" s="372">
        <v>74269</v>
      </c>
      <c r="P12" s="484">
        <v>68212</v>
      </c>
      <c r="Q12" s="484">
        <v>62893</v>
      </c>
      <c r="R12" s="416">
        <f t="shared" si="6"/>
        <v>-7.7977481967982154E-2</v>
      </c>
      <c r="S12" s="372">
        <v>59010</v>
      </c>
      <c r="T12" s="372">
        <v>63258</v>
      </c>
      <c r="U12" s="484">
        <v>56488</v>
      </c>
      <c r="V12" s="484">
        <v>51117</v>
      </c>
      <c r="W12" s="378">
        <f t="shared" si="7"/>
        <v>-9.5082141339753568E-2</v>
      </c>
      <c r="X12" s="390">
        <v>103392</v>
      </c>
      <c r="Y12" s="373">
        <v>104168</v>
      </c>
      <c r="Z12" s="484">
        <v>127665</v>
      </c>
      <c r="AA12" s="484">
        <v>125508</v>
      </c>
      <c r="AB12" s="379">
        <f t="shared" si="8"/>
        <v>-1.6895781929267994E-2</v>
      </c>
      <c r="AC12" s="372">
        <v>44140</v>
      </c>
      <c r="AD12" s="373">
        <v>39760</v>
      </c>
      <c r="AE12" s="380">
        <v>55843</v>
      </c>
      <c r="AF12" s="380">
        <v>58171</v>
      </c>
      <c r="AG12" s="379">
        <f t="shared" si="9"/>
        <v>4.1688304711423152E-2</v>
      </c>
      <c r="AH12" s="372">
        <v>37956</v>
      </c>
      <c r="AI12" s="372">
        <v>39154</v>
      </c>
      <c r="AJ12" s="484">
        <v>34962</v>
      </c>
      <c r="AK12" s="484">
        <v>35842</v>
      </c>
      <c r="AL12" s="378">
        <f t="shared" si="10"/>
        <v>2.5170184772038251E-2</v>
      </c>
      <c r="AM12" s="485">
        <f t="shared" si="0"/>
        <v>582761</v>
      </c>
      <c r="AN12" s="485">
        <f t="shared" si="1"/>
        <v>544401</v>
      </c>
      <c r="AO12" s="384">
        <f t="shared" si="2"/>
        <v>615660</v>
      </c>
      <c r="AP12" s="384">
        <f t="shared" si="3"/>
        <v>567711</v>
      </c>
      <c r="AQ12" s="386">
        <f t="shared" si="11"/>
        <v>-7.7882272682974318E-2</v>
      </c>
      <c r="AR12" s="481"/>
    </row>
    <row r="13" spans="2:46">
      <c r="B13" s="482">
        <v>46075</v>
      </c>
      <c r="C13" s="483">
        <v>8</v>
      </c>
      <c r="D13" s="390">
        <v>174459</v>
      </c>
      <c r="E13" s="373">
        <v>164125</v>
      </c>
      <c r="F13" s="372">
        <v>172613</v>
      </c>
      <c r="G13" s="372">
        <v>133616</v>
      </c>
      <c r="H13" s="379">
        <f t="shared" si="4"/>
        <v>-0.22592157021777037</v>
      </c>
      <c r="I13" s="372">
        <v>52625</v>
      </c>
      <c r="J13" s="373">
        <v>52261</v>
      </c>
      <c r="K13" s="484">
        <v>49516</v>
      </c>
      <c r="L13" s="484">
        <v>50710</v>
      </c>
      <c r="M13" s="379">
        <f t="shared" si="5"/>
        <v>2.4113417885128108E-2</v>
      </c>
      <c r="N13" s="372">
        <v>61214</v>
      </c>
      <c r="O13" s="372">
        <v>71690</v>
      </c>
      <c r="P13" s="484">
        <v>61705</v>
      </c>
      <c r="Q13" s="484">
        <v>46809</v>
      </c>
      <c r="R13" s="416">
        <f t="shared" si="6"/>
        <v>-0.24140669313669882</v>
      </c>
      <c r="S13" s="372">
        <v>50475</v>
      </c>
      <c r="T13" s="372">
        <v>52261</v>
      </c>
      <c r="U13" s="484">
        <v>48399</v>
      </c>
      <c r="V13" s="484">
        <v>47029</v>
      </c>
      <c r="W13" s="378">
        <f t="shared" si="7"/>
        <v>-2.8306369966321632E-2</v>
      </c>
      <c r="X13" s="390">
        <v>99088</v>
      </c>
      <c r="Y13" s="373">
        <v>93310</v>
      </c>
      <c r="Z13" s="484">
        <v>103623</v>
      </c>
      <c r="AA13" s="484">
        <v>106667</v>
      </c>
      <c r="AB13" s="379">
        <f t="shared" si="8"/>
        <v>2.9375717746060293E-2</v>
      </c>
      <c r="AC13" s="372">
        <v>44783</v>
      </c>
      <c r="AD13" s="373">
        <v>42727</v>
      </c>
      <c r="AE13" s="380">
        <v>47610</v>
      </c>
      <c r="AF13" s="380">
        <v>51907</v>
      </c>
      <c r="AG13" s="379">
        <f t="shared" si="9"/>
        <v>9.0254148288174685E-2</v>
      </c>
      <c r="AH13" s="372">
        <v>34804</v>
      </c>
      <c r="AI13" s="372">
        <v>39242</v>
      </c>
      <c r="AJ13" s="484">
        <v>32928</v>
      </c>
      <c r="AK13" s="484">
        <v>32418</v>
      </c>
      <c r="AL13" s="378">
        <f t="shared" si="10"/>
        <v>-1.5488338192419793E-2</v>
      </c>
      <c r="AM13" s="485">
        <f t="shared" si="0"/>
        <v>517448</v>
      </c>
      <c r="AN13" s="485">
        <f t="shared" si="1"/>
        <v>515616</v>
      </c>
      <c r="AO13" s="384">
        <f t="shared" si="2"/>
        <v>516394</v>
      </c>
      <c r="AP13" s="384">
        <f t="shared" si="3"/>
        <v>469156</v>
      </c>
      <c r="AQ13" s="386">
        <f t="shared" si="11"/>
        <v>-9.1476663168046146E-2</v>
      </c>
      <c r="AR13" s="481"/>
    </row>
    <row r="14" spans="2:46">
      <c r="B14" s="482">
        <v>46082</v>
      </c>
      <c r="C14" s="483">
        <v>9</v>
      </c>
      <c r="D14" s="390">
        <v>154577</v>
      </c>
      <c r="E14" s="373">
        <v>166481</v>
      </c>
      <c r="F14" s="372">
        <v>170684</v>
      </c>
      <c r="G14" s="372">
        <v>156918</v>
      </c>
      <c r="H14" s="379">
        <f t="shared" si="4"/>
        <v>-8.0651965034801099E-2</v>
      </c>
      <c r="I14" s="372">
        <v>53016</v>
      </c>
      <c r="J14" s="373">
        <v>50353</v>
      </c>
      <c r="K14" s="484">
        <v>50101</v>
      </c>
      <c r="L14" s="484">
        <v>54890</v>
      </c>
      <c r="M14" s="379">
        <f t="shared" si="5"/>
        <v>9.5586914432845616E-2</v>
      </c>
      <c r="N14" s="372">
        <v>59870</v>
      </c>
      <c r="O14" s="372">
        <v>68194</v>
      </c>
      <c r="P14" s="484">
        <v>58939</v>
      </c>
      <c r="Q14" s="484">
        <v>54378</v>
      </c>
      <c r="R14" s="416">
        <f t="shared" si="6"/>
        <v>-7.7385093062318666E-2</v>
      </c>
      <c r="S14" s="372">
        <v>56456</v>
      </c>
      <c r="T14" s="372">
        <v>57345</v>
      </c>
      <c r="U14" s="484">
        <v>49914</v>
      </c>
      <c r="V14" s="484">
        <v>47031</v>
      </c>
      <c r="W14" s="378">
        <f t="shared" si="7"/>
        <v>-5.7759346075249463E-2</v>
      </c>
      <c r="X14" s="390">
        <v>103334</v>
      </c>
      <c r="Y14" s="373">
        <v>92366</v>
      </c>
      <c r="Z14" s="484">
        <v>110513</v>
      </c>
      <c r="AA14" s="484">
        <v>108905</v>
      </c>
      <c r="AB14" s="379">
        <f t="shared" si="8"/>
        <v>-1.4550324396224834E-2</v>
      </c>
      <c r="AC14" s="372">
        <v>37978</v>
      </c>
      <c r="AD14" s="373">
        <v>44487</v>
      </c>
      <c r="AE14" s="380">
        <v>51917</v>
      </c>
      <c r="AF14" s="380">
        <v>55918</v>
      </c>
      <c r="AG14" s="379">
        <f t="shared" si="9"/>
        <v>7.7065315792514966E-2</v>
      </c>
      <c r="AH14" s="372">
        <v>39522</v>
      </c>
      <c r="AI14" s="372">
        <v>43111</v>
      </c>
      <c r="AJ14" s="484">
        <v>35860</v>
      </c>
      <c r="AK14" s="484">
        <v>34526</v>
      </c>
      <c r="AL14" s="378">
        <f t="shared" si="10"/>
        <v>-3.7200223089793649E-2</v>
      </c>
      <c r="AM14" s="485">
        <f t="shared" si="0"/>
        <v>504753</v>
      </c>
      <c r="AN14" s="485">
        <f t="shared" si="1"/>
        <v>522337</v>
      </c>
      <c r="AO14" s="384">
        <f t="shared" si="2"/>
        <v>527928</v>
      </c>
      <c r="AP14" s="384">
        <f t="shared" si="3"/>
        <v>512566</v>
      </c>
      <c r="AQ14" s="386">
        <f t="shared" si="11"/>
        <v>-2.909866496946556E-2</v>
      </c>
      <c r="AR14" s="481"/>
    </row>
    <row r="15" spans="2:46">
      <c r="B15" s="482">
        <v>46089</v>
      </c>
      <c r="C15" s="483">
        <v>10</v>
      </c>
      <c r="D15" s="390">
        <v>194993</v>
      </c>
      <c r="E15" s="373">
        <v>155032</v>
      </c>
      <c r="F15" s="372">
        <v>169280</v>
      </c>
      <c r="G15" s="372">
        <v>163282</v>
      </c>
      <c r="H15" s="379">
        <f t="shared" si="4"/>
        <v>-3.5432419659735315E-2</v>
      </c>
      <c r="I15" s="372">
        <v>52474</v>
      </c>
      <c r="J15" s="373">
        <v>49374</v>
      </c>
      <c r="K15" s="484">
        <v>49513</v>
      </c>
      <c r="L15" s="484">
        <v>58001</v>
      </c>
      <c r="M15" s="379">
        <f t="shared" si="5"/>
        <v>0.17142972552662927</v>
      </c>
      <c r="N15" s="372">
        <v>77148</v>
      </c>
      <c r="O15" s="372">
        <v>70168</v>
      </c>
      <c r="P15" s="484">
        <v>57896</v>
      </c>
      <c r="Q15" s="484">
        <v>56949</v>
      </c>
      <c r="R15" s="416">
        <f t="shared" si="6"/>
        <v>-1.63569158491087E-2</v>
      </c>
      <c r="S15" s="372">
        <v>53709</v>
      </c>
      <c r="T15" s="372">
        <v>55362</v>
      </c>
      <c r="U15" s="484">
        <v>49380</v>
      </c>
      <c r="V15" s="484">
        <v>47139</v>
      </c>
      <c r="W15" s="378">
        <f t="shared" si="7"/>
        <v>-4.5382746051032763E-2</v>
      </c>
      <c r="X15" s="390">
        <v>104277</v>
      </c>
      <c r="Y15" s="373">
        <v>93411</v>
      </c>
      <c r="Z15" s="484">
        <v>113847</v>
      </c>
      <c r="AA15" s="484">
        <v>108282</v>
      </c>
      <c r="AB15" s="379">
        <f t="shared" si="8"/>
        <v>-4.8881393449102695E-2</v>
      </c>
      <c r="AC15" s="372">
        <v>44643</v>
      </c>
      <c r="AD15" s="373">
        <v>47284</v>
      </c>
      <c r="AE15" s="380">
        <v>46312</v>
      </c>
      <c r="AF15" s="380">
        <v>51567</v>
      </c>
      <c r="AG15" s="379">
        <f t="shared" si="9"/>
        <v>0.11346951114182069</v>
      </c>
      <c r="AH15" s="372">
        <v>38404</v>
      </c>
      <c r="AI15" s="372">
        <v>42141</v>
      </c>
      <c r="AJ15" s="484">
        <v>36573</v>
      </c>
      <c r="AK15" s="484">
        <v>34858</v>
      </c>
      <c r="AL15" s="378">
        <f t="shared" si="10"/>
        <v>-4.6892516337188606E-2</v>
      </c>
      <c r="AM15" s="485">
        <f t="shared" si="0"/>
        <v>565648</v>
      </c>
      <c r="AN15" s="485">
        <f t="shared" si="1"/>
        <v>512772</v>
      </c>
      <c r="AO15" s="384">
        <f t="shared" si="2"/>
        <v>522801</v>
      </c>
      <c r="AP15" s="384">
        <f t="shared" si="3"/>
        <v>520078</v>
      </c>
      <c r="AQ15" s="386">
        <f t="shared" si="11"/>
        <v>-5.2084827687781665E-3</v>
      </c>
      <c r="AR15" s="481"/>
    </row>
    <row r="16" spans="2:46">
      <c r="B16" s="482">
        <v>46096</v>
      </c>
      <c r="C16" s="483">
        <v>11</v>
      </c>
      <c r="D16" s="390">
        <v>196880</v>
      </c>
      <c r="E16" s="373">
        <v>154396</v>
      </c>
      <c r="F16" s="372">
        <v>172760</v>
      </c>
      <c r="G16" s="372">
        <v>162017</v>
      </c>
      <c r="H16" s="379">
        <f t="shared" si="4"/>
        <v>-6.2184533456818736E-2</v>
      </c>
      <c r="I16" s="372">
        <v>52085</v>
      </c>
      <c r="J16" s="373">
        <v>50607</v>
      </c>
      <c r="K16" s="484">
        <v>50536</v>
      </c>
      <c r="L16" s="484">
        <v>58990</v>
      </c>
      <c r="M16" s="379">
        <f t="shared" si="5"/>
        <v>0.16728668671837887</v>
      </c>
      <c r="N16" s="372">
        <v>84229</v>
      </c>
      <c r="O16" s="372">
        <v>74089</v>
      </c>
      <c r="P16" s="484">
        <v>55196</v>
      </c>
      <c r="Q16" s="484">
        <v>57937</v>
      </c>
      <c r="R16" s="416">
        <f t="shared" si="6"/>
        <v>4.965939560837751E-2</v>
      </c>
      <c r="S16" s="372">
        <v>55954</v>
      </c>
      <c r="T16" s="372">
        <v>56340</v>
      </c>
      <c r="U16" s="484">
        <v>48705</v>
      </c>
      <c r="V16" s="484">
        <v>45486</v>
      </c>
      <c r="W16" s="378">
        <f t="shared" si="7"/>
        <v>-6.6091777024946063E-2</v>
      </c>
      <c r="X16" s="390">
        <v>98879</v>
      </c>
      <c r="Y16" s="373">
        <v>98082</v>
      </c>
      <c r="Z16" s="484">
        <v>109862</v>
      </c>
      <c r="AA16" s="484">
        <v>111976</v>
      </c>
      <c r="AB16" s="379">
        <f t="shared" si="8"/>
        <v>1.9242322186015182E-2</v>
      </c>
      <c r="AC16" s="372">
        <v>46516</v>
      </c>
      <c r="AD16" s="373">
        <v>39928</v>
      </c>
      <c r="AE16" s="380">
        <v>46284</v>
      </c>
      <c r="AF16" s="380">
        <v>51979</v>
      </c>
      <c r="AG16" s="379">
        <f t="shared" si="9"/>
        <v>0.12304468066718521</v>
      </c>
      <c r="AH16" s="372">
        <v>39812</v>
      </c>
      <c r="AI16" s="372">
        <v>41601</v>
      </c>
      <c r="AJ16" s="484">
        <v>35967</v>
      </c>
      <c r="AK16" s="484">
        <v>34892</v>
      </c>
      <c r="AL16" s="378">
        <f t="shared" si="10"/>
        <v>-2.9888508910946188E-2</v>
      </c>
      <c r="AM16" s="485">
        <f t="shared" si="0"/>
        <v>574355</v>
      </c>
      <c r="AN16" s="485">
        <f t="shared" si="1"/>
        <v>515043</v>
      </c>
      <c r="AO16" s="384">
        <f t="shared" si="2"/>
        <v>519310</v>
      </c>
      <c r="AP16" s="384">
        <f t="shared" si="3"/>
        <v>523277</v>
      </c>
      <c r="AQ16" s="386">
        <f t="shared" si="11"/>
        <v>7.6389824960043651E-3</v>
      </c>
      <c r="AR16" s="481"/>
    </row>
    <row r="17" spans="2:46">
      <c r="B17" s="482">
        <v>46103</v>
      </c>
      <c r="C17" s="483">
        <v>12</v>
      </c>
      <c r="D17" s="390">
        <v>201163</v>
      </c>
      <c r="E17" s="373">
        <v>148847</v>
      </c>
      <c r="F17" s="372">
        <v>190380</v>
      </c>
      <c r="G17" s="372">
        <v>169947</v>
      </c>
      <c r="H17" s="379">
        <f t="shared" si="4"/>
        <v>-0.10732745036243307</v>
      </c>
      <c r="I17" s="372">
        <v>54203</v>
      </c>
      <c r="J17" s="373">
        <v>55338</v>
      </c>
      <c r="K17" s="484">
        <v>53727</v>
      </c>
      <c r="L17" s="484">
        <v>63438</v>
      </c>
      <c r="M17" s="379">
        <f t="shared" si="5"/>
        <v>0.18074711039142333</v>
      </c>
      <c r="N17" s="372">
        <v>82743</v>
      </c>
      <c r="O17" s="372">
        <v>72295</v>
      </c>
      <c r="P17" s="484">
        <v>54348</v>
      </c>
      <c r="Q17" s="484">
        <v>62342</v>
      </c>
      <c r="R17" s="416">
        <f t="shared" si="6"/>
        <v>0.14708912931478624</v>
      </c>
      <c r="S17" s="372">
        <v>53632</v>
      </c>
      <c r="T17" s="372">
        <v>57308</v>
      </c>
      <c r="U17" s="484">
        <v>51854</v>
      </c>
      <c r="V17" s="484">
        <v>49080</v>
      </c>
      <c r="W17" s="378">
        <f t="shared" si="7"/>
        <v>-5.3496355151000929E-2</v>
      </c>
      <c r="X17" s="390">
        <v>96243</v>
      </c>
      <c r="Y17" s="373">
        <v>94449</v>
      </c>
      <c r="Z17" s="484">
        <v>116137</v>
      </c>
      <c r="AA17" s="484">
        <v>119670</v>
      </c>
      <c r="AB17" s="379">
        <f t="shared" si="8"/>
        <v>3.0420968339116783E-2</v>
      </c>
      <c r="AC17" s="372">
        <v>42543</v>
      </c>
      <c r="AD17" s="373">
        <v>43900</v>
      </c>
      <c r="AE17" s="380">
        <v>58882</v>
      </c>
      <c r="AF17" s="380">
        <v>55265</v>
      </c>
      <c r="AG17" s="379">
        <f t="shared" si="9"/>
        <v>-6.1427940627016731E-2</v>
      </c>
      <c r="AH17" s="372">
        <v>37937</v>
      </c>
      <c r="AI17" s="372">
        <v>37493</v>
      </c>
      <c r="AJ17" s="484">
        <v>36352</v>
      </c>
      <c r="AK17" s="484">
        <v>35129</v>
      </c>
      <c r="AL17" s="378">
        <f t="shared" si="10"/>
        <v>-3.364326584507038E-2</v>
      </c>
      <c r="AM17" s="485">
        <f t="shared" si="0"/>
        <v>568464</v>
      </c>
      <c r="AN17" s="485">
        <f t="shared" si="1"/>
        <v>509630</v>
      </c>
      <c r="AO17" s="384">
        <f t="shared" si="2"/>
        <v>561680</v>
      </c>
      <c r="AP17" s="384">
        <f>G17+L17+Q17+V17+AA17+AF17+AK17</f>
        <v>554871</v>
      </c>
      <c r="AQ17" s="386">
        <f t="shared" si="11"/>
        <v>-1.212256088876229E-2</v>
      </c>
      <c r="AR17" s="481"/>
      <c r="AT17" s="388"/>
    </row>
    <row r="18" spans="2:46">
      <c r="B18" s="482">
        <v>46110</v>
      </c>
      <c r="C18" s="483">
        <v>13</v>
      </c>
      <c r="D18" s="390">
        <v>157801</v>
      </c>
      <c r="E18" s="373">
        <v>166224</v>
      </c>
      <c r="F18" s="372">
        <v>192543</v>
      </c>
      <c r="G18" s="372">
        <v>159417</v>
      </c>
      <c r="H18" s="379">
        <f t="shared" si="4"/>
        <v>-0.17204468612206103</v>
      </c>
      <c r="I18" s="372">
        <v>53332</v>
      </c>
      <c r="J18" s="373">
        <v>57206</v>
      </c>
      <c r="K18" s="484">
        <v>49058</v>
      </c>
      <c r="L18" s="484">
        <v>58644</v>
      </c>
      <c r="M18" s="379">
        <f t="shared" si="5"/>
        <v>0.19540136165355304</v>
      </c>
      <c r="N18" s="372">
        <v>80144</v>
      </c>
      <c r="O18" s="372">
        <v>73773</v>
      </c>
      <c r="P18" s="484">
        <v>54818</v>
      </c>
      <c r="Q18" s="484">
        <v>58237</v>
      </c>
      <c r="R18" s="416">
        <f t="shared" si="6"/>
        <v>6.2370024444525551E-2</v>
      </c>
      <c r="S18" s="372">
        <v>54650</v>
      </c>
      <c r="T18" s="372">
        <v>59149</v>
      </c>
      <c r="U18" s="484">
        <v>48664</v>
      </c>
      <c r="V18" s="484">
        <v>42504</v>
      </c>
      <c r="W18" s="378">
        <f t="shared" si="7"/>
        <v>-0.12658227848101267</v>
      </c>
      <c r="X18" s="390">
        <v>109826</v>
      </c>
      <c r="Y18" s="373">
        <v>98350</v>
      </c>
      <c r="Z18" s="484">
        <v>115422</v>
      </c>
      <c r="AA18" s="484">
        <v>113869</v>
      </c>
      <c r="AB18" s="379">
        <f t="shared" si="8"/>
        <v>-1.3454973921782631E-2</v>
      </c>
      <c r="AC18" s="372">
        <v>44700</v>
      </c>
      <c r="AD18" s="373">
        <v>44390</v>
      </c>
      <c r="AE18" s="380">
        <v>56920</v>
      </c>
      <c r="AF18" s="380">
        <v>51056</v>
      </c>
      <c r="AG18" s="379">
        <f t="shared" si="9"/>
        <v>-0.10302178496134928</v>
      </c>
      <c r="AH18" s="372">
        <v>39481</v>
      </c>
      <c r="AI18" s="372">
        <v>34409</v>
      </c>
      <c r="AJ18" s="484">
        <v>37209</v>
      </c>
      <c r="AK18" s="484">
        <v>36115</v>
      </c>
      <c r="AL18" s="378">
        <f t="shared" si="10"/>
        <v>-2.940148888709726E-2</v>
      </c>
      <c r="AM18" s="485">
        <f t="shared" si="0"/>
        <v>539934</v>
      </c>
      <c r="AN18" s="485">
        <f t="shared" si="1"/>
        <v>533501</v>
      </c>
      <c r="AO18" s="384">
        <f t="shared" si="2"/>
        <v>554634</v>
      </c>
      <c r="AP18" s="384">
        <f t="shared" ref="AP18:AP25" si="12">AK18+AF18+AA18+V18+Q18+L18+G18</f>
        <v>519842</v>
      </c>
      <c r="AQ18" s="386">
        <f t="shared" si="11"/>
        <v>-6.2729655953295271E-2</v>
      </c>
      <c r="AR18" s="481"/>
      <c r="AT18" s="388"/>
    </row>
    <row r="19" spans="2:46">
      <c r="B19" s="482">
        <v>46117</v>
      </c>
      <c r="C19" s="483">
        <v>14</v>
      </c>
      <c r="D19" s="390">
        <v>183755</v>
      </c>
      <c r="E19" s="373">
        <v>167291</v>
      </c>
      <c r="F19" s="372">
        <v>209861</v>
      </c>
      <c r="G19" s="372">
        <v>187065</v>
      </c>
      <c r="H19" s="379">
        <f t="shared" si="4"/>
        <v>-0.10862427988049228</v>
      </c>
      <c r="I19" s="372">
        <v>78617</v>
      </c>
      <c r="J19" s="373">
        <v>54500</v>
      </c>
      <c r="K19" s="484">
        <v>60025</v>
      </c>
      <c r="L19" s="484">
        <v>83624</v>
      </c>
      <c r="M19" s="379">
        <f t="shared" si="5"/>
        <v>0.39315285297792579</v>
      </c>
      <c r="N19" s="372">
        <v>88711</v>
      </c>
      <c r="O19" s="372">
        <v>72013</v>
      </c>
      <c r="P19" s="484">
        <v>65713</v>
      </c>
      <c r="Q19" s="484">
        <v>73160</v>
      </c>
      <c r="R19" s="416">
        <f t="shared" si="6"/>
        <v>0.11332613029385352</v>
      </c>
      <c r="S19" s="372">
        <v>61543</v>
      </c>
      <c r="T19" s="372">
        <v>57675</v>
      </c>
      <c r="U19" s="484">
        <v>55841</v>
      </c>
      <c r="V19" s="484">
        <v>54418</v>
      </c>
      <c r="W19" s="378">
        <f t="shared" si="7"/>
        <v>-2.5483067996633246E-2</v>
      </c>
      <c r="X19" s="390">
        <v>108540</v>
      </c>
      <c r="Y19" s="373">
        <v>98430</v>
      </c>
      <c r="Z19" s="484">
        <v>117214</v>
      </c>
      <c r="AA19" s="484">
        <v>110467</v>
      </c>
      <c r="AB19" s="379">
        <f t="shared" si="8"/>
        <v>-5.7561383452488624E-2</v>
      </c>
      <c r="AC19" s="372">
        <v>51025</v>
      </c>
      <c r="AD19" s="373">
        <v>46846</v>
      </c>
      <c r="AE19" s="380">
        <v>61434</v>
      </c>
      <c r="AF19" s="380">
        <v>57334</v>
      </c>
      <c r="AG19" s="379">
        <f t="shared" si="9"/>
        <v>-6.673828824429473E-2</v>
      </c>
      <c r="AH19" s="372">
        <v>41136</v>
      </c>
      <c r="AI19" s="372">
        <v>37787</v>
      </c>
      <c r="AJ19" s="484">
        <v>40462</v>
      </c>
      <c r="AK19" s="484">
        <v>37183</v>
      </c>
      <c r="AL19" s="378">
        <f t="shared" si="10"/>
        <v>-8.1038999555138158E-2</v>
      </c>
      <c r="AM19" s="485">
        <f t="shared" si="0"/>
        <v>613327</v>
      </c>
      <c r="AN19" s="485">
        <f t="shared" si="1"/>
        <v>534542</v>
      </c>
      <c r="AO19" s="384">
        <f t="shared" si="2"/>
        <v>610550</v>
      </c>
      <c r="AP19" s="384">
        <f t="shared" si="12"/>
        <v>603251</v>
      </c>
      <c r="AQ19" s="386">
        <f t="shared" si="11"/>
        <v>-1.1954794857096052E-2</v>
      </c>
      <c r="AR19" s="481"/>
    </row>
    <row r="20" spans="2:46">
      <c r="B20" s="482">
        <v>46124</v>
      </c>
      <c r="C20" s="483">
        <v>15</v>
      </c>
      <c r="D20" s="390">
        <v>180647</v>
      </c>
      <c r="E20" s="373">
        <v>157056</v>
      </c>
      <c r="F20" s="372">
        <v>207732</v>
      </c>
      <c r="G20" s="372">
        <v>178570</v>
      </c>
      <c r="H20" s="379">
        <f t="shared" si="4"/>
        <v>-0.14038280091656552</v>
      </c>
      <c r="I20" s="372">
        <v>73811</v>
      </c>
      <c r="J20" s="373">
        <v>48685</v>
      </c>
      <c r="K20" s="484">
        <v>59030</v>
      </c>
      <c r="L20" s="484">
        <v>74992</v>
      </c>
      <c r="M20" s="379">
        <f t="shared" si="5"/>
        <v>0.2704048788751483</v>
      </c>
      <c r="N20" s="372">
        <v>75561</v>
      </c>
      <c r="O20" s="372">
        <v>65724</v>
      </c>
      <c r="P20" s="484">
        <v>65639</v>
      </c>
      <c r="Q20" s="484">
        <v>64807</v>
      </c>
      <c r="R20" s="416">
        <f t="shared" si="6"/>
        <v>-1.2675391154648885E-2</v>
      </c>
      <c r="S20" s="372">
        <v>65087</v>
      </c>
      <c r="T20" s="372">
        <v>51648</v>
      </c>
      <c r="U20" s="484">
        <v>49330</v>
      </c>
      <c r="V20" s="484">
        <v>50130</v>
      </c>
      <c r="W20" s="378">
        <f t="shared" si="7"/>
        <v>1.6217311980539328E-2</v>
      </c>
      <c r="X20" s="390">
        <v>113820</v>
      </c>
      <c r="Y20" s="373">
        <v>99534</v>
      </c>
      <c r="Z20" s="484">
        <v>115999</v>
      </c>
      <c r="AA20" s="484">
        <v>117760</v>
      </c>
      <c r="AB20" s="379">
        <f t="shared" si="8"/>
        <v>1.5181165354873682E-2</v>
      </c>
      <c r="AC20" s="372">
        <v>53285</v>
      </c>
      <c r="AD20" s="373">
        <v>41617</v>
      </c>
      <c r="AE20" s="380">
        <v>58644</v>
      </c>
      <c r="AF20" s="380">
        <v>62006</v>
      </c>
      <c r="AG20" s="379">
        <f t="shared" si="9"/>
        <v>5.7328968010367687E-2</v>
      </c>
      <c r="AH20" s="372">
        <v>44449</v>
      </c>
      <c r="AI20" s="372">
        <v>34538</v>
      </c>
      <c r="AJ20" s="484">
        <v>42308</v>
      </c>
      <c r="AK20" s="484">
        <v>37451</v>
      </c>
      <c r="AL20" s="378">
        <f t="shared" si="10"/>
        <v>-0.1148009832655762</v>
      </c>
      <c r="AM20" s="485">
        <f t="shared" si="0"/>
        <v>606660</v>
      </c>
      <c r="AN20" s="485">
        <f t="shared" si="1"/>
        <v>498802</v>
      </c>
      <c r="AO20" s="384">
        <f t="shared" si="2"/>
        <v>598682</v>
      </c>
      <c r="AP20" s="384">
        <f t="shared" si="12"/>
        <v>585716</v>
      </c>
      <c r="AQ20" s="386">
        <f t="shared" si="11"/>
        <v>-2.1657574471923291E-2</v>
      </c>
      <c r="AR20" s="443"/>
    </row>
    <row r="21" spans="2:46">
      <c r="B21" s="482">
        <v>46131</v>
      </c>
      <c r="C21" s="483">
        <v>16</v>
      </c>
      <c r="D21" s="390">
        <v>166235</v>
      </c>
      <c r="E21" s="373">
        <v>159213</v>
      </c>
      <c r="F21" s="372">
        <v>233694</v>
      </c>
      <c r="G21" s="372">
        <v>170923</v>
      </c>
      <c r="H21" s="379">
        <f t="shared" si="4"/>
        <v>-0.26860338733557554</v>
      </c>
      <c r="I21" s="372">
        <v>58142</v>
      </c>
      <c r="J21" s="373">
        <v>47877</v>
      </c>
      <c r="K21" s="484">
        <v>61366</v>
      </c>
      <c r="L21" s="484">
        <v>60941</v>
      </c>
      <c r="M21" s="379">
        <f t="shared" si="5"/>
        <v>-6.9256591597953721E-3</v>
      </c>
      <c r="N21" s="372">
        <v>73748</v>
      </c>
      <c r="O21" s="372">
        <v>68291</v>
      </c>
      <c r="P21" s="484">
        <v>65699</v>
      </c>
      <c r="Q21" s="484">
        <v>61436</v>
      </c>
      <c r="R21" s="416">
        <f t="shared" si="6"/>
        <v>-6.4886832371877756E-2</v>
      </c>
      <c r="S21" s="372">
        <v>61693</v>
      </c>
      <c r="T21" s="372">
        <v>57439</v>
      </c>
      <c r="U21" s="484">
        <v>52648</v>
      </c>
      <c r="V21" s="484">
        <v>49889</v>
      </c>
      <c r="W21" s="378">
        <f t="shared" si="7"/>
        <v>-5.2404649749278276E-2</v>
      </c>
      <c r="X21" s="390">
        <v>113224</v>
      </c>
      <c r="Y21" s="373">
        <v>103408</v>
      </c>
      <c r="Z21" s="484">
        <v>108262</v>
      </c>
      <c r="AA21" s="484">
        <v>122275</v>
      </c>
      <c r="AB21" s="379">
        <f t="shared" si="8"/>
        <v>0.12943599785705051</v>
      </c>
      <c r="AC21" s="372">
        <v>47907</v>
      </c>
      <c r="AD21" s="373">
        <v>42271</v>
      </c>
      <c r="AE21" s="380">
        <v>48150</v>
      </c>
      <c r="AF21" s="380">
        <v>53723</v>
      </c>
      <c r="AG21" s="379">
        <f t="shared" si="9"/>
        <v>0.1157424714434061</v>
      </c>
      <c r="AH21" s="372">
        <v>40179</v>
      </c>
      <c r="AI21" s="372">
        <v>38288</v>
      </c>
      <c r="AJ21" s="484">
        <v>36130</v>
      </c>
      <c r="AK21" s="484">
        <v>36888</v>
      </c>
      <c r="AL21" s="378">
        <f t="shared" si="10"/>
        <v>2.097979518405757E-2</v>
      </c>
      <c r="AM21" s="485">
        <f t="shared" si="0"/>
        <v>561128</v>
      </c>
      <c r="AN21" s="485">
        <f t="shared" si="1"/>
        <v>516787</v>
      </c>
      <c r="AO21" s="384">
        <f t="shared" si="2"/>
        <v>605949</v>
      </c>
      <c r="AP21" s="384">
        <f t="shared" si="12"/>
        <v>556075</v>
      </c>
      <c r="AQ21" s="386">
        <f t="shared" si="11"/>
        <v>-8.2307256881354651E-2</v>
      </c>
      <c r="AR21" s="443"/>
    </row>
    <row r="22" spans="2:46">
      <c r="B22" s="482">
        <v>46138</v>
      </c>
      <c r="C22" s="483">
        <v>17</v>
      </c>
      <c r="D22" s="390">
        <v>159538</v>
      </c>
      <c r="E22" s="373">
        <v>165535</v>
      </c>
      <c r="F22" s="372">
        <v>170449</v>
      </c>
      <c r="G22" s="372">
        <v>172413</v>
      </c>
      <c r="H22" s="379">
        <f t="shared" si="4"/>
        <v>1.1522508198933412E-2</v>
      </c>
      <c r="I22" s="372">
        <v>59063</v>
      </c>
      <c r="J22" s="373">
        <v>50435</v>
      </c>
      <c r="K22" s="484">
        <v>61233</v>
      </c>
      <c r="L22" s="484">
        <v>63887</v>
      </c>
      <c r="M22" s="379">
        <f t="shared" si="5"/>
        <v>4.3342642039423174E-2</v>
      </c>
      <c r="N22" s="372">
        <v>71424</v>
      </c>
      <c r="O22" s="372">
        <v>70851</v>
      </c>
      <c r="P22" s="484">
        <v>61173</v>
      </c>
      <c r="Q22" s="484">
        <v>63669</v>
      </c>
      <c r="R22" s="416">
        <f t="shared" si="6"/>
        <v>4.080231474670204E-2</v>
      </c>
      <c r="S22" s="372">
        <v>64791</v>
      </c>
      <c r="T22" s="372">
        <v>55843</v>
      </c>
      <c r="U22" s="484">
        <v>53011</v>
      </c>
      <c r="V22" s="484">
        <v>50959</v>
      </c>
      <c r="W22" s="378">
        <f t="shared" si="7"/>
        <v>-3.87089471996378E-2</v>
      </c>
      <c r="X22" s="390">
        <v>119861</v>
      </c>
      <c r="Y22" s="373">
        <v>108317</v>
      </c>
      <c r="Z22" s="484">
        <v>128313</v>
      </c>
      <c r="AA22" s="484">
        <v>125340</v>
      </c>
      <c r="AB22" s="379">
        <f t="shared" si="8"/>
        <v>-2.3169904842065936E-2</v>
      </c>
      <c r="AC22" s="372">
        <v>48438</v>
      </c>
      <c r="AD22" s="373">
        <v>46927</v>
      </c>
      <c r="AE22" s="380">
        <v>65325</v>
      </c>
      <c r="AF22" s="380">
        <v>54799</v>
      </c>
      <c r="AG22" s="379">
        <f t="shared" si="9"/>
        <v>-0.16113279755070797</v>
      </c>
      <c r="AH22" s="372">
        <v>49477</v>
      </c>
      <c r="AI22" s="372">
        <v>40891</v>
      </c>
      <c r="AJ22" s="484">
        <v>34341</v>
      </c>
      <c r="AK22" s="484">
        <v>38138</v>
      </c>
      <c r="AL22" s="378">
        <f t="shared" si="10"/>
        <v>0.11056754316997175</v>
      </c>
      <c r="AM22" s="485">
        <f t="shared" si="0"/>
        <v>572592</v>
      </c>
      <c r="AN22" s="485">
        <f t="shared" si="1"/>
        <v>538799</v>
      </c>
      <c r="AO22" s="384">
        <f t="shared" si="2"/>
        <v>573845</v>
      </c>
      <c r="AP22" s="384">
        <f t="shared" si="12"/>
        <v>569205</v>
      </c>
      <c r="AQ22" s="386">
        <f t="shared" si="11"/>
        <v>-8.0858071430438549E-3</v>
      </c>
      <c r="AR22" s="443"/>
    </row>
    <row r="23" spans="2:46">
      <c r="B23" s="482">
        <v>46145</v>
      </c>
      <c r="C23" s="483">
        <v>18</v>
      </c>
      <c r="D23" s="390">
        <v>180837</v>
      </c>
      <c r="E23" s="373">
        <v>176677</v>
      </c>
      <c r="F23" s="372">
        <v>174913</v>
      </c>
      <c r="G23" s="372">
        <v>191993</v>
      </c>
      <c r="H23" s="379">
        <f t="shared" si="4"/>
        <v>9.7648545276794785E-2</v>
      </c>
      <c r="I23" s="372">
        <v>61962</v>
      </c>
      <c r="J23" s="373">
        <v>53218</v>
      </c>
      <c r="K23" s="484">
        <v>61810</v>
      </c>
      <c r="L23" s="484">
        <v>72084</v>
      </c>
      <c r="M23" s="379">
        <f t="shared" si="5"/>
        <v>0.1662190584047889</v>
      </c>
      <c r="N23" s="372">
        <v>77485</v>
      </c>
      <c r="O23" s="372">
        <v>76371</v>
      </c>
      <c r="P23" s="484">
        <v>66765</v>
      </c>
      <c r="Q23" s="484">
        <v>67824</v>
      </c>
      <c r="R23" s="416">
        <f t="shared" si="6"/>
        <v>1.5861604133902585E-2</v>
      </c>
      <c r="S23" s="372">
        <v>63248</v>
      </c>
      <c r="T23" s="372">
        <v>62723</v>
      </c>
      <c r="U23" s="484">
        <v>62722</v>
      </c>
      <c r="V23" s="484">
        <v>58041</v>
      </c>
      <c r="W23" s="378">
        <f t="shared" si="7"/>
        <v>-7.4630911004113343E-2</v>
      </c>
      <c r="X23" s="390">
        <v>111792</v>
      </c>
      <c r="Y23" s="373">
        <v>114999</v>
      </c>
      <c r="Z23" s="484">
        <v>130964</v>
      </c>
      <c r="AA23" s="484">
        <v>116696</v>
      </c>
      <c r="AB23" s="379">
        <f t="shared" si="8"/>
        <v>-0.10894596988485383</v>
      </c>
      <c r="AC23" s="372">
        <v>50424</v>
      </c>
      <c r="AD23" s="373">
        <v>52075</v>
      </c>
      <c r="AE23" s="380">
        <v>61073</v>
      </c>
      <c r="AF23" s="380">
        <v>66160</v>
      </c>
      <c r="AG23" s="379">
        <f t="shared" si="9"/>
        <v>8.3293763201414794E-2</v>
      </c>
      <c r="AH23" s="372">
        <v>46396</v>
      </c>
      <c r="AI23" s="372">
        <v>44537</v>
      </c>
      <c r="AJ23" s="484">
        <v>45807</v>
      </c>
      <c r="AK23" s="484">
        <v>45985</v>
      </c>
      <c r="AL23" s="378">
        <f t="shared" si="10"/>
        <v>3.8858689719911688E-3</v>
      </c>
      <c r="AM23" s="485">
        <f t="shared" si="0"/>
        <v>592144</v>
      </c>
      <c r="AN23" s="485">
        <f t="shared" si="1"/>
        <v>580600</v>
      </c>
      <c r="AO23" s="384">
        <f t="shared" si="2"/>
        <v>604054</v>
      </c>
      <c r="AP23" s="384">
        <f t="shared" si="12"/>
        <v>618783</v>
      </c>
      <c r="AQ23" s="386">
        <f t="shared" si="11"/>
        <v>2.4383581600320392E-2</v>
      </c>
      <c r="AR23" s="443"/>
    </row>
    <row r="24" spans="2:46">
      <c r="B24" s="482">
        <v>46152</v>
      </c>
      <c r="C24" s="483">
        <v>19</v>
      </c>
      <c r="D24" s="390">
        <v>165887</v>
      </c>
      <c r="E24" s="373">
        <v>175535</v>
      </c>
      <c r="F24" s="372">
        <v>163442</v>
      </c>
      <c r="G24" s="372">
        <v>178828</v>
      </c>
      <c r="H24" s="379">
        <f t="shared" si="4"/>
        <v>9.4137369831499784E-2</v>
      </c>
      <c r="I24" s="372">
        <v>60498</v>
      </c>
      <c r="J24" s="373">
        <v>52487</v>
      </c>
      <c r="K24" s="484">
        <v>55872</v>
      </c>
      <c r="L24" s="484">
        <v>68819</v>
      </c>
      <c r="M24" s="379">
        <f t="shared" si="5"/>
        <v>0.23172608820160367</v>
      </c>
      <c r="N24" s="372">
        <v>76618</v>
      </c>
      <c r="O24" s="372">
        <v>79085</v>
      </c>
      <c r="P24" s="484">
        <v>76367</v>
      </c>
      <c r="Q24" s="484">
        <v>65874</v>
      </c>
      <c r="R24" s="416">
        <f t="shared" si="6"/>
        <v>-0.13740228108999963</v>
      </c>
      <c r="S24" s="372">
        <v>58462</v>
      </c>
      <c r="T24" s="372">
        <v>58166</v>
      </c>
      <c r="U24" s="484">
        <v>54377</v>
      </c>
      <c r="V24" s="484">
        <v>50131</v>
      </c>
      <c r="W24" s="378">
        <f t="shared" si="7"/>
        <v>-7.8084484248855168E-2</v>
      </c>
      <c r="X24" s="390">
        <v>112006</v>
      </c>
      <c r="Y24" s="373">
        <v>109423</v>
      </c>
      <c r="Z24" s="484">
        <v>121111</v>
      </c>
      <c r="AA24" s="484">
        <v>122630</v>
      </c>
      <c r="AB24" s="379">
        <f t="shared" si="8"/>
        <v>1.2542213341480091E-2</v>
      </c>
      <c r="AC24" s="372">
        <v>45404</v>
      </c>
      <c r="AD24" s="373">
        <v>42586</v>
      </c>
      <c r="AE24" s="380">
        <v>46755</v>
      </c>
      <c r="AF24" s="380">
        <v>59481</v>
      </c>
      <c r="AG24" s="379">
        <f t="shared" si="9"/>
        <v>0.27218479307025989</v>
      </c>
      <c r="AH24" s="372">
        <v>43632</v>
      </c>
      <c r="AI24" s="372">
        <v>38322</v>
      </c>
      <c r="AJ24" s="484">
        <v>40777</v>
      </c>
      <c r="AK24" s="484">
        <v>42073</v>
      </c>
      <c r="AL24" s="378">
        <f t="shared" si="10"/>
        <v>3.1782622556833617E-2</v>
      </c>
      <c r="AM24" s="485">
        <f t="shared" si="0"/>
        <v>562507</v>
      </c>
      <c r="AN24" s="485">
        <f t="shared" si="1"/>
        <v>555604</v>
      </c>
      <c r="AO24" s="384">
        <f t="shared" si="2"/>
        <v>558701</v>
      </c>
      <c r="AP24" s="384">
        <f t="shared" si="12"/>
        <v>587836</v>
      </c>
      <c r="AQ24" s="386">
        <f t="shared" si="11"/>
        <v>5.2147749869787319E-2</v>
      </c>
      <c r="AR24" s="443"/>
    </row>
    <row r="25" spans="2:46">
      <c r="B25" s="482">
        <v>46159</v>
      </c>
      <c r="C25" s="483">
        <v>20</v>
      </c>
      <c r="D25" s="390">
        <v>167632</v>
      </c>
      <c r="E25" s="373">
        <v>165720</v>
      </c>
      <c r="F25" s="372">
        <v>174473</v>
      </c>
      <c r="G25" s="372">
        <v>177432</v>
      </c>
      <c r="H25" s="379">
        <f t="shared" si="4"/>
        <v>1.6959644185633227E-2</v>
      </c>
      <c r="I25" s="372">
        <v>60465</v>
      </c>
      <c r="J25" s="373">
        <v>50159</v>
      </c>
      <c r="K25" s="484">
        <v>59468</v>
      </c>
      <c r="L25" s="484">
        <v>64662</v>
      </c>
      <c r="M25" s="379">
        <f t="shared" si="5"/>
        <v>8.7341091006928107E-2</v>
      </c>
      <c r="N25" s="372">
        <v>67577</v>
      </c>
      <c r="O25" s="372">
        <v>75436</v>
      </c>
      <c r="P25" s="486">
        <v>60875</v>
      </c>
      <c r="Q25" s="486">
        <v>60666</v>
      </c>
      <c r="R25" s="416">
        <f t="shared" si="6"/>
        <v>-3.4332648870636362E-3</v>
      </c>
      <c r="S25" s="372">
        <v>66315</v>
      </c>
      <c r="T25" s="372">
        <v>61438</v>
      </c>
      <c r="U25" s="484">
        <v>54772</v>
      </c>
      <c r="V25" s="484">
        <v>48980</v>
      </c>
      <c r="W25" s="378">
        <f t="shared" si="7"/>
        <v>-0.10574746220696707</v>
      </c>
      <c r="X25" s="390">
        <v>110371</v>
      </c>
      <c r="Y25" s="373">
        <v>107235</v>
      </c>
      <c r="Z25" s="484">
        <v>123879</v>
      </c>
      <c r="AA25" s="484">
        <v>124897</v>
      </c>
      <c r="AB25" s="379">
        <f t="shared" si="8"/>
        <v>8.2176963004221282E-3</v>
      </c>
      <c r="AC25" s="372">
        <v>46715</v>
      </c>
      <c r="AD25" s="373">
        <v>44125</v>
      </c>
      <c r="AE25" s="380">
        <v>51223</v>
      </c>
      <c r="AF25" s="380">
        <v>57326</v>
      </c>
      <c r="AG25" s="379">
        <f t="shared" si="9"/>
        <v>0.11914569626925409</v>
      </c>
      <c r="AH25" s="372">
        <v>44922</v>
      </c>
      <c r="AI25" s="372">
        <v>40039</v>
      </c>
      <c r="AJ25" s="484">
        <v>40794</v>
      </c>
      <c r="AK25" s="484">
        <v>39617</v>
      </c>
      <c r="AL25" s="378">
        <f t="shared" si="10"/>
        <v>-2.8852282198362555E-2</v>
      </c>
      <c r="AM25" s="485">
        <f t="shared" si="0"/>
        <v>563997</v>
      </c>
      <c r="AN25" s="485">
        <f t="shared" si="1"/>
        <v>544152</v>
      </c>
      <c r="AO25" s="384">
        <f t="shared" si="2"/>
        <v>565484</v>
      </c>
      <c r="AP25" s="384">
        <f t="shared" si="12"/>
        <v>573580</v>
      </c>
      <c r="AQ25" s="386">
        <f t="shared" si="11"/>
        <v>1.4316939117640759E-2</v>
      </c>
      <c r="AR25" s="443"/>
    </row>
    <row r="26" spans="2:46">
      <c r="B26" s="482">
        <v>46166</v>
      </c>
      <c r="C26" s="483">
        <v>21</v>
      </c>
      <c r="D26" s="390">
        <v>174045</v>
      </c>
      <c r="E26" s="373">
        <v>158250</v>
      </c>
      <c r="F26" s="372">
        <v>184173</v>
      </c>
      <c r="G26" s="372">
        <v>167825</v>
      </c>
      <c r="H26" s="379">
        <f t="shared" si="4"/>
        <v>-8.8764368284167561E-2</v>
      </c>
      <c r="I26" s="372">
        <v>63453</v>
      </c>
      <c r="J26" s="373">
        <v>49232</v>
      </c>
      <c r="K26" s="484">
        <v>75337</v>
      </c>
      <c r="L26" s="484">
        <v>63778</v>
      </c>
      <c r="M26" s="379">
        <f t="shared" si="5"/>
        <v>-0.1534305852370017</v>
      </c>
      <c r="N26" s="372">
        <v>87095</v>
      </c>
      <c r="O26" s="372">
        <v>74953</v>
      </c>
      <c r="P26" s="486">
        <v>69482</v>
      </c>
      <c r="Q26" s="486">
        <v>62199</v>
      </c>
      <c r="R26" s="416">
        <f t="shared" si="6"/>
        <v>-0.10481851414754906</v>
      </c>
      <c r="S26" s="372">
        <v>70250</v>
      </c>
      <c r="T26" s="372">
        <v>56866</v>
      </c>
      <c r="U26" s="484">
        <v>59545</v>
      </c>
      <c r="V26" s="484">
        <v>45815</v>
      </c>
      <c r="W26" s="378">
        <f t="shared" si="7"/>
        <v>-0.23058191283902929</v>
      </c>
      <c r="X26" s="390">
        <v>102486</v>
      </c>
      <c r="Y26" s="373">
        <v>103405</v>
      </c>
      <c r="Z26" s="484">
        <v>114957</v>
      </c>
      <c r="AA26" s="484">
        <v>121629</v>
      </c>
      <c r="AB26" s="379">
        <f t="shared" si="8"/>
        <v>5.8039092878206633E-2</v>
      </c>
      <c r="AC26" s="372">
        <v>45182</v>
      </c>
      <c r="AD26" s="373">
        <v>42259</v>
      </c>
      <c r="AE26" s="380">
        <v>59290</v>
      </c>
      <c r="AF26" s="380">
        <v>54816</v>
      </c>
      <c r="AG26" s="379">
        <f t="shared" si="9"/>
        <v>-7.5459605329735169E-2</v>
      </c>
      <c r="AH26" s="372">
        <v>42349</v>
      </c>
      <c r="AI26" s="372">
        <v>39727</v>
      </c>
      <c r="AJ26" s="484">
        <v>40053</v>
      </c>
      <c r="AK26" s="484">
        <v>38143</v>
      </c>
      <c r="AL26" s="378">
        <f t="shared" si="10"/>
        <v>-4.7686814970164582E-2</v>
      </c>
      <c r="AM26" s="485">
        <f t="shared" si="0"/>
        <v>584860</v>
      </c>
      <c r="AN26" s="485">
        <f t="shared" si="1"/>
        <v>524692</v>
      </c>
      <c r="AO26" s="384">
        <f t="shared" si="2"/>
        <v>602837</v>
      </c>
      <c r="AP26" s="384">
        <f t="shared" ref="AP26:AP35" si="13">AK26+AF26+AA26+V26+Q26+L26+G26</f>
        <v>554205</v>
      </c>
      <c r="AQ26" s="386">
        <f t="shared" si="11"/>
        <v>-8.0671889747975012E-2</v>
      </c>
      <c r="AR26" s="443"/>
    </row>
    <row r="27" spans="2:46">
      <c r="B27" s="482">
        <v>46173</v>
      </c>
      <c r="C27" s="483">
        <v>22</v>
      </c>
      <c r="D27" s="390">
        <v>175894</v>
      </c>
      <c r="E27" s="373">
        <v>173777</v>
      </c>
      <c r="F27" s="372">
        <v>190576</v>
      </c>
      <c r="G27" s="372">
        <v>184376</v>
      </c>
      <c r="H27" s="379">
        <f t="shared" si="4"/>
        <v>-3.2532952732768017E-2</v>
      </c>
      <c r="I27" s="372">
        <v>69331</v>
      </c>
      <c r="J27" s="373">
        <v>52425</v>
      </c>
      <c r="K27" s="484">
        <v>72363</v>
      </c>
      <c r="L27" s="484">
        <v>69060</v>
      </c>
      <c r="M27" s="379">
        <f t="shared" si="5"/>
        <v>-4.5644873761452653E-2</v>
      </c>
      <c r="N27" s="372">
        <v>77741</v>
      </c>
      <c r="O27" s="372">
        <v>78498</v>
      </c>
      <c r="P27" s="486">
        <v>69981</v>
      </c>
      <c r="Q27" s="486">
        <v>66383</v>
      </c>
      <c r="R27" s="416">
        <f t="shared" si="6"/>
        <v>-5.1413955216415896E-2</v>
      </c>
      <c r="S27" s="372">
        <v>74808</v>
      </c>
      <c r="T27" s="372">
        <v>60968</v>
      </c>
      <c r="U27" s="484">
        <v>60519</v>
      </c>
      <c r="V27" s="484">
        <v>47215</v>
      </c>
      <c r="W27" s="378">
        <f t="shared" si="7"/>
        <v>-0.21983178836398487</v>
      </c>
      <c r="X27" s="390">
        <v>103277</v>
      </c>
      <c r="Y27" s="373">
        <v>96723</v>
      </c>
      <c r="Z27" s="484">
        <v>117925</v>
      </c>
      <c r="AA27" s="484">
        <v>116562</v>
      </c>
      <c r="AB27" s="379">
        <f t="shared" si="8"/>
        <v>-1.1558193767224889E-2</v>
      </c>
      <c r="AC27" s="372">
        <v>50779</v>
      </c>
      <c r="AD27" s="373">
        <v>41460</v>
      </c>
      <c r="AE27" s="380">
        <v>58175</v>
      </c>
      <c r="AF27" s="380">
        <v>60356</v>
      </c>
      <c r="AG27" s="379">
        <f t="shared" si="9"/>
        <v>3.7490330898152235E-2</v>
      </c>
      <c r="AH27" s="372">
        <v>43611</v>
      </c>
      <c r="AI27" s="372">
        <v>44109</v>
      </c>
      <c r="AJ27" s="484">
        <v>42685</v>
      </c>
      <c r="AK27" s="484">
        <v>41040</v>
      </c>
      <c r="AL27" s="378">
        <f t="shared" si="10"/>
        <v>-3.8538128148061346E-2</v>
      </c>
      <c r="AM27" s="485">
        <f t="shared" si="0"/>
        <v>595441</v>
      </c>
      <c r="AN27" s="485">
        <f t="shared" si="1"/>
        <v>547960</v>
      </c>
      <c r="AO27" s="384">
        <f t="shared" si="2"/>
        <v>612224</v>
      </c>
      <c r="AP27" s="384">
        <f t="shared" si="13"/>
        <v>584992</v>
      </c>
      <c r="AQ27" s="386">
        <f t="shared" si="11"/>
        <v>-4.4480451599414605E-2</v>
      </c>
      <c r="AR27" s="443"/>
    </row>
    <row r="28" spans="2:46">
      <c r="B28" s="482">
        <v>46180</v>
      </c>
      <c r="C28" s="483">
        <v>23</v>
      </c>
      <c r="D28" s="390">
        <v>173003</v>
      </c>
      <c r="E28" s="373">
        <v>174493</v>
      </c>
      <c r="F28" s="372">
        <v>200332</v>
      </c>
      <c r="G28" s="372">
        <v>186199</v>
      </c>
      <c r="H28" s="379">
        <f t="shared" si="4"/>
        <v>-7.0547890501767019E-2</v>
      </c>
      <c r="I28" s="372">
        <v>64747</v>
      </c>
      <c r="J28" s="373">
        <v>50103</v>
      </c>
      <c r="K28" s="484">
        <v>62470</v>
      </c>
      <c r="L28" s="484">
        <v>71513</v>
      </c>
      <c r="M28" s="379">
        <f t="shared" si="5"/>
        <v>0.14475748359212415</v>
      </c>
      <c r="N28" s="372">
        <v>71909</v>
      </c>
      <c r="O28" s="372">
        <v>76440</v>
      </c>
      <c r="P28" s="384">
        <f>61102+48813</f>
        <v>109915</v>
      </c>
      <c r="Q28" s="384">
        <f>67054+52166</f>
        <v>119220</v>
      </c>
      <c r="R28" s="416">
        <f t="shared" si="6"/>
        <v>8.4656325342310046E-2</v>
      </c>
      <c r="S28" s="372">
        <v>67634</v>
      </c>
      <c r="T28" s="372">
        <v>56788</v>
      </c>
      <c r="U28" s="484">
        <v>53424</v>
      </c>
      <c r="V28" s="484">
        <v>48844</v>
      </c>
      <c r="W28" s="378">
        <f t="shared" si="7"/>
        <v>-8.5729260257562112E-2</v>
      </c>
      <c r="X28" s="390">
        <v>100411</v>
      </c>
      <c r="Y28" s="373">
        <v>96449</v>
      </c>
      <c r="Z28" s="484">
        <v>116540</v>
      </c>
      <c r="AA28" s="484">
        <v>141236</v>
      </c>
      <c r="AB28" s="379">
        <f t="shared" si="8"/>
        <v>0.2119100737944053</v>
      </c>
      <c r="AC28" s="372">
        <v>56250</v>
      </c>
      <c r="AD28" s="373">
        <v>52610</v>
      </c>
      <c r="AE28" s="380">
        <v>51656</v>
      </c>
      <c r="AF28" s="380">
        <v>61177</v>
      </c>
      <c r="AG28" s="379">
        <f t="shared" si="9"/>
        <v>0.18431547158122963</v>
      </c>
      <c r="AH28" s="372">
        <v>43313</v>
      </c>
      <c r="AI28" s="372">
        <v>43825</v>
      </c>
      <c r="AJ28" s="484">
        <v>44266</v>
      </c>
      <c r="AK28" s="484">
        <v>40077</v>
      </c>
      <c r="AL28" s="378">
        <f t="shared" si="10"/>
        <v>-9.4632449283874709E-2</v>
      </c>
      <c r="AM28" s="485">
        <f t="shared" si="0"/>
        <v>577267</v>
      </c>
      <c r="AN28" s="485">
        <f t="shared" si="1"/>
        <v>550708</v>
      </c>
      <c r="AO28" s="384">
        <f t="shared" si="2"/>
        <v>638603</v>
      </c>
      <c r="AP28" s="384">
        <f t="shared" si="13"/>
        <v>668266</v>
      </c>
      <c r="AQ28" s="386">
        <f t="shared" si="11"/>
        <v>4.6449828766855106E-2</v>
      </c>
      <c r="AR28" s="443"/>
    </row>
    <row r="29" spans="2:46">
      <c r="B29" s="482">
        <v>46187</v>
      </c>
      <c r="C29" s="483">
        <v>24</v>
      </c>
      <c r="D29" s="390">
        <v>174156</v>
      </c>
      <c r="E29" s="373">
        <v>186942</v>
      </c>
      <c r="F29" s="372">
        <v>190834</v>
      </c>
      <c r="G29" s="372">
        <v>177074</v>
      </c>
      <c r="H29" s="379">
        <f t="shared" si="4"/>
        <v>-7.2104551599819766E-2</v>
      </c>
      <c r="I29" s="372">
        <v>64225</v>
      </c>
      <c r="J29" s="373">
        <v>66269</v>
      </c>
      <c r="K29" s="484">
        <v>63968</v>
      </c>
      <c r="L29" s="484">
        <v>70817</v>
      </c>
      <c r="M29" s="379">
        <f t="shared" si="5"/>
        <v>0.10706915957978991</v>
      </c>
      <c r="N29" s="372">
        <v>73459</v>
      </c>
      <c r="O29" s="372">
        <v>91427</v>
      </c>
      <c r="P29" s="384">
        <f>65666+48607</f>
        <v>114273</v>
      </c>
      <c r="Q29" s="384">
        <f>65517+52023</f>
        <v>117540</v>
      </c>
      <c r="R29" s="416">
        <f t="shared" si="6"/>
        <v>2.858943057415142E-2</v>
      </c>
      <c r="S29" s="372">
        <v>72524</v>
      </c>
      <c r="T29" s="372">
        <v>69449</v>
      </c>
      <c r="U29" s="484">
        <v>53275</v>
      </c>
      <c r="V29" s="484">
        <v>46552</v>
      </c>
      <c r="W29" s="378">
        <f t="shared" si="7"/>
        <v>-0.12619427498826841</v>
      </c>
      <c r="X29" s="390">
        <v>107931</v>
      </c>
      <c r="Y29" s="373">
        <v>108225</v>
      </c>
      <c r="Z29" s="484">
        <v>118438</v>
      </c>
      <c r="AA29" s="484">
        <v>127417</v>
      </c>
      <c r="AB29" s="379">
        <f t="shared" si="8"/>
        <v>7.5811817153278449E-2</v>
      </c>
      <c r="AC29" s="372">
        <v>53724</v>
      </c>
      <c r="AD29" s="373">
        <v>58170</v>
      </c>
      <c r="AE29" s="380">
        <v>51979</v>
      </c>
      <c r="AF29" s="380">
        <v>63024</v>
      </c>
      <c r="AG29" s="379">
        <f t="shared" si="9"/>
        <v>0.21248965928548058</v>
      </c>
      <c r="AH29" s="372">
        <v>42485</v>
      </c>
      <c r="AI29" s="372">
        <v>45803</v>
      </c>
      <c r="AJ29" s="484">
        <v>42089</v>
      </c>
      <c r="AK29" s="484">
        <v>37106</v>
      </c>
      <c r="AL29" s="378">
        <f t="shared" si="10"/>
        <v>-0.11839197890185083</v>
      </c>
      <c r="AM29" s="485">
        <f t="shared" si="0"/>
        <v>588504</v>
      </c>
      <c r="AN29" s="485">
        <f t="shared" si="1"/>
        <v>626285</v>
      </c>
      <c r="AO29" s="384">
        <f t="shared" si="2"/>
        <v>634856</v>
      </c>
      <c r="AP29" s="384">
        <f t="shared" si="13"/>
        <v>639530</v>
      </c>
      <c r="AQ29" s="386">
        <f t="shared" si="11"/>
        <v>7.3622994820872201E-3</v>
      </c>
      <c r="AR29" s="443"/>
    </row>
    <row r="30" spans="2:46">
      <c r="B30" s="482">
        <v>46194</v>
      </c>
      <c r="C30" s="483">
        <v>25</v>
      </c>
      <c r="D30" s="390">
        <v>165916</v>
      </c>
      <c r="E30" s="373">
        <v>185341</v>
      </c>
      <c r="F30" s="372">
        <v>183050</v>
      </c>
      <c r="G30" s="372">
        <v>189860</v>
      </c>
      <c r="H30" s="379">
        <f t="shared" si="4"/>
        <v>3.7202950013657476E-2</v>
      </c>
      <c r="I30" s="372">
        <v>59075</v>
      </c>
      <c r="J30" s="373">
        <v>67843</v>
      </c>
      <c r="K30" s="484">
        <v>65304</v>
      </c>
      <c r="L30" s="484">
        <v>79557</v>
      </c>
      <c r="M30" s="379">
        <f t="shared" si="5"/>
        <v>0.21825615582506441</v>
      </c>
      <c r="N30" s="372">
        <v>78349</v>
      </c>
      <c r="O30" s="372">
        <v>90005</v>
      </c>
      <c r="P30" s="384">
        <f>49536+64916</f>
        <v>114452</v>
      </c>
      <c r="Q30" s="384">
        <f>54204+75403</f>
        <v>129607</v>
      </c>
      <c r="R30" s="416">
        <f t="shared" si="6"/>
        <v>0.13241358822912663</v>
      </c>
      <c r="S30" s="372">
        <v>70088</v>
      </c>
      <c r="T30" s="372">
        <v>68994</v>
      </c>
      <c r="U30" s="484">
        <v>51319</v>
      </c>
      <c r="V30" s="484">
        <v>53650</v>
      </c>
      <c r="W30" s="378">
        <f t="shared" si="7"/>
        <v>4.5421773612112526E-2</v>
      </c>
      <c r="X30" s="390">
        <v>109405</v>
      </c>
      <c r="Y30" s="373">
        <v>105253</v>
      </c>
      <c r="Z30" s="484">
        <v>118100</v>
      </c>
      <c r="AA30" s="484">
        <v>129738</v>
      </c>
      <c r="AB30" s="379">
        <f t="shared" si="8"/>
        <v>9.8543607112616449E-2</v>
      </c>
      <c r="AC30" s="372">
        <v>46241</v>
      </c>
      <c r="AD30" s="373">
        <v>54278</v>
      </c>
      <c r="AE30" s="380">
        <v>53771</v>
      </c>
      <c r="AF30" s="380">
        <v>64053</v>
      </c>
      <c r="AG30" s="379">
        <f t="shared" si="9"/>
        <v>0.19121831470495243</v>
      </c>
      <c r="AH30" s="372">
        <v>41967</v>
      </c>
      <c r="AI30" s="372">
        <v>41513</v>
      </c>
      <c r="AJ30" s="484">
        <v>40063</v>
      </c>
      <c r="AK30" s="484">
        <v>42192</v>
      </c>
      <c r="AL30" s="378">
        <f t="shared" si="10"/>
        <v>5.3141302448643346E-2</v>
      </c>
      <c r="AM30" s="485">
        <f t="shared" si="0"/>
        <v>571041</v>
      </c>
      <c r="AN30" s="485">
        <f t="shared" si="1"/>
        <v>613227</v>
      </c>
      <c r="AO30" s="384">
        <f t="shared" si="2"/>
        <v>626059</v>
      </c>
      <c r="AP30" s="384">
        <f t="shared" si="13"/>
        <v>688657</v>
      </c>
      <c r="AQ30" s="386">
        <f t="shared" si="11"/>
        <v>9.998738138098795E-2</v>
      </c>
      <c r="AR30" s="443"/>
    </row>
    <row r="31" spans="2:46">
      <c r="B31" s="482">
        <v>46201</v>
      </c>
      <c r="C31" s="483">
        <v>26</v>
      </c>
      <c r="D31" s="390">
        <v>161999</v>
      </c>
      <c r="E31" s="373">
        <v>175138</v>
      </c>
      <c r="F31" s="372">
        <v>180242</v>
      </c>
      <c r="G31" s="372">
        <v>181828</v>
      </c>
      <c r="H31" s="379">
        <f t="shared" si="4"/>
        <v>8.7992809667003513E-3</v>
      </c>
      <c r="I31" s="372">
        <v>59291</v>
      </c>
      <c r="J31" s="373">
        <v>61416</v>
      </c>
      <c r="K31" s="484">
        <v>64056</v>
      </c>
      <c r="L31" s="484">
        <v>75284</v>
      </c>
      <c r="M31" s="379">
        <f t="shared" si="5"/>
        <v>0.17528412638940916</v>
      </c>
      <c r="N31" s="372">
        <v>75522</v>
      </c>
      <c r="O31" s="372">
        <v>91638</v>
      </c>
      <c r="P31" s="384">
        <f>50063+63654</f>
        <v>113717</v>
      </c>
      <c r="Q31" s="384">
        <f>71781+52358</f>
        <v>124139</v>
      </c>
      <c r="R31" s="416">
        <f t="shared" si="6"/>
        <v>9.1648566177440438E-2</v>
      </c>
      <c r="S31" s="372">
        <v>65860</v>
      </c>
      <c r="T31" s="372">
        <v>65836</v>
      </c>
      <c r="U31" s="484">
        <v>51693</v>
      </c>
      <c r="V31" s="484">
        <v>50559</v>
      </c>
      <c r="W31" s="378">
        <f t="shared" si="7"/>
        <v>-2.1937206198131221E-2</v>
      </c>
      <c r="X31" s="390">
        <v>116808</v>
      </c>
      <c r="Y31" s="373">
        <v>111659</v>
      </c>
      <c r="Z31" s="484">
        <v>125952</v>
      </c>
      <c r="AA31" s="484">
        <v>133650</v>
      </c>
      <c r="AB31" s="379">
        <f t="shared" si="8"/>
        <v>6.1118521341463339E-2</v>
      </c>
      <c r="AC31" s="372">
        <v>51153</v>
      </c>
      <c r="AD31" s="373">
        <v>51694</v>
      </c>
      <c r="AE31" s="380">
        <v>54834</v>
      </c>
      <c r="AF31" s="380">
        <v>67999</v>
      </c>
      <c r="AG31" s="379">
        <f t="shared" si="9"/>
        <v>0.24008826640405578</v>
      </c>
      <c r="AH31" s="372">
        <v>45620</v>
      </c>
      <c r="AI31" s="372">
        <v>41708</v>
      </c>
      <c r="AJ31" s="484">
        <v>38560</v>
      </c>
      <c r="AK31" s="484">
        <v>38282</v>
      </c>
      <c r="AL31" s="378">
        <f t="shared" si="10"/>
        <v>-7.2095435684647047E-3</v>
      </c>
      <c r="AM31" s="485">
        <f t="shared" si="0"/>
        <v>576253</v>
      </c>
      <c r="AN31" s="485">
        <f t="shared" si="1"/>
        <v>599089</v>
      </c>
      <c r="AO31" s="384">
        <f t="shared" si="2"/>
        <v>629054</v>
      </c>
      <c r="AP31" s="384">
        <f t="shared" si="13"/>
        <v>671741</v>
      </c>
      <c r="AQ31" s="386">
        <f t="shared" si="11"/>
        <v>6.7859039128596255E-2</v>
      </c>
      <c r="AR31" s="443"/>
    </row>
    <row r="32" spans="2:46">
      <c r="B32" s="482">
        <v>46208</v>
      </c>
      <c r="C32" s="483">
        <v>27</v>
      </c>
      <c r="D32" s="390">
        <v>164017</v>
      </c>
      <c r="E32" s="373">
        <v>184616</v>
      </c>
      <c r="F32" s="372">
        <v>196889</v>
      </c>
      <c r="G32" s="372">
        <v>180531</v>
      </c>
      <c r="H32" s="379">
        <f t="shared" si="4"/>
        <v>-8.3082345890324039E-2</v>
      </c>
      <c r="I32" s="372">
        <v>60436</v>
      </c>
      <c r="J32" s="373">
        <v>65288</v>
      </c>
      <c r="K32" s="484">
        <v>72735</v>
      </c>
      <c r="L32" s="484">
        <v>65545</v>
      </c>
      <c r="M32" s="379">
        <f t="shared" si="5"/>
        <v>-9.8851996975321321E-2</v>
      </c>
      <c r="N32" s="372">
        <v>77668</v>
      </c>
      <c r="O32" s="372">
        <v>92455</v>
      </c>
      <c r="P32" s="384">
        <f>53889+72293</f>
        <v>126182</v>
      </c>
      <c r="Q32" s="384">
        <f>53887+69441</f>
        <v>123328</v>
      </c>
      <c r="R32" s="416">
        <f t="shared" si="6"/>
        <v>-2.2618123028641191E-2</v>
      </c>
      <c r="S32" s="372">
        <v>65516</v>
      </c>
      <c r="T32" s="372">
        <v>86338</v>
      </c>
      <c r="U32" s="484">
        <v>55673</v>
      </c>
      <c r="V32" s="484">
        <v>52986</v>
      </c>
      <c r="W32" s="378">
        <f t="shared" si="7"/>
        <v>-4.8263969967488718E-2</v>
      </c>
      <c r="X32" s="390">
        <v>113291</v>
      </c>
      <c r="Y32" s="373">
        <v>113609</v>
      </c>
      <c r="Z32" s="484">
        <v>128100</v>
      </c>
      <c r="AA32" s="484">
        <v>128175</v>
      </c>
      <c r="AB32" s="379">
        <f t="shared" si="8"/>
        <v>5.8548009367687115E-4</v>
      </c>
      <c r="AC32" s="372">
        <v>50674</v>
      </c>
      <c r="AD32" s="373">
        <v>56662</v>
      </c>
      <c r="AE32" s="380">
        <v>56802</v>
      </c>
      <c r="AF32" s="380">
        <v>58795</v>
      </c>
      <c r="AG32" s="379">
        <f t="shared" si="9"/>
        <v>3.5086792718566295E-2</v>
      </c>
      <c r="AH32" s="372">
        <v>47492</v>
      </c>
      <c r="AI32" s="372">
        <v>43121</v>
      </c>
      <c r="AJ32" s="484">
        <v>44555</v>
      </c>
      <c r="AK32" s="484">
        <v>39305</v>
      </c>
      <c r="AL32" s="378">
        <f t="shared" si="10"/>
        <v>-0.11783189316575016</v>
      </c>
      <c r="AM32" s="485">
        <f t="shared" si="0"/>
        <v>579094</v>
      </c>
      <c r="AN32" s="485">
        <f t="shared" si="1"/>
        <v>642089</v>
      </c>
      <c r="AO32" s="384">
        <f t="shared" si="2"/>
        <v>680936</v>
      </c>
      <c r="AP32" s="384">
        <f t="shared" si="13"/>
        <v>648665</v>
      </c>
      <c r="AQ32" s="386">
        <f t="shared" si="11"/>
        <v>-4.7392119083144335E-2</v>
      </c>
      <c r="AR32" s="443"/>
    </row>
    <row r="33" spans="2:44">
      <c r="B33" s="482">
        <v>46215</v>
      </c>
      <c r="C33" s="483">
        <v>28</v>
      </c>
      <c r="D33" s="390">
        <v>172276</v>
      </c>
      <c r="E33" s="373">
        <v>178549</v>
      </c>
      <c r="F33" s="372">
        <v>193117</v>
      </c>
      <c r="G33" s="372">
        <v>183964</v>
      </c>
      <c r="H33" s="379">
        <f t="shared" si="4"/>
        <v>-4.739613809245169E-2</v>
      </c>
      <c r="I33" s="372">
        <v>59402</v>
      </c>
      <c r="J33" s="373">
        <v>57681</v>
      </c>
      <c r="K33" s="484">
        <v>71163</v>
      </c>
      <c r="L33" s="484">
        <v>67475</v>
      </c>
      <c r="M33" s="379">
        <f t="shared" si="5"/>
        <v>-5.1824684175765467E-2</v>
      </c>
      <c r="N33" s="372">
        <v>84712</v>
      </c>
      <c r="O33" s="372">
        <v>85401</v>
      </c>
      <c r="P33" s="384">
        <f>76536+53379</f>
        <v>129915</v>
      </c>
      <c r="Q33" s="384">
        <f>72272+54411</f>
        <v>126683</v>
      </c>
      <c r="R33" s="416">
        <f t="shared" si="6"/>
        <v>-2.4877804718469787E-2</v>
      </c>
      <c r="S33" s="372">
        <v>67923</v>
      </c>
      <c r="T33" s="372">
        <v>95847</v>
      </c>
      <c r="U33" s="484">
        <v>52978</v>
      </c>
      <c r="V33" s="484">
        <v>48912</v>
      </c>
      <c r="W33" s="378">
        <f t="shared" si="7"/>
        <v>-7.674883914077546E-2</v>
      </c>
      <c r="X33" s="390">
        <v>115322</v>
      </c>
      <c r="Y33" s="373">
        <v>108256</v>
      </c>
      <c r="Z33" s="484">
        <v>121009</v>
      </c>
      <c r="AA33" s="484">
        <v>130953</v>
      </c>
      <c r="AB33" s="379">
        <f t="shared" si="8"/>
        <v>8.2175705939227628E-2</v>
      </c>
      <c r="AC33" s="372">
        <v>49722</v>
      </c>
      <c r="AD33" s="373">
        <v>52555</v>
      </c>
      <c r="AE33" s="380">
        <v>53318</v>
      </c>
      <c r="AF33" s="380">
        <v>63804</v>
      </c>
      <c r="AG33" s="379">
        <f t="shared" si="9"/>
        <v>0.19666904234967553</v>
      </c>
      <c r="AH33" s="372">
        <v>46171</v>
      </c>
      <c r="AI33" s="372">
        <v>41007</v>
      </c>
      <c r="AJ33" s="484">
        <v>39692</v>
      </c>
      <c r="AK33" s="484">
        <v>37787</v>
      </c>
      <c r="AL33" s="378">
        <f t="shared" si="10"/>
        <v>-4.7994558097349538E-2</v>
      </c>
      <c r="AM33" s="485">
        <f t="shared" si="0"/>
        <v>595528</v>
      </c>
      <c r="AN33" s="485">
        <f t="shared" si="1"/>
        <v>619296</v>
      </c>
      <c r="AO33" s="384">
        <f t="shared" si="2"/>
        <v>661192</v>
      </c>
      <c r="AP33" s="384">
        <f t="shared" si="13"/>
        <v>659578</v>
      </c>
      <c r="AQ33" s="386">
        <f t="shared" si="11"/>
        <v>-2.4410458686735526E-3</v>
      </c>
      <c r="AR33" s="443"/>
    </row>
    <row r="34" spans="2:44">
      <c r="B34" s="482">
        <v>46222</v>
      </c>
      <c r="C34" s="483">
        <v>29</v>
      </c>
      <c r="D34" s="390">
        <v>165018</v>
      </c>
      <c r="E34" s="373">
        <v>170891</v>
      </c>
      <c r="F34" s="372">
        <v>181047</v>
      </c>
      <c r="G34" s="372">
        <v>165749</v>
      </c>
      <c r="H34" s="379">
        <f t="shared" si="4"/>
        <v>-8.4497395703878042E-2</v>
      </c>
      <c r="I34" s="372">
        <v>67803</v>
      </c>
      <c r="J34" s="373">
        <v>55440</v>
      </c>
      <c r="K34" s="484">
        <v>64967</v>
      </c>
      <c r="L34" s="484">
        <v>66276</v>
      </c>
      <c r="M34" s="379">
        <f t="shared" si="5"/>
        <v>2.0148690873828201E-2</v>
      </c>
      <c r="N34" s="372">
        <v>84063</v>
      </c>
      <c r="O34" s="372">
        <v>82263</v>
      </c>
      <c r="P34" s="384">
        <f>49996+68214</f>
        <v>118210</v>
      </c>
      <c r="Q34" s="384">
        <f>53917+66908</f>
        <v>120825</v>
      </c>
      <c r="R34" s="416">
        <f t="shared" si="6"/>
        <v>2.2121647914727927E-2</v>
      </c>
      <c r="S34" s="372">
        <v>71524</v>
      </c>
      <c r="T34" s="372">
        <v>86807</v>
      </c>
      <c r="U34" s="484">
        <v>56161</v>
      </c>
      <c r="V34" s="484">
        <v>51205</v>
      </c>
      <c r="W34" s="378">
        <f t="shared" si="7"/>
        <v>-8.8246291910756613E-2</v>
      </c>
      <c r="X34" s="390">
        <v>114283</v>
      </c>
      <c r="Y34" s="373">
        <v>114264</v>
      </c>
      <c r="Z34" s="484">
        <v>124456</v>
      </c>
      <c r="AA34" s="484">
        <v>130801</v>
      </c>
      <c r="AB34" s="379">
        <f t="shared" si="8"/>
        <v>5.0981873111782372E-2</v>
      </c>
      <c r="AC34" s="372">
        <v>54320</v>
      </c>
      <c r="AD34" s="373">
        <v>48708</v>
      </c>
      <c r="AE34" s="380">
        <v>51537</v>
      </c>
      <c r="AF34" s="380">
        <v>60671</v>
      </c>
      <c r="AG34" s="379">
        <f t="shared" si="9"/>
        <v>0.17723189165065878</v>
      </c>
      <c r="AH34" s="372">
        <v>47865</v>
      </c>
      <c r="AI34" s="372">
        <v>44522</v>
      </c>
      <c r="AJ34" s="484">
        <v>42994</v>
      </c>
      <c r="AK34" s="484">
        <v>42047</v>
      </c>
      <c r="AL34" s="378">
        <f t="shared" si="10"/>
        <v>-2.2026329255244947E-2</v>
      </c>
      <c r="AM34" s="485">
        <f t="shared" si="0"/>
        <v>604876</v>
      </c>
      <c r="AN34" s="485">
        <f t="shared" si="1"/>
        <v>602895</v>
      </c>
      <c r="AO34" s="384">
        <f t="shared" si="2"/>
        <v>639372</v>
      </c>
      <c r="AP34" s="384">
        <f t="shared" si="13"/>
        <v>637574</v>
      </c>
      <c r="AQ34" s="386">
        <f t="shared" si="11"/>
        <v>-2.8121344068867682E-3</v>
      </c>
      <c r="AR34" s="443"/>
    </row>
    <row r="35" spans="2:44">
      <c r="B35" s="482">
        <v>46229</v>
      </c>
      <c r="C35" s="483">
        <v>30</v>
      </c>
      <c r="D35" s="390">
        <v>173387</v>
      </c>
      <c r="E35" s="373">
        <v>173014</v>
      </c>
      <c r="F35" s="372">
        <f>181534+17043</f>
        <v>198577</v>
      </c>
      <c r="G35" s="372">
        <f>168572+15697</f>
        <v>184269</v>
      </c>
      <c r="H35" s="379">
        <f t="shared" si="4"/>
        <v>-7.2052654637747571E-2</v>
      </c>
      <c r="I35" s="372">
        <v>68292</v>
      </c>
      <c r="J35" s="373">
        <v>59805</v>
      </c>
      <c r="K35" s="484">
        <v>64457</v>
      </c>
      <c r="L35" s="484">
        <v>67322</v>
      </c>
      <c r="M35" s="379">
        <f t="shared" si="5"/>
        <v>4.4448236809035535E-2</v>
      </c>
      <c r="N35" s="372">
        <v>86773</v>
      </c>
      <c r="O35" s="372">
        <v>84636</v>
      </c>
      <c r="P35" s="484">
        <f>66552+50412</f>
        <v>116964</v>
      </c>
      <c r="Q35" s="484">
        <f>68234+54523</f>
        <v>122757</v>
      </c>
      <c r="R35" s="416">
        <f t="shared" si="6"/>
        <v>4.9528059915871614E-2</v>
      </c>
      <c r="S35" s="372">
        <v>68347</v>
      </c>
      <c r="T35" s="372">
        <v>64013</v>
      </c>
      <c r="U35" s="484">
        <v>49443</v>
      </c>
      <c r="V35" s="484">
        <v>47145</v>
      </c>
      <c r="W35" s="378">
        <f t="shared" si="7"/>
        <v>-4.6477762271706857E-2</v>
      </c>
      <c r="X35" s="390">
        <v>109576</v>
      </c>
      <c r="Y35" s="373">
        <v>113644</v>
      </c>
      <c r="Z35" s="484">
        <v>123079</v>
      </c>
      <c r="AA35" s="484">
        <v>129595</v>
      </c>
      <c r="AB35" s="379">
        <f t="shared" si="8"/>
        <v>5.2941606610388492E-2</v>
      </c>
      <c r="AC35" s="372">
        <v>58195</v>
      </c>
      <c r="AD35" s="373">
        <v>49854</v>
      </c>
      <c r="AE35" s="380">
        <v>51849</v>
      </c>
      <c r="AF35" s="380">
        <v>63707</v>
      </c>
      <c r="AG35" s="379">
        <f t="shared" si="9"/>
        <v>0.2287025786418253</v>
      </c>
      <c r="AH35" s="372">
        <v>42908</v>
      </c>
      <c r="AI35" s="372">
        <v>43347</v>
      </c>
      <c r="AJ35" s="484">
        <v>38677</v>
      </c>
      <c r="AK35" s="484">
        <v>38563</v>
      </c>
      <c r="AL35" s="378">
        <f t="shared" si="10"/>
        <v>-2.9474881712645562E-3</v>
      </c>
      <c r="AM35" s="485">
        <f t="shared" si="0"/>
        <v>607478</v>
      </c>
      <c r="AN35" s="485">
        <f t="shared" si="1"/>
        <v>588313</v>
      </c>
      <c r="AO35" s="384">
        <f t="shared" si="2"/>
        <v>643046</v>
      </c>
      <c r="AP35" s="384">
        <f t="shared" si="13"/>
        <v>653358</v>
      </c>
      <c r="AQ35" s="386">
        <f t="shared" si="11"/>
        <v>1.6036177816205921E-2</v>
      </c>
      <c r="AR35" s="443"/>
    </row>
    <row r="36" spans="2:44">
      <c r="B36" s="482">
        <v>46236</v>
      </c>
      <c r="C36" s="483">
        <v>31</v>
      </c>
      <c r="D36" s="390">
        <v>165369</v>
      </c>
      <c r="E36" s="373">
        <v>171814</v>
      </c>
      <c r="F36" s="372">
        <v>185966</v>
      </c>
      <c r="G36" s="372"/>
      <c r="H36" s="379">
        <f t="shared" si="4"/>
        <v>-1</v>
      </c>
      <c r="I36" s="372">
        <v>62636</v>
      </c>
      <c r="J36" s="373">
        <v>62008</v>
      </c>
      <c r="K36" s="484">
        <v>64482</v>
      </c>
      <c r="L36" s="484"/>
      <c r="M36" s="379">
        <f t="shared" si="5"/>
        <v>-1</v>
      </c>
      <c r="N36" s="372">
        <v>85731</v>
      </c>
      <c r="O36" s="372">
        <v>84604</v>
      </c>
      <c r="P36" s="484">
        <v>66787</v>
      </c>
      <c r="Q36" s="484"/>
      <c r="R36" s="416">
        <f t="shared" si="6"/>
        <v>-1</v>
      </c>
      <c r="S36" s="372">
        <v>68276</v>
      </c>
      <c r="T36" s="372">
        <v>63023</v>
      </c>
      <c r="U36" s="484">
        <v>52307</v>
      </c>
      <c r="V36" s="484"/>
      <c r="W36" s="378">
        <f t="shared" si="7"/>
        <v>-1</v>
      </c>
      <c r="X36" s="390">
        <v>104315</v>
      </c>
      <c r="Y36" s="373">
        <v>90549</v>
      </c>
      <c r="Z36" s="484">
        <v>124208</v>
      </c>
      <c r="AA36" s="484"/>
      <c r="AB36" s="379">
        <f t="shared" si="8"/>
        <v>-1</v>
      </c>
      <c r="AC36" s="372">
        <v>41545</v>
      </c>
      <c r="AD36" s="373">
        <v>50221</v>
      </c>
      <c r="AE36" s="380">
        <v>53388</v>
      </c>
      <c r="AF36" s="380"/>
      <c r="AG36" s="379">
        <f t="shared" si="9"/>
        <v>-1</v>
      </c>
      <c r="AH36" s="372">
        <v>49029</v>
      </c>
      <c r="AI36" s="372">
        <v>43700</v>
      </c>
      <c r="AJ36" s="484">
        <v>42609</v>
      </c>
      <c r="AK36" s="484"/>
      <c r="AL36" s="378">
        <f t="shared" si="10"/>
        <v>-1</v>
      </c>
      <c r="AM36" s="485">
        <f t="shared" si="0"/>
        <v>576901</v>
      </c>
      <c r="AN36" s="485">
        <f t="shared" si="1"/>
        <v>565919</v>
      </c>
      <c r="AO36" s="384">
        <f t="shared" si="2"/>
        <v>589747</v>
      </c>
      <c r="AP36" s="384"/>
      <c r="AQ36" s="386">
        <f t="shared" si="11"/>
        <v>-1</v>
      </c>
      <c r="AR36" s="443"/>
    </row>
    <row r="37" spans="2:44">
      <c r="B37" s="482">
        <v>46243</v>
      </c>
      <c r="C37" s="483">
        <v>32</v>
      </c>
      <c r="D37" s="390">
        <v>162568</v>
      </c>
      <c r="E37" s="373">
        <v>169181</v>
      </c>
      <c r="F37" s="372">
        <v>192287</v>
      </c>
      <c r="G37" s="372"/>
      <c r="H37" s="379">
        <f t="shared" si="4"/>
        <v>-1</v>
      </c>
      <c r="I37" s="372">
        <v>58004</v>
      </c>
      <c r="J37" s="373">
        <v>61024</v>
      </c>
      <c r="K37" s="484">
        <v>65074</v>
      </c>
      <c r="L37" s="484"/>
      <c r="M37" s="379">
        <f t="shared" si="5"/>
        <v>-1</v>
      </c>
      <c r="N37" s="372">
        <v>74570</v>
      </c>
      <c r="O37" s="372">
        <v>77289</v>
      </c>
      <c r="P37" s="484">
        <v>65419</v>
      </c>
      <c r="Q37" s="484"/>
      <c r="R37" s="416">
        <f t="shared" si="6"/>
        <v>-1</v>
      </c>
      <c r="S37" s="372">
        <v>68667</v>
      </c>
      <c r="T37" s="372">
        <v>58730</v>
      </c>
      <c r="U37" s="484">
        <v>53781</v>
      </c>
      <c r="V37" s="484"/>
      <c r="W37" s="378">
        <f t="shared" si="7"/>
        <v>-1</v>
      </c>
      <c r="X37" s="390">
        <v>105717</v>
      </c>
      <c r="Y37" s="373">
        <v>97591</v>
      </c>
      <c r="Z37" s="484">
        <v>120130</v>
      </c>
      <c r="AA37" s="484"/>
      <c r="AB37" s="379">
        <f t="shared" si="8"/>
        <v>-1</v>
      </c>
      <c r="AC37" s="372">
        <v>45059</v>
      </c>
      <c r="AD37" s="373">
        <v>46336</v>
      </c>
      <c r="AE37" s="380">
        <v>54113</v>
      </c>
      <c r="AF37" s="380"/>
      <c r="AG37" s="379">
        <f t="shared" si="9"/>
        <v>-1</v>
      </c>
      <c r="AH37" s="372">
        <v>49132</v>
      </c>
      <c r="AI37" s="372">
        <v>45599</v>
      </c>
      <c r="AJ37" s="484">
        <v>39405</v>
      </c>
      <c r="AK37" s="484"/>
      <c r="AL37" s="378">
        <f t="shared" si="10"/>
        <v>-1</v>
      </c>
      <c r="AM37" s="485">
        <f t="shared" si="0"/>
        <v>563717</v>
      </c>
      <c r="AN37" s="485">
        <f t="shared" si="1"/>
        <v>555750</v>
      </c>
      <c r="AO37" s="384">
        <f t="shared" si="2"/>
        <v>590209</v>
      </c>
      <c r="AP37" s="384"/>
      <c r="AQ37" s="386">
        <f t="shared" si="11"/>
        <v>-1</v>
      </c>
      <c r="AR37" s="443"/>
    </row>
    <row r="38" spans="2:44">
      <c r="B38" s="482">
        <v>46250</v>
      </c>
      <c r="C38" s="483">
        <v>33</v>
      </c>
      <c r="D38" s="390">
        <v>163754</v>
      </c>
      <c r="E38" s="373">
        <v>173875</v>
      </c>
      <c r="F38" s="372">
        <v>190068</v>
      </c>
      <c r="G38" s="372"/>
      <c r="H38" s="379">
        <f t="shared" si="4"/>
        <v>-1</v>
      </c>
      <c r="I38" s="372">
        <v>47257</v>
      </c>
      <c r="J38" s="373">
        <v>65049</v>
      </c>
      <c r="K38" s="484">
        <v>62262</v>
      </c>
      <c r="L38" s="484"/>
      <c r="M38" s="379">
        <f t="shared" si="5"/>
        <v>-1</v>
      </c>
      <c r="N38" s="372">
        <v>74099</v>
      </c>
      <c r="O38" s="372">
        <v>82889</v>
      </c>
      <c r="P38" s="484">
        <v>66001</v>
      </c>
      <c r="Q38" s="484"/>
      <c r="R38" s="416">
        <f t="shared" si="6"/>
        <v>-1</v>
      </c>
      <c r="S38" s="372">
        <v>80514</v>
      </c>
      <c r="T38" s="372">
        <v>62517</v>
      </c>
      <c r="U38" s="484">
        <v>56189</v>
      </c>
      <c r="V38" s="484"/>
      <c r="W38" s="378">
        <f t="shared" si="7"/>
        <v>-1</v>
      </c>
      <c r="X38" s="390">
        <v>106042</v>
      </c>
      <c r="Y38" s="373">
        <v>108637</v>
      </c>
      <c r="Z38" s="484">
        <v>123513</v>
      </c>
      <c r="AA38" s="484"/>
      <c r="AB38" s="379">
        <f t="shared" si="8"/>
        <v>-1</v>
      </c>
      <c r="AC38" s="372">
        <v>42905</v>
      </c>
      <c r="AD38" s="373">
        <v>51768</v>
      </c>
      <c r="AE38" s="380">
        <v>52319</v>
      </c>
      <c r="AF38" s="380"/>
      <c r="AG38" s="379">
        <f t="shared" si="9"/>
        <v>-1</v>
      </c>
      <c r="AH38" s="372">
        <v>45772</v>
      </c>
      <c r="AI38" s="372">
        <v>47644</v>
      </c>
      <c r="AJ38" s="484">
        <v>40733</v>
      </c>
      <c r="AK38" s="484"/>
      <c r="AL38" s="378">
        <f t="shared" si="10"/>
        <v>-1</v>
      </c>
      <c r="AM38" s="485">
        <f t="shared" ref="AM38:AM57" si="14">D38+I38+N38+S38+X38+AC38+AH38</f>
        <v>560343</v>
      </c>
      <c r="AN38" s="485">
        <f t="shared" ref="AN38:AN57" si="15">E38+J38+O38+T38+Y38+AD38+AI38</f>
        <v>592379</v>
      </c>
      <c r="AO38" s="384">
        <f t="shared" ref="AO38:AO57" si="16">F38+K38+P38+U38+Z38+AE38+AJ38</f>
        <v>591085</v>
      </c>
      <c r="AP38" s="384"/>
      <c r="AQ38" s="386">
        <f t="shared" si="11"/>
        <v>-1</v>
      </c>
      <c r="AR38" s="443"/>
    </row>
    <row r="39" spans="2:44">
      <c r="B39" s="482">
        <v>46257</v>
      </c>
      <c r="C39" s="483">
        <v>34</v>
      </c>
      <c r="D39" s="390">
        <v>182836</v>
      </c>
      <c r="E39" s="373">
        <v>182115</v>
      </c>
      <c r="F39" s="372">
        <v>188246</v>
      </c>
      <c r="G39" s="372"/>
      <c r="H39" s="379">
        <f t="shared" si="4"/>
        <v>-1</v>
      </c>
      <c r="I39" s="372">
        <v>59669</v>
      </c>
      <c r="J39" s="373">
        <v>60468</v>
      </c>
      <c r="K39" s="484">
        <v>57293</v>
      </c>
      <c r="L39" s="484"/>
      <c r="M39" s="379">
        <f t="shared" si="5"/>
        <v>-1</v>
      </c>
      <c r="N39" s="372">
        <v>84853</v>
      </c>
      <c r="O39" s="372">
        <v>80855</v>
      </c>
      <c r="P39" s="484">
        <v>65600</v>
      </c>
      <c r="Q39" s="484"/>
      <c r="R39" s="416">
        <f t="shared" si="6"/>
        <v>-1</v>
      </c>
      <c r="S39" s="372">
        <v>84343</v>
      </c>
      <c r="T39" s="372">
        <v>77405</v>
      </c>
      <c r="U39" s="484">
        <v>57607</v>
      </c>
      <c r="V39" s="484"/>
      <c r="W39" s="378">
        <f t="shared" si="7"/>
        <v>-1</v>
      </c>
      <c r="X39" s="390">
        <v>105353</v>
      </c>
      <c r="Y39" s="373">
        <v>122277</v>
      </c>
      <c r="Z39" s="484">
        <v>121160</v>
      </c>
      <c r="AA39" s="484"/>
      <c r="AB39" s="379">
        <f t="shared" si="8"/>
        <v>-1</v>
      </c>
      <c r="AC39" s="372">
        <v>42196</v>
      </c>
      <c r="AD39" s="373">
        <v>46468</v>
      </c>
      <c r="AE39" s="380">
        <v>49506</v>
      </c>
      <c r="AF39" s="380"/>
      <c r="AG39" s="379">
        <f t="shared" si="9"/>
        <v>-1</v>
      </c>
      <c r="AH39" s="372">
        <v>49565</v>
      </c>
      <c r="AI39" s="372">
        <v>47577</v>
      </c>
      <c r="AJ39" s="484">
        <v>39987</v>
      </c>
      <c r="AK39" s="484"/>
      <c r="AL39" s="378">
        <f t="shared" si="10"/>
        <v>-1</v>
      </c>
      <c r="AM39" s="485">
        <f t="shared" si="14"/>
        <v>608815</v>
      </c>
      <c r="AN39" s="485">
        <f t="shared" si="15"/>
        <v>617165</v>
      </c>
      <c r="AO39" s="384">
        <f t="shared" si="16"/>
        <v>579399</v>
      </c>
      <c r="AP39" s="384"/>
      <c r="AQ39" s="386">
        <f t="shared" si="11"/>
        <v>-1</v>
      </c>
      <c r="AR39" s="443"/>
    </row>
    <row r="40" spans="2:44">
      <c r="B40" s="482">
        <v>46264</v>
      </c>
      <c r="C40" s="483">
        <v>35</v>
      </c>
      <c r="D40" s="390">
        <v>169082</v>
      </c>
      <c r="E40" s="373">
        <v>176071</v>
      </c>
      <c r="F40" s="372">
        <v>214526</v>
      </c>
      <c r="G40" s="372"/>
      <c r="H40" s="379">
        <f t="shared" si="4"/>
        <v>-1</v>
      </c>
      <c r="I40" s="372">
        <v>50370</v>
      </c>
      <c r="J40" s="373">
        <v>53091</v>
      </c>
      <c r="K40" s="484">
        <v>57341</v>
      </c>
      <c r="L40" s="484"/>
      <c r="M40" s="379">
        <f t="shared" si="5"/>
        <v>-1</v>
      </c>
      <c r="N40" s="372">
        <v>75806</v>
      </c>
      <c r="O40" s="372">
        <v>74376</v>
      </c>
      <c r="P40" s="484">
        <v>72693</v>
      </c>
      <c r="Q40" s="484"/>
      <c r="R40" s="416">
        <f t="shared" si="6"/>
        <v>-1</v>
      </c>
      <c r="S40" s="372">
        <v>75990</v>
      </c>
      <c r="T40" s="372">
        <v>61725</v>
      </c>
      <c r="U40" s="484">
        <v>65518</v>
      </c>
      <c r="V40" s="484"/>
      <c r="W40" s="378">
        <f t="shared" si="7"/>
        <v>-1</v>
      </c>
      <c r="X40" s="390">
        <v>104261</v>
      </c>
      <c r="Y40" s="373">
        <v>100741</v>
      </c>
      <c r="Z40" s="484">
        <v>117120</v>
      </c>
      <c r="AA40" s="484"/>
      <c r="AB40" s="379">
        <f t="shared" si="8"/>
        <v>-1</v>
      </c>
      <c r="AC40" s="372">
        <v>44759</v>
      </c>
      <c r="AD40" s="373">
        <v>44196</v>
      </c>
      <c r="AE40" s="380">
        <v>47183</v>
      </c>
      <c r="AF40" s="380"/>
      <c r="AG40" s="379">
        <f t="shared" si="9"/>
        <v>-1</v>
      </c>
      <c r="AH40" s="372">
        <v>44177</v>
      </c>
      <c r="AI40" s="372">
        <v>43277</v>
      </c>
      <c r="AJ40" s="484">
        <v>41360</v>
      </c>
      <c r="AK40" s="484"/>
      <c r="AL40" s="378">
        <f t="shared" si="10"/>
        <v>-1</v>
      </c>
      <c r="AM40" s="485">
        <f t="shared" si="14"/>
        <v>564445</v>
      </c>
      <c r="AN40" s="485">
        <f t="shared" si="15"/>
        <v>553477</v>
      </c>
      <c r="AO40" s="384">
        <f t="shared" si="16"/>
        <v>615741</v>
      </c>
      <c r="AP40" s="384"/>
      <c r="AQ40" s="386">
        <f t="shared" si="11"/>
        <v>-1</v>
      </c>
      <c r="AR40" s="443"/>
    </row>
    <row r="41" spans="2:44">
      <c r="B41" s="482">
        <v>46271</v>
      </c>
      <c r="C41" s="483">
        <v>36</v>
      </c>
      <c r="D41" s="390">
        <v>189122</v>
      </c>
      <c r="E41" s="373">
        <v>168326</v>
      </c>
      <c r="F41" s="372">
        <v>200890</v>
      </c>
      <c r="G41" s="372"/>
      <c r="H41" s="379">
        <f t="shared" si="4"/>
        <v>-1</v>
      </c>
      <c r="I41" s="372">
        <v>60130</v>
      </c>
      <c r="J41" s="373">
        <v>56208</v>
      </c>
      <c r="K41" s="484">
        <v>56794</v>
      </c>
      <c r="L41" s="484"/>
      <c r="M41" s="379">
        <f t="shared" si="5"/>
        <v>-1</v>
      </c>
      <c r="N41" s="372">
        <v>86797</v>
      </c>
      <c r="O41" s="372">
        <v>70738</v>
      </c>
      <c r="P41" s="484">
        <v>67200</v>
      </c>
      <c r="Q41" s="484"/>
      <c r="R41" s="416">
        <f t="shared" si="6"/>
        <v>-1</v>
      </c>
      <c r="S41" s="372">
        <v>77957</v>
      </c>
      <c r="T41" s="372">
        <v>62074</v>
      </c>
      <c r="U41" s="484">
        <v>57285</v>
      </c>
      <c r="V41" s="484"/>
      <c r="W41" s="378">
        <f t="shared" si="7"/>
        <v>-1</v>
      </c>
      <c r="X41" s="390">
        <v>120020</v>
      </c>
      <c r="Y41" s="373">
        <v>114877</v>
      </c>
      <c r="Z41" s="484">
        <v>113937</v>
      </c>
      <c r="AA41" s="484"/>
      <c r="AB41" s="379">
        <f t="shared" si="8"/>
        <v>-1</v>
      </c>
      <c r="AC41" s="372">
        <v>52697</v>
      </c>
      <c r="AD41" s="373">
        <v>46963</v>
      </c>
      <c r="AE41" s="380">
        <v>51213</v>
      </c>
      <c r="AF41" s="380"/>
      <c r="AG41" s="379">
        <f t="shared" si="9"/>
        <v>-1</v>
      </c>
      <c r="AH41" s="372">
        <v>53221</v>
      </c>
      <c r="AI41" s="372">
        <v>44087</v>
      </c>
      <c r="AJ41" s="484">
        <v>38079</v>
      </c>
      <c r="AK41" s="484"/>
      <c r="AL41" s="378">
        <f t="shared" si="10"/>
        <v>-1</v>
      </c>
      <c r="AM41" s="485">
        <f t="shared" si="14"/>
        <v>639944</v>
      </c>
      <c r="AN41" s="485">
        <f t="shared" si="15"/>
        <v>563273</v>
      </c>
      <c r="AO41" s="384">
        <f t="shared" si="16"/>
        <v>585398</v>
      </c>
      <c r="AP41" s="384"/>
      <c r="AQ41" s="386">
        <f t="shared" si="11"/>
        <v>-1</v>
      </c>
      <c r="AR41" s="443"/>
    </row>
    <row r="42" spans="2:44">
      <c r="B42" s="482">
        <v>46278</v>
      </c>
      <c r="C42" s="483">
        <v>37</v>
      </c>
      <c r="D42" s="390">
        <v>163013</v>
      </c>
      <c r="E42" s="373">
        <v>157476</v>
      </c>
      <c r="F42" s="372">
        <v>179180</v>
      </c>
      <c r="G42" s="372"/>
      <c r="H42" s="379">
        <f t="shared" si="4"/>
        <v>-1</v>
      </c>
      <c r="I42" s="372">
        <v>47970</v>
      </c>
      <c r="J42" s="373">
        <v>50079</v>
      </c>
      <c r="K42" s="484">
        <v>58396</v>
      </c>
      <c r="L42" s="484"/>
      <c r="M42" s="379">
        <f t="shared" si="5"/>
        <v>-1</v>
      </c>
      <c r="N42" s="372">
        <v>66743</v>
      </c>
      <c r="O42" s="372">
        <v>67099</v>
      </c>
      <c r="P42" s="484">
        <v>62167</v>
      </c>
      <c r="Q42" s="484"/>
      <c r="R42" s="416">
        <f t="shared" si="6"/>
        <v>-1</v>
      </c>
      <c r="S42" s="383">
        <v>63902</v>
      </c>
      <c r="T42" s="383">
        <v>42639</v>
      </c>
      <c r="U42" s="484">
        <v>54928</v>
      </c>
      <c r="V42" s="484"/>
      <c r="W42" s="378">
        <f t="shared" si="7"/>
        <v>-1</v>
      </c>
      <c r="X42" s="487">
        <v>100765</v>
      </c>
      <c r="Y42" s="382">
        <v>44936</v>
      </c>
      <c r="Z42" s="484">
        <v>114891</v>
      </c>
      <c r="AA42" s="484"/>
      <c r="AB42" s="379">
        <f t="shared" si="8"/>
        <v>-1</v>
      </c>
      <c r="AC42" s="372">
        <v>42948</v>
      </c>
      <c r="AD42" s="373">
        <v>42177</v>
      </c>
      <c r="AE42" s="380">
        <v>49440</v>
      </c>
      <c r="AF42" s="380"/>
      <c r="AG42" s="379">
        <f t="shared" si="9"/>
        <v>-1</v>
      </c>
      <c r="AH42" s="372">
        <v>46191</v>
      </c>
      <c r="AI42" s="372">
        <v>40207</v>
      </c>
      <c r="AJ42" s="484">
        <v>37270</v>
      </c>
      <c r="AK42" s="484"/>
      <c r="AL42" s="378">
        <f t="shared" si="10"/>
        <v>-1</v>
      </c>
      <c r="AM42" s="485">
        <f t="shared" si="14"/>
        <v>531532</v>
      </c>
      <c r="AN42" s="485">
        <f t="shared" si="15"/>
        <v>444613</v>
      </c>
      <c r="AO42" s="384">
        <f t="shared" si="16"/>
        <v>556272</v>
      </c>
      <c r="AP42" s="384"/>
      <c r="AQ42" s="386">
        <f t="shared" si="11"/>
        <v>-1</v>
      </c>
      <c r="AR42" s="488"/>
    </row>
    <row r="43" spans="2:44">
      <c r="B43" s="482">
        <v>46285</v>
      </c>
      <c r="C43" s="483">
        <v>38</v>
      </c>
      <c r="D43" s="390">
        <v>157574</v>
      </c>
      <c r="E43" s="373">
        <v>168411</v>
      </c>
      <c r="F43" s="372">
        <v>178638</v>
      </c>
      <c r="G43" s="372"/>
      <c r="H43" s="379">
        <f t="shared" si="4"/>
        <v>-1</v>
      </c>
      <c r="I43" s="372">
        <v>47537</v>
      </c>
      <c r="J43" s="373">
        <v>52640</v>
      </c>
      <c r="K43" s="484">
        <v>57010</v>
      </c>
      <c r="L43" s="484"/>
      <c r="M43" s="379">
        <f t="shared" si="5"/>
        <v>-1</v>
      </c>
      <c r="N43" s="372">
        <v>71733</v>
      </c>
      <c r="O43" s="372">
        <v>68350</v>
      </c>
      <c r="P43" s="484">
        <v>61359</v>
      </c>
      <c r="Q43" s="484"/>
      <c r="R43" s="416">
        <f t="shared" si="6"/>
        <v>-1</v>
      </c>
      <c r="S43" s="372">
        <v>60716</v>
      </c>
      <c r="T43" s="372">
        <v>52768</v>
      </c>
      <c r="U43" s="484">
        <v>55677</v>
      </c>
      <c r="V43" s="484"/>
      <c r="W43" s="378">
        <f t="shared" si="7"/>
        <v>-1</v>
      </c>
      <c r="X43" s="390">
        <v>100953</v>
      </c>
      <c r="Y43" s="373">
        <v>72932</v>
      </c>
      <c r="Z43" s="484">
        <v>117198</v>
      </c>
      <c r="AA43" s="484"/>
      <c r="AB43" s="379">
        <f t="shared" si="8"/>
        <v>-1</v>
      </c>
      <c r="AC43" s="372">
        <v>42739</v>
      </c>
      <c r="AD43" s="373">
        <v>45766</v>
      </c>
      <c r="AE43" s="380">
        <v>48185</v>
      </c>
      <c r="AF43" s="380"/>
      <c r="AG43" s="379">
        <f t="shared" si="9"/>
        <v>-1</v>
      </c>
      <c r="AH43" s="372">
        <v>42223</v>
      </c>
      <c r="AI43" s="372">
        <v>41087</v>
      </c>
      <c r="AJ43" s="484">
        <v>37226</v>
      </c>
      <c r="AK43" s="484"/>
      <c r="AL43" s="378">
        <f t="shared" si="10"/>
        <v>-1</v>
      </c>
      <c r="AM43" s="485">
        <f t="shared" si="14"/>
        <v>523475</v>
      </c>
      <c r="AN43" s="485">
        <f t="shared" si="15"/>
        <v>501954</v>
      </c>
      <c r="AO43" s="384">
        <f t="shared" si="16"/>
        <v>555293</v>
      </c>
      <c r="AP43" s="384"/>
      <c r="AQ43" s="386">
        <f t="shared" si="11"/>
        <v>-1</v>
      </c>
      <c r="AR43" s="443"/>
    </row>
    <row r="44" spans="2:44">
      <c r="B44" s="482">
        <v>46292</v>
      </c>
      <c r="C44" s="483">
        <v>39</v>
      </c>
      <c r="D44" s="390">
        <v>167967</v>
      </c>
      <c r="E44" s="373">
        <v>158941</v>
      </c>
      <c r="F44" s="372">
        <v>170638</v>
      </c>
      <c r="G44" s="372"/>
      <c r="H44" s="379">
        <f t="shared" si="4"/>
        <v>-1</v>
      </c>
      <c r="I44" s="372">
        <v>48645</v>
      </c>
      <c r="J44" s="373">
        <v>49944</v>
      </c>
      <c r="K44" s="484">
        <v>49400</v>
      </c>
      <c r="L44" s="484"/>
      <c r="M44" s="379">
        <f t="shared" si="5"/>
        <v>-1</v>
      </c>
      <c r="N44" s="372">
        <v>67797</v>
      </c>
      <c r="O44" s="372">
        <v>65278</v>
      </c>
      <c r="P44" s="484">
        <v>60772</v>
      </c>
      <c r="Q44" s="484"/>
      <c r="R44" s="416">
        <f t="shared" si="6"/>
        <v>-1</v>
      </c>
      <c r="S44" s="372">
        <v>62503</v>
      </c>
      <c r="T44" s="372">
        <v>49018</v>
      </c>
      <c r="U44" s="484">
        <v>46590</v>
      </c>
      <c r="V44" s="484"/>
      <c r="W44" s="378">
        <f t="shared" si="7"/>
        <v>-1</v>
      </c>
      <c r="X44" s="390">
        <v>103748</v>
      </c>
      <c r="Y44" s="373">
        <v>82249</v>
      </c>
      <c r="Z44" s="484">
        <v>112432</v>
      </c>
      <c r="AA44" s="484"/>
      <c r="AB44" s="379">
        <f t="shared" si="8"/>
        <v>-1</v>
      </c>
      <c r="AC44" s="372">
        <v>49144</v>
      </c>
      <c r="AD44" s="373">
        <v>46302</v>
      </c>
      <c r="AE44" s="380">
        <v>47722</v>
      </c>
      <c r="AF44" s="380"/>
      <c r="AG44" s="379">
        <f t="shared" si="9"/>
        <v>-1</v>
      </c>
      <c r="AH44" s="372">
        <v>45708</v>
      </c>
      <c r="AI44" s="372">
        <v>42261</v>
      </c>
      <c r="AJ44" s="484">
        <v>36779</v>
      </c>
      <c r="AK44" s="484"/>
      <c r="AL44" s="378">
        <f t="shared" si="10"/>
        <v>-1</v>
      </c>
      <c r="AM44" s="485">
        <f t="shared" si="14"/>
        <v>545512</v>
      </c>
      <c r="AN44" s="485">
        <f t="shared" si="15"/>
        <v>493993</v>
      </c>
      <c r="AO44" s="384">
        <f t="shared" si="16"/>
        <v>524333</v>
      </c>
      <c r="AP44" s="384"/>
      <c r="AQ44" s="386">
        <f t="shared" si="11"/>
        <v>-1</v>
      </c>
      <c r="AR44" s="443"/>
    </row>
    <row r="45" spans="2:44">
      <c r="B45" s="482">
        <v>46299</v>
      </c>
      <c r="C45" s="483">
        <v>40</v>
      </c>
      <c r="D45" s="390">
        <v>197235</v>
      </c>
      <c r="E45" s="373">
        <v>173757</v>
      </c>
      <c r="F45" s="372">
        <v>182402</v>
      </c>
      <c r="G45" s="372"/>
      <c r="H45" s="379">
        <f t="shared" si="4"/>
        <v>-1</v>
      </c>
      <c r="I45" s="372">
        <v>44904</v>
      </c>
      <c r="J45" s="373">
        <v>50858</v>
      </c>
      <c r="K45" s="484">
        <v>48369</v>
      </c>
      <c r="L45" s="484"/>
      <c r="M45" s="379">
        <f t="shared" si="5"/>
        <v>-1</v>
      </c>
      <c r="N45" s="372">
        <v>73403</v>
      </c>
      <c r="O45" s="372">
        <v>74183</v>
      </c>
      <c r="P45" s="484">
        <v>60503</v>
      </c>
      <c r="Q45" s="484"/>
      <c r="R45" s="416">
        <f t="shared" si="6"/>
        <v>-1</v>
      </c>
      <c r="S45" s="372">
        <v>57801</v>
      </c>
      <c r="T45" s="372">
        <v>56048</v>
      </c>
      <c r="U45" s="484">
        <v>52547</v>
      </c>
      <c r="V45" s="484"/>
      <c r="W45" s="378">
        <f t="shared" si="7"/>
        <v>-1</v>
      </c>
      <c r="X45" s="390">
        <v>102118</v>
      </c>
      <c r="Y45" s="373">
        <v>90010</v>
      </c>
      <c r="Z45" s="484">
        <v>118607</v>
      </c>
      <c r="AA45" s="484"/>
      <c r="AB45" s="379">
        <f t="shared" si="8"/>
        <v>-1</v>
      </c>
      <c r="AC45" s="372">
        <v>42811</v>
      </c>
      <c r="AD45" s="373">
        <v>49833</v>
      </c>
      <c r="AE45" s="380">
        <v>45010</v>
      </c>
      <c r="AF45" s="380"/>
      <c r="AG45" s="379">
        <f t="shared" si="9"/>
        <v>-1</v>
      </c>
      <c r="AH45" s="372">
        <v>43109</v>
      </c>
      <c r="AI45" s="372">
        <v>43738</v>
      </c>
      <c r="AJ45" s="484">
        <v>39185</v>
      </c>
      <c r="AK45" s="484"/>
      <c r="AL45" s="378">
        <f t="shared" si="10"/>
        <v>-1</v>
      </c>
      <c r="AM45" s="485">
        <f t="shared" si="14"/>
        <v>561381</v>
      </c>
      <c r="AN45" s="485">
        <f t="shared" si="15"/>
        <v>538427</v>
      </c>
      <c r="AO45" s="384">
        <f t="shared" si="16"/>
        <v>546623</v>
      </c>
      <c r="AP45" s="384"/>
      <c r="AQ45" s="386">
        <f t="shared" si="11"/>
        <v>-1</v>
      </c>
      <c r="AR45" s="443"/>
    </row>
    <row r="46" spans="2:44">
      <c r="B46" s="482">
        <v>46306</v>
      </c>
      <c r="C46" s="483">
        <v>41</v>
      </c>
      <c r="D46" s="390">
        <v>193345</v>
      </c>
      <c r="E46" s="373">
        <v>161646</v>
      </c>
      <c r="F46" s="372">
        <v>180359</v>
      </c>
      <c r="G46" s="372"/>
      <c r="H46" s="379">
        <f t="shared" si="4"/>
        <v>-1</v>
      </c>
      <c r="I46" s="372">
        <v>47601</v>
      </c>
      <c r="J46" s="373">
        <v>46577</v>
      </c>
      <c r="K46" s="484">
        <v>45955</v>
      </c>
      <c r="L46" s="484"/>
      <c r="M46" s="379">
        <f t="shared" si="5"/>
        <v>-1</v>
      </c>
      <c r="N46" s="372">
        <v>71039</v>
      </c>
      <c r="O46" s="372">
        <v>69160</v>
      </c>
      <c r="P46" s="484">
        <v>58783</v>
      </c>
      <c r="Q46" s="484"/>
      <c r="R46" s="416">
        <f t="shared" si="6"/>
        <v>-1</v>
      </c>
      <c r="S46" s="372">
        <v>58586</v>
      </c>
      <c r="T46" s="372">
        <v>48903</v>
      </c>
      <c r="U46" s="484">
        <v>46681</v>
      </c>
      <c r="V46" s="484"/>
      <c r="W46" s="378">
        <f t="shared" si="7"/>
        <v>-1</v>
      </c>
      <c r="X46" s="390">
        <v>103131</v>
      </c>
      <c r="Y46" s="373">
        <v>95284</v>
      </c>
      <c r="Z46" s="484">
        <v>112048</v>
      </c>
      <c r="AA46" s="484"/>
      <c r="AB46" s="379">
        <f t="shared" si="8"/>
        <v>-1</v>
      </c>
      <c r="AC46" s="372">
        <v>44239</v>
      </c>
      <c r="AD46" s="373">
        <v>44995</v>
      </c>
      <c r="AE46" s="380">
        <v>46176</v>
      </c>
      <c r="AF46" s="380"/>
      <c r="AG46" s="379">
        <f t="shared" si="9"/>
        <v>-1</v>
      </c>
      <c r="AH46" s="372">
        <v>45189</v>
      </c>
      <c r="AI46" s="372">
        <v>37232</v>
      </c>
      <c r="AJ46" s="484">
        <v>35591</v>
      </c>
      <c r="AK46" s="484"/>
      <c r="AL46" s="378">
        <f t="shared" si="10"/>
        <v>-1</v>
      </c>
      <c r="AM46" s="485">
        <f t="shared" si="14"/>
        <v>563130</v>
      </c>
      <c r="AN46" s="485">
        <f t="shared" si="15"/>
        <v>503797</v>
      </c>
      <c r="AO46" s="384">
        <f t="shared" si="16"/>
        <v>525593</v>
      </c>
      <c r="AP46" s="384"/>
      <c r="AQ46" s="386">
        <f t="shared" si="11"/>
        <v>-1</v>
      </c>
      <c r="AR46" s="443"/>
    </row>
    <row r="47" spans="2:44">
      <c r="B47" s="482">
        <v>46313</v>
      </c>
      <c r="C47" s="483">
        <v>42</v>
      </c>
      <c r="D47" s="390">
        <v>195152</v>
      </c>
      <c r="E47" s="373">
        <v>169554</v>
      </c>
      <c r="F47" s="372">
        <v>189613</v>
      </c>
      <c r="G47" s="372"/>
      <c r="H47" s="379">
        <f t="shared" si="4"/>
        <v>-1</v>
      </c>
      <c r="I47" s="372">
        <v>52130</v>
      </c>
      <c r="J47" s="373">
        <v>48730</v>
      </c>
      <c r="K47" s="484">
        <v>49236</v>
      </c>
      <c r="L47" s="484"/>
      <c r="M47" s="379">
        <f t="shared" si="5"/>
        <v>-1</v>
      </c>
      <c r="N47" s="372">
        <v>68849</v>
      </c>
      <c r="O47" s="372">
        <v>72354</v>
      </c>
      <c r="P47" s="484">
        <v>59459</v>
      </c>
      <c r="Q47" s="484"/>
      <c r="R47" s="416">
        <f t="shared" si="6"/>
        <v>-1</v>
      </c>
      <c r="S47" s="372">
        <v>57291</v>
      </c>
      <c r="T47" s="372">
        <v>54834</v>
      </c>
      <c r="U47" s="484">
        <v>52661</v>
      </c>
      <c r="V47" s="484"/>
      <c r="W47" s="378">
        <f t="shared" si="7"/>
        <v>-1</v>
      </c>
      <c r="X47" s="390">
        <v>90807</v>
      </c>
      <c r="Y47" s="373">
        <v>102691</v>
      </c>
      <c r="Z47" s="484">
        <v>117213</v>
      </c>
      <c r="AA47" s="484"/>
      <c r="AB47" s="379">
        <f t="shared" si="8"/>
        <v>-1</v>
      </c>
      <c r="AC47" s="372">
        <v>43676</v>
      </c>
      <c r="AD47" s="373">
        <v>49849</v>
      </c>
      <c r="AE47" s="380">
        <v>48000</v>
      </c>
      <c r="AF47" s="380"/>
      <c r="AG47" s="379">
        <f t="shared" si="9"/>
        <v>-1</v>
      </c>
      <c r="AH47" s="372">
        <v>30610</v>
      </c>
      <c r="AI47" s="372">
        <v>40224</v>
      </c>
      <c r="AJ47" s="484">
        <v>38408</v>
      </c>
      <c r="AK47" s="484"/>
      <c r="AL47" s="378">
        <f t="shared" si="10"/>
        <v>-1</v>
      </c>
      <c r="AM47" s="485">
        <f t="shared" si="14"/>
        <v>538515</v>
      </c>
      <c r="AN47" s="485">
        <f t="shared" si="15"/>
        <v>538236</v>
      </c>
      <c r="AO47" s="384">
        <f t="shared" si="16"/>
        <v>554590</v>
      </c>
      <c r="AP47" s="384"/>
      <c r="AQ47" s="386">
        <f t="shared" si="11"/>
        <v>-1</v>
      </c>
      <c r="AR47" s="443"/>
    </row>
    <row r="48" spans="2:44">
      <c r="B48" s="482">
        <v>46320</v>
      </c>
      <c r="C48" s="483">
        <v>43</v>
      </c>
      <c r="D48" s="390">
        <v>210918</v>
      </c>
      <c r="E48" s="373">
        <v>170319</v>
      </c>
      <c r="F48" s="372">
        <v>190311</v>
      </c>
      <c r="G48" s="372"/>
      <c r="H48" s="379">
        <f t="shared" si="4"/>
        <v>-1</v>
      </c>
      <c r="I48" s="372">
        <v>53232</v>
      </c>
      <c r="J48" s="373">
        <v>48130</v>
      </c>
      <c r="K48" s="484">
        <v>50042</v>
      </c>
      <c r="L48" s="484"/>
      <c r="M48" s="379">
        <f t="shared" si="5"/>
        <v>-1</v>
      </c>
      <c r="N48" s="372">
        <v>80147</v>
      </c>
      <c r="O48" s="372">
        <v>71353</v>
      </c>
      <c r="P48" s="484">
        <v>61865</v>
      </c>
      <c r="Q48" s="484"/>
      <c r="R48" s="416">
        <f t="shared" si="6"/>
        <v>-1</v>
      </c>
      <c r="S48" s="372">
        <v>61513</v>
      </c>
      <c r="T48" s="372">
        <v>53196</v>
      </c>
      <c r="U48" s="484">
        <v>51419</v>
      </c>
      <c r="V48" s="484"/>
      <c r="W48" s="378">
        <f t="shared" si="7"/>
        <v>-1</v>
      </c>
      <c r="X48" s="390">
        <v>97606</v>
      </c>
      <c r="Y48" s="373">
        <v>102805</v>
      </c>
      <c r="Z48" s="484">
        <v>111552</v>
      </c>
      <c r="AA48" s="484"/>
      <c r="AB48" s="379">
        <f t="shared" si="8"/>
        <v>-1</v>
      </c>
      <c r="AC48" s="372">
        <v>47235</v>
      </c>
      <c r="AD48" s="373">
        <v>45773</v>
      </c>
      <c r="AE48" s="380">
        <v>46829</v>
      </c>
      <c r="AF48" s="380"/>
      <c r="AG48" s="379">
        <f t="shared" si="9"/>
        <v>-1</v>
      </c>
      <c r="AH48" s="372">
        <v>46670</v>
      </c>
      <c r="AI48" s="372">
        <v>43454</v>
      </c>
      <c r="AJ48" s="484">
        <v>36106</v>
      </c>
      <c r="AK48" s="484"/>
      <c r="AL48" s="378">
        <f t="shared" si="10"/>
        <v>-1</v>
      </c>
      <c r="AM48" s="485">
        <f t="shared" si="14"/>
        <v>597321</v>
      </c>
      <c r="AN48" s="485">
        <f t="shared" si="15"/>
        <v>535030</v>
      </c>
      <c r="AO48" s="384">
        <f t="shared" si="16"/>
        <v>548124</v>
      </c>
      <c r="AP48" s="384"/>
      <c r="AQ48" s="386">
        <f t="shared" si="11"/>
        <v>-1</v>
      </c>
      <c r="AR48" s="443"/>
    </row>
    <row r="49" spans="2:46">
      <c r="B49" s="482">
        <v>46327</v>
      </c>
      <c r="C49" s="483">
        <v>44</v>
      </c>
      <c r="D49" s="390">
        <v>192806</v>
      </c>
      <c r="E49" s="373">
        <v>183281</v>
      </c>
      <c r="F49" s="372">
        <v>201274</v>
      </c>
      <c r="G49" s="372"/>
      <c r="H49" s="379">
        <f t="shared" si="4"/>
        <v>-1</v>
      </c>
      <c r="I49" s="372">
        <v>49866</v>
      </c>
      <c r="J49" s="373">
        <v>51475</v>
      </c>
      <c r="K49" s="484">
        <v>49263</v>
      </c>
      <c r="L49" s="484"/>
      <c r="M49" s="379">
        <f t="shared" si="5"/>
        <v>-1</v>
      </c>
      <c r="N49" s="372">
        <v>88212</v>
      </c>
      <c r="O49" s="372">
        <v>78604</v>
      </c>
      <c r="P49" s="484">
        <v>71021</v>
      </c>
      <c r="Q49" s="484"/>
      <c r="R49" s="416">
        <f t="shared" si="6"/>
        <v>-1</v>
      </c>
      <c r="S49" s="372">
        <v>66047</v>
      </c>
      <c r="T49" s="372">
        <v>62243</v>
      </c>
      <c r="U49" s="484">
        <v>58045</v>
      </c>
      <c r="V49" s="484"/>
      <c r="W49" s="378">
        <f t="shared" si="7"/>
        <v>-1</v>
      </c>
      <c r="X49" s="390">
        <v>103645</v>
      </c>
      <c r="Y49" s="373">
        <v>115041</v>
      </c>
      <c r="Z49" s="484">
        <v>114832</v>
      </c>
      <c r="AA49" s="484"/>
      <c r="AB49" s="379">
        <f t="shared" si="8"/>
        <v>-1</v>
      </c>
      <c r="AC49" s="372">
        <v>39701</v>
      </c>
      <c r="AD49" s="373">
        <v>43840</v>
      </c>
      <c r="AE49" s="380">
        <v>46235</v>
      </c>
      <c r="AF49" s="380"/>
      <c r="AG49" s="379">
        <f t="shared" si="9"/>
        <v>-1</v>
      </c>
      <c r="AH49" s="372">
        <v>47323</v>
      </c>
      <c r="AI49" s="372">
        <v>49922</v>
      </c>
      <c r="AJ49" s="484">
        <v>41388</v>
      </c>
      <c r="AK49" s="484"/>
      <c r="AL49" s="378">
        <f t="shared" si="10"/>
        <v>-1</v>
      </c>
      <c r="AM49" s="485">
        <f t="shared" si="14"/>
        <v>587600</v>
      </c>
      <c r="AN49" s="485">
        <f t="shared" si="15"/>
        <v>584406</v>
      </c>
      <c r="AO49" s="384">
        <f t="shared" si="16"/>
        <v>582058</v>
      </c>
      <c r="AP49" s="384"/>
      <c r="AQ49" s="386">
        <f t="shared" si="11"/>
        <v>-1</v>
      </c>
      <c r="AR49" s="443"/>
    </row>
    <row r="50" spans="2:46">
      <c r="B50" s="482">
        <v>46334</v>
      </c>
      <c r="C50" s="483">
        <v>45</v>
      </c>
      <c r="D50" s="390">
        <v>173630</v>
      </c>
      <c r="E50" s="373">
        <v>174393</v>
      </c>
      <c r="F50" s="372">
        <v>183740</v>
      </c>
      <c r="G50" s="372"/>
      <c r="H50" s="379">
        <f t="shared" si="4"/>
        <v>-1</v>
      </c>
      <c r="I50" s="372">
        <v>47146</v>
      </c>
      <c r="J50" s="373">
        <v>49876</v>
      </c>
      <c r="K50" s="484">
        <v>48249</v>
      </c>
      <c r="L50" s="484"/>
      <c r="M50" s="379">
        <f t="shared" si="5"/>
        <v>-1</v>
      </c>
      <c r="N50" s="372">
        <v>71287</v>
      </c>
      <c r="O50" s="372">
        <v>64388</v>
      </c>
      <c r="P50" s="484">
        <v>61805</v>
      </c>
      <c r="Q50" s="484"/>
      <c r="R50" s="416">
        <f t="shared" si="6"/>
        <v>-1</v>
      </c>
      <c r="S50" s="372">
        <v>56485</v>
      </c>
      <c r="T50" s="372">
        <v>55039</v>
      </c>
      <c r="U50" s="484">
        <v>50807</v>
      </c>
      <c r="V50" s="484"/>
      <c r="W50" s="378">
        <f t="shared" si="7"/>
        <v>-1</v>
      </c>
      <c r="X50" s="390">
        <v>104347</v>
      </c>
      <c r="Y50" s="373">
        <v>112326</v>
      </c>
      <c r="Z50" s="484">
        <v>117772</v>
      </c>
      <c r="AA50" s="484"/>
      <c r="AB50" s="379">
        <f t="shared" si="8"/>
        <v>-1</v>
      </c>
      <c r="AC50" s="372">
        <v>40881</v>
      </c>
      <c r="AD50" s="373">
        <v>46779</v>
      </c>
      <c r="AE50" s="380">
        <v>53164</v>
      </c>
      <c r="AF50" s="380"/>
      <c r="AG50" s="379">
        <f t="shared" si="9"/>
        <v>-1</v>
      </c>
      <c r="AH50" s="372">
        <v>43793</v>
      </c>
      <c r="AI50" s="372">
        <v>41396</v>
      </c>
      <c r="AJ50" s="484">
        <v>39194</v>
      </c>
      <c r="AK50" s="484"/>
      <c r="AL50" s="378">
        <f t="shared" si="10"/>
        <v>-1</v>
      </c>
      <c r="AM50" s="485">
        <f t="shared" si="14"/>
        <v>537569</v>
      </c>
      <c r="AN50" s="485">
        <f t="shared" si="15"/>
        <v>544197</v>
      </c>
      <c r="AO50" s="384">
        <f t="shared" si="16"/>
        <v>554731</v>
      </c>
      <c r="AP50" s="384"/>
      <c r="AQ50" s="386">
        <f t="shared" si="11"/>
        <v>-1</v>
      </c>
      <c r="AR50" s="443"/>
    </row>
    <row r="51" spans="2:46">
      <c r="B51" s="482">
        <v>46341</v>
      </c>
      <c r="C51" s="483">
        <v>46</v>
      </c>
      <c r="D51" s="390">
        <v>207892</v>
      </c>
      <c r="E51" s="373">
        <v>196518</v>
      </c>
      <c r="F51" s="372">
        <v>194207</v>
      </c>
      <c r="G51" s="372"/>
      <c r="H51" s="379">
        <f t="shared" si="4"/>
        <v>-1</v>
      </c>
      <c r="I51" s="372">
        <v>50070</v>
      </c>
      <c r="J51" s="373">
        <v>56214</v>
      </c>
      <c r="K51" s="484">
        <v>55735</v>
      </c>
      <c r="L51" s="484"/>
      <c r="M51" s="379">
        <f t="shared" si="5"/>
        <v>-1</v>
      </c>
      <c r="N51" s="372">
        <v>76015</v>
      </c>
      <c r="O51" s="372">
        <v>77369</v>
      </c>
      <c r="P51" s="484">
        <v>64918</v>
      </c>
      <c r="Q51" s="484"/>
      <c r="R51" s="416">
        <f t="shared" si="6"/>
        <v>-1</v>
      </c>
      <c r="S51" s="372">
        <v>63098</v>
      </c>
      <c r="T51" s="372">
        <v>60246</v>
      </c>
      <c r="U51" s="484">
        <v>52283</v>
      </c>
      <c r="V51" s="484"/>
      <c r="W51" s="378">
        <f t="shared" si="7"/>
        <v>-1</v>
      </c>
      <c r="X51" s="390">
        <v>119290</v>
      </c>
      <c r="Y51" s="373">
        <v>132152</v>
      </c>
      <c r="Z51" s="484">
        <v>140062</v>
      </c>
      <c r="AA51" s="484"/>
      <c r="AB51" s="379">
        <f t="shared" si="8"/>
        <v>-1</v>
      </c>
      <c r="AC51" s="372">
        <v>41366</v>
      </c>
      <c r="AD51" s="373">
        <v>49537</v>
      </c>
      <c r="AE51" s="380">
        <v>49487</v>
      </c>
      <c r="AF51" s="380"/>
      <c r="AG51" s="379">
        <f t="shared" si="9"/>
        <v>-1</v>
      </c>
      <c r="AH51" s="372">
        <v>47919</v>
      </c>
      <c r="AI51" s="372">
        <v>47660</v>
      </c>
      <c r="AJ51" s="484">
        <v>45065</v>
      </c>
      <c r="AK51" s="484"/>
      <c r="AL51" s="378">
        <f t="shared" si="10"/>
        <v>-1</v>
      </c>
      <c r="AM51" s="485">
        <f t="shared" si="14"/>
        <v>605650</v>
      </c>
      <c r="AN51" s="485">
        <f t="shared" si="15"/>
        <v>619696</v>
      </c>
      <c r="AO51" s="384">
        <f t="shared" si="16"/>
        <v>601757</v>
      </c>
      <c r="AP51" s="384"/>
      <c r="AQ51" s="386">
        <f t="shared" si="11"/>
        <v>-1</v>
      </c>
      <c r="AR51" s="443"/>
    </row>
    <row r="52" spans="2:46">
      <c r="B52" s="482">
        <v>46348</v>
      </c>
      <c r="C52" s="483">
        <v>47</v>
      </c>
      <c r="D52" s="390">
        <v>222335</v>
      </c>
      <c r="E52" s="373">
        <v>193734</v>
      </c>
      <c r="F52" s="372">
        <v>201347</v>
      </c>
      <c r="G52" s="372"/>
      <c r="H52" s="379">
        <f t="shared" si="4"/>
        <v>-1</v>
      </c>
      <c r="I52" s="372">
        <v>52649</v>
      </c>
      <c r="J52" s="373">
        <v>56634</v>
      </c>
      <c r="K52" s="484">
        <v>54326</v>
      </c>
      <c r="L52" s="484"/>
      <c r="M52" s="379">
        <f t="shared" si="5"/>
        <v>-1</v>
      </c>
      <c r="N52" s="372">
        <v>77770</v>
      </c>
      <c r="O52" s="372">
        <v>72287</v>
      </c>
      <c r="P52" s="484">
        <v>71627</v>
      </c>
      <c r="Q52" s="484"/>
      <c r="R52" s="416">
        <f t="shared" si="6"/>
        <v>-1</v>
      </c>
      <c r="S52" s="372">
        <v>58896</v>
      </c>
      <c r="T52" s="372">
        <v>61290</v>
      </c>
      <c r="U52" s="484">
        <v>54931</v>
      </c>
      <c r="V52" s="484"/>
      <c r="W52" s="378">
        <f t="shared" si="7"/>
        <v>-1</v>
      </c>
      <c r="X52" s="390">
        <v>115428</v>
      </c>
      <c r="Y52" s="373">
        <v>129967</v>
      </c>
      <c r="Z52" s="484">
        <v>133167</v>
      </c>
      <c r="AA52" s="484"/>
      <c r="AB52" s="379">
        <f t="shared" si="8"/>
        <v>-1</v>
      </c>
      <c r="AC52" s="372">
        <v>41704</v>
      </c>
      <c r="AD52" s="373">
        <v>49533</v>
      </c>
      <c r="AE52" s="380">
        <v>45586</v>
      </c>
      <c r="AF52" s="380"/>
      <c r="AG52" s="379">
        <f t="shared" si="9"/>
        <v>-1</v>
      </c>
      <c r="AH52" s="372">
        <v>45107</v>
      </c>
      <c r="AI52" s="372">
        <v>45116</v>
      </c>
      <c r="AJ52" s="484">
        <v>42733</v>
      </c>
      <c r="AK52" s="484"/>
      <c r="AL52" s="378">
        <f t="shared" si="10"/>
        <v>-1</v>
      </c>
      <c r="AM52" s="485">
        <f t="shared" si="14"/>
        <v>613889</v>
      </c>
      <c r="AN52" s="485">
        <f t="shared" si="15"/>
        <v>608561</v>
      </c>
      <c r="AO52" s="384">
        <f t="shared" si="16"/>
        <v>603717</v>
      </c>
      <c r="AP52" s="384"/>
      <c r="AQ52" s="386">
        <f t="shared" si="11"/>
        <v>-1</v>
      </c>
      <c r="AR52" s="443"/>
    </row>
    <row r="53" spans="2:46">
      <c r="B53" s="482">
        <v>46355</v>
      </c>
      <c r="C53" s="483">
        <v>48</v>
      </c>
      <c r="D53" s="390">
        <v>215847</v>
      </c>
      <c r="E53" s="373">
        <v>196959</v>
      </c>
      <c r="F53" s="372">
        <v>204510</v>
      </c>
      <c r="G53" s="372"/>
      <c r="H53" s="379">
        <f t="shared" si="4"/>
        <v>-1</v>
      </c>
      <c r="I53" s="372">
        <v>47859</v>
      </c>
      <c r="J53" s="373">
        <v>60891</v>
      </c>
      <c r="K53" s="484">
        <v>54241</v>
      </c>
      <c r="L53" s="484"/>
      <c r="M53" s="379">
        <f t="shared" si="5"/>
        <v>-1</v>
      </c>
      <c r="N53" s="372">
        <v>69910</v>
      </c>
      <c r="O53" s="372">
        <v>78604</v>
      </c>
      <c r="P53" s="484">
        <v>74608</v>
      </c>
      <c r="Q53" s="484"/>
      <c r="R53" s="416">
        <f t="shared" si="6"/>
        <v>-1</v>
      </c>
      <c r="S53" s="372">
        <v>61990</v>
      </c>
      <c r="T53" s="372">
        <v>58669</v>
      </c>
      <c r="U53" s="484">
        <v>54536</v>
      </c>
      <c r="V53" s="484"/>
      <c r="W53" s="378">
        <f t="shared" si="7"/>
        <v>-1</v>
      </c>
      <c r="X53" s="390">
        <v>119323</v>
      </c>
      <c r="Y53" s="373">
        <v>114156</v>
      </c>
      <c r="Z53" s="484">
        <v>128202</v>
      </c>
      <c r="AA53" s="484"/>
      <c r="AB53" s="379">
        <f t="shared" si="8"/>
        <v>-1</v>
      </c>
      <c r="AC53" s="372">
        <v>42658</v>
      </c>
      <c r="AD53" s="373">
        <v>53970</v>
      </c>
      <c r="AE53" s="380">
        <v>43193</v>
      </c>
      <c r="AF53" s="380"/>
      <c r="AG53" s="379">
        <f t="shared" si="9"/>
        <v>-1</v>
      </c>
      <c r="AH53" s="372">
        <v>48358</v>
      </c>
      <c r="AI53" s="372">
        <v>47379</v>
      </c>
      <c r="AJ53" s="484">
        <v>44212</v>
      </c>
      <c r="AK53" s="484"/>
      <c r="AL53" s="378">
        <f t="shared" si="10"/>
        <v>-1</v>
      </c>
      <c r="AM53" s="485">
        <f t="shared" si="14"/>
        <v>605945</v>
      </c>
      <c r="AN53" s="485">
        <f t="shared" si="15"/>
        <v>610628</v>
      </c>
      <c r="AO53" s="384">
        <f t="shared" si="16"/>
        <v>603502</v>
      </c>
      <c r="AP53" s="384"/>
      <c r="AQ53" s="386">
        <f t="shared" si="11"/>
        <v>-1</v>
      </c>
      <c r="AR53" s="443"/>
    </row>
    <row r="54" spans="2:46">
      <c r="B54" s="482">
        <v>46362</v>
      </c>
      <c r="C54" s="483">
        <v>49</v>
      </c>
      <c r="D54" s="390">
        <v>272595</v>
      </c>
      <c r="E54" s="373">
        <v>210040</v>
      </c>
      <c r="F54" s="372">
        <v>224804</v>
      </c>
      <c r="G54" s="372"/>
      <c r="H54" s="379">
        <f t="shared" si="4"/>
        <v>-1</v>
      </c>
      <c r="I54" s="372">
        <v>53979</v>
      </c>
      <c r="J54" s="373">
        <v>57299</v>
      </c>
      <c r="K54" s="484">
        <v>59687</v>
      </c>
      <c r="L54" s="484"/>
      <c r="M54" s="379">
        <f t="shared" si="5"/>
        <v>-1</v>
      </c>
      <c r="N54" s="372">
        <v>78846</v>
      </c>
      <c r="O54" s="372">
        <v>76922</v>
      </c>
      <c r="P54" s="484">
        <v>75090</v>
      </c>
      <c r="Q54" s="484"/>
      <c r="R54" s="416">
        <f t="shared" si="6"/>
        <v>-1</v>
      </c>
      <c r="S54" s="372">
        <v>60969</v>
      </c>
      <c r="T54" s="372">
        <v>58880</v>
      </c>
      <c r="U54" s="484">
        <v>58927</v>
      </c>
      <c r="V54" s="484"/>
      <c r="W54" s="378">
        <f t="shared" si="7"/>
        <v>-1</v>
      </c>
      <c r="X54" s="390">
        <v>132436</v>
      </c>
      <c r="Y54" s="373">
        <v>131623</v>
      </c>
      <c r="Z54" s="484">
        <v>140992</v>
      </c>
      <c r="AA54" s="484"/>
      <c r="AB54" s="379">
        <f t="shared" si="8"/>
        <v>-1</v>
      </c>
      <c r="AC54" s="372">
        <v>43438</v>
      </c>
      <c r="AD54" s="373">
        <v>47609</v>
      </c>
      <c r="AE54" s="380">
        <v>43735</v>
      </c>
      <c r="AF54" s="380"/>
      <c r="AG54" s="379">
        <f t="shared" si="9"/>
        <v>-1</v>
      </c>
      <c r="AH54" s="372">
        <v>53953</v>
      </c>
      <c r="AI54" s="372">
        <v>48118</v>
      </c>
      <c r="AJ54" s="484">
        <v>45664</v>
      </c>
      <c r="AK54" s="484"/>
      <c r="AL54" s="378">
        <f t="shared" si="10"/>
        <v>-1</v>
      </c>
      <c r="AM54" s="485">
        <f t="shared" si="14"/>
        <v>696216</v>
      </c>
      <c r="AN54" s="485">
        <f t="shared" si="15"/>
        <v>630491</v>
      </c>
      <c r="AO54" s="384">
        <f t="shared" si="16"/>
        <v>648899</v>
      </c>
      <c r="AP54" s="384"/>
      <c r="AQ54" s="386">
        <f t="shared" si="11"/>
        <v>-1</v>
      </c>
      <c r="AR54" s="443"/>
    </row>
    <row r="55" spans="2:46">
      <c r="B55" s="482">
        <v>46369</v>
      </c>
      <c r="C55" s="483">
        <v>50</v>
      </c>
      <c r="D55" s="390">
        <v>232435</v>
      </c>
      <c r="E55" s="373">
        <v>221306</v>
      </c>
      <c r="F55" s="372">
        <v>219657</v>
      </c>
      <c r="G55" s="372"/>
      <c r="H55" s="379">
        <f t="shared" si="4"/>
        <v>-1</v>
      </c>
      <c r="I55" s="372">
        <v>58103</v>
      </c>
      <c r="J55" s="373">
        <v>59853</v>
      </c>
      <c r="K55" s="484">
        <v>62552</v>
      </c>
      <c r="L55" s="484"/>
      <c r="M55" s="379">
        <f t="shared" si="5"/>
        <v>-1</v>
      </c>
      <c r="N55" s="372">
        <v>82799</v>
      </c>
      <c r="O55" s="372">
        <v>81124</v>
      </c>
      <c r="P55" s="484">
        <v>79660</v>
      </c>
      <c r="Q55" s="484"/>
      <c r="R55" s="416">
        <f t="shared" si="6"/>
        <v>-1</v>
      </c>
      <c r="S55" s="372">
        <v>68896</v>
      </c>
      <c r="T55" s="372">
        <v>64611</v>
      </c>
      <c r="U55" s="484">
        <v>58688</v>
      </c>
      <c r="V55" s="484"/>
      <c r="W55" s="378">
        <f t="shared" si="7"/>
        <v>-1</v>
      </c>
      <c r="X55" s="390">
        <v>148506</v>
      </c>
      <c r="Y55" s="373">
        <v>159738</v>
      </c>
      <c r="Z55" s="484">
        <v>155658</v>
      </c>
      <c r="AA55" s="484"/>
      <c r="AB55" s="379">
        <f t="shared" si="8"/>
        <v>-1</v>
      </c>
      <c r="AC55" s="372">
        <v>45383</v>
      </c>
      <c r="AD55" s="373">
        <v>51210</v>
      </c>
      <c r="AE55" s="380">
        <v>53566</v>
      </c>
      <c r="AF55" s="380"/>
      <c r="AG55" s="379">
        <f t="shared" si="9"/>
        <v>-1</v>
      </c>
      <c r="AH55" s="372">
        <v>57556</v>
      </c>
      <c r="AI55" s="372">
        <v>52064</v>
      </c>
      <c r="AJ55" s="484">
        <v>48327</v>
      </c>
      <c r="AK55" s="484"/>
      <c r="AL55" s="378">
        <f t="shared" si="10"/>
        <v>-1</v>
      </c>
      <c r="AM55" s="485">
        <f t="shared" si="14"/>
        <v>693678</v>
      </c>
      <c r="AN55" s="485">
        <f t="shared" si="15"/>
        <v>689906</v>
      </c>
      <c r="AO55" s="384">
        <f t="shared" si="16"/>
        <v>678108</v>
      </c>
      <c r="AP55" s="384"/>
      <c r="AQ55" s="386">
        <f t="shared" si="11"/>
        <v>-1</v>
      </c>
      <c r="AR55" s="443"/>
    </row>
    <row r="56" spans="2:46">
      <c r="B56" s="482">
        <v>46376</v>
      </c>
      <c r="C56" s="483">
        <v>51</v>
      </c>
      <c r="D56" s="390">
        <v>246598</v>
      </c>
      <c r="E56" s="373">
        <v>244344</v>
      </c>
      <c r="F56" s="372">
        <v>228980</v>
      </c>
      <c r="G56" s="372"/>
      <c r="H56" s="379">
        <f t="shared" si="4"/>
        <v>-1</v>
      </c>
      <c r="I56" s="372">
        <v>70847</v>
      </c>
      <c r="J56" s="373">
        <v>68731</v>
      </c>
      <c r="K56" s="484">
        <v>77512</v>
      </c>
      <c r="L56" s="484"/>
      <c r="M56" s="379">
        <f t="shared" si="5"/>
        <v>-1</v>
      </c>
      <c r="N56" s="372">
        <v>92222</v>
      </c>
      <c r="O56" s="372">
        <v>90737</v>
      </c>
      <c r="P56" s="484">
        <v>90304</v>
      </c>
      <c r="Q56" s="484"/>
      <c r="R56" s="416">
        <f t="shared" si="6"/>
        <v>-1</v>
      </c>
      <c r="S56" s="372">
        <v>81161</v>
      </c>
      <c r="T56" s="372">
        <v>72902</v>
      </c>
      <c r="U56" s="484">
        <v>68726</v>
      </c>
      <c r="V56" s="484"/>
      <c r="W56" s="378">
        <f t="shared" si="7"/>
        <v>-1</v>
      </c>
      <c r="X56" s="390">
        <v>164275</v>
      </c>
      <c r="Y56" s="373">
        <v>178335</v>
      </c>
      <c r="Z56" s="484">
        <v>176767</v>
      </c>
      <c r="AA56" s="484"/>
      <c r="AB56" s="379">
        <f t="shared" si="8"/>
        <v>-1</v>
      </c>
      <c r="AC56" s="372">
        <v>43859</v>
      </c>
      <c r="AD56" s="373">
        <v>59386</v>
      </c>
      <c r="AE56" s="380">
        <v>65828</v>
      </c>
      <c r="AF56" s="380"/>
      <c r="AG56" s="379">
        <f t="shared" si="9"/>
        <v>-1</v>
      </c>
      <c r="AH56" s="372">
        <v>64123</v>
      </c>
      <c r="AI56" s="372">
        <v>60838</v>
      </c>
      <c r="AJ56" s="484">
        <v>53544</v>
      </c>
      <c r="AK56" s="484"/>
      <c r="AL56" s="378">
        <f t="shared" si="10"/>
        <v>-1</v>
      </c>
      <c r="AM56" s="485">
        <f t="shared" si="14"/>
        <v>763085</v>
      </c>
      <c r="AN56" s="485">
        <f t="shared" si="15"/>
        <v>775273</v>
      </c>
      <c r="AO56" s="384">
        <f t="shared" si="16"/>
        <v>761661</v>
      </c>
      <c r="AP56" s="384"/>
      <c r="AQ56" s="386">
        <f t="shared" si="11"/>
        <v>-1</v>
      </c>
      <c r="AR56" s="443"/>
    </row>
    <row r="57" spans="2:46">
      <c r="B57" s="489">
        <v>46383</v>
      </c>
      <c r="C57" s="490">
        <v>52</v>
      </c>
      <c r="D57" s="394">
        <v>191626</v>
      </c>
      <c r="E57" s="396">
        <v>224095</v>
      </c>
      <c r="F57" s="397">
        <v>224076</v>
      </c>
      <c r="G57" s="397"/>
      <c r="H57" s="403">
        <f t="shared" si="4"/>
        <v>-1</v>
      </c>
      <c r="I57" s="395">
        <v>62324</v>
      </c>
      <c r="J57" s="396">
        <v>75224</v>
      </c>
      <c r="K57" s="491">
        <v>80802</v>
      </c>
      <c r="L57" s="491"/>
      <c r="M57" s="403">
        <f t="shared" si="5"/>
        <v>-1</v>
      </c>
      <c r="N57" s="395">
        <v>82273</v>
      </c>
      <c r="O57" s="395">
        <v>86164</v>
      </c>
      <c r="P57" s="492">
        <v>86362</v>
      </c>
      <c r="Q57" s="492"/>
      <c r="R57" s="493">
        <f t="shared" si="6"/>
        <v>-1</v>
      </c>
      <c r="S57" s="395">
        <v>61581</v>
      </c>
      <c r="T57" s="395">
        <v>66398</v>
      </c>
      <c r="U57" s="492">
        <v>64886</v>
      </c>
      <c r="V57" s="492"/>
      <c r="W57" s="494">
        <f t="shared" si="7"/>
        <v>-1</v>
      </c>
      <c r="X57" s="394">
        <v>122318</v>
      </c>
      <c r="Y57" s="396">
        <v>135170</v>
      </c>
      <c r="Z57" s="491">
        <v>153338</v>
      </c>
      <c r="AA57" s="491"/>
      <c r="AB57" s="403">
        <f t="shared" si="8"/>
        <v>-1</v>
      </c>
      <c r="AC57" s="395">
        <v>38863</v>
      </c>
      <c r="AD57" s="396">
        <v>52264</v>
      </c>
      <c r="AE57" s="404">
        <v>53697</v>
      </c>
      <c r="AF57" s="404"/>
      <c r="AG57" s="403">
        <f t="shared" si="9"/>
        <v>-1</v>
      </c>
      <c r="AH57" s="395">
        <v>43720</v>
      </c>
      <c r="AI57" s="395">
        <v>48026</v>
      </c>
      <c r="AJ57" s="492">
        <v>48753</v>
      </c>
      <c r="AK57" s="492"/>
      <c r="AL57" s="494">
        <f t="shared" si="10"/>
        <v>-1</v>
      </c>
      <c r="AM57" s="495">
        <f t="shared" si="14"/>
        <v>602705</v>
      </c>
      <c r="AN57" s="495">
        <f t="shared" si="15"/>
        <v>687341</v>
      </c>
      <c r="AO57" s="408">
        <f t="shared" si="16"/>
        <v>711914</v>
      </c>
      <c r="AP57" s="408"/>
      <c r="AQ57" s="410">
        <f t="shared" si="11"/>
        <v>-1</v>
      </c>
      <c r="AR57" s="443"/>
    </row>
    <row r="58" spans="2:46" ht="9.75" customHeight="1"/>
    <row r="59" spans="2:46" s="333" customFormat="1">
      <c r="B59" s="566" t="s">
        <v>29</v>
      </c>
      <c r="C59" s="566"/>
      <c r="D59" s="418">
        <f>SUM(D6:D57)</f>
        <v>9612010</v>
      </c>
      <c r="E59" s="418">
        <f>SUM(E6:E57)</f>
        <v>9051398</v>
      </c>
      <c r="F59" s="418">
        <f>SUM(F6:F57)</f>
        <v>9905219</v>
      </c>
      <c r="G59" s="418">
        <f>SUM(G6:G57)</f>
        <v>5200588</v>
      </c>
      <c r="H59" s="424">
        <f>G59/(F6+F7+F8+F9+F10+F11+F12+F13+F14+F15+F16+F17+F18+F19+F20+F21+F22+F23+F24+F25+F26+F27+F28+F29+F30+F31+F32+F33+F34+F35)-1</f>
        <v>-6.7911461600501877E-2</v>
      </c>
      <c r="I59" s="418">
        <f>SUM(I6:I57)</f>
        <v>2965516</v>
      </c>
      <c r="J59" s="418">
        <f>SUM(J6:J57)</f>
        <v>2857589</v>
      </c>
      <c r="K59" s="418">
        <f>SUM(K6:K57)</f>
        <v>3037277</v>
      </c>
      <c r="L59" s="418">
        <f>SUM(L6:L57)</f>
        <v>1947098</v>
      </c>
      <c r="M59" s="424">
        <f>L59/(K6+K7+K8+K9+K10+K11+K12+K13+K14+K15+K16+K17+K18+K19+K20+K21+K22+K23+K24+K25+K26+K27+K28+K29+K30+K31+K32+K33+K34+K35)-1</f>
        <v>9.8035478238900575E-2</v>
      </c>
      <c r="N59" s="418">
        <f>SUM(N6:N57)</f>
        <v>3972317</v>
      </c>
      <c r="O59" s="418">
        <f>SUM(O6:O57)</f>
        <v>3915124</v>
      </c>
      <c r="P59" s="418">
        <f>SUM(P6:P57)</f>
        <v>3839665</v>
      </c>
      <c r="Q59" s="418">
        <f>SUM(Q6:Q57)</f>
        <v>2318248</v>
      </c>
      <c r="R59" s="426">
        <f>Q59/(P6+P7+P8+P9+P10+P11+P12+P13+P14+P15+P16+P17+P18+P19+P20+P21+P22+P23+P24+P25+P26+P27+P28+P29+P30+P31+P32+P33+P34+P35)-1</f>
        <v>-7.4557020664804963E-3</v>
      </c>
      <c r="S59" s="418">
        <f>SUM(S6:S57)</f>
        <v>3289303</v>
      </c>
      <c r="T59" s="418">
        <f>SUM(T6:T57)</f>
        <v>3154890</v>
      </c>
      <c r="U59" s="418">
        <f>SUM(U6:U57)</f>
        <v>2808570</v>
      </c>
      <c r="V59" s="418">
        <f>SUM(V6:V57)</f>
        <v>1469303</v>
      </c>
      <c r="W59" s="426">
        <f>V59/(U6+U7+U8+U9+U10+U11+U12+U13+U14+U15+U16+U17+U18+U19+U20+U21+U22+U23+U24+U25+U26+U27+U28+U29+U30+U31+U32+U33+U34+U35)-1</f>
        <v>-7.2146713304465759E-2</v>
      </c>
      <c r="X59" s="418">
        <f>SUM(X6:X57)</f>
        <v>5655797</v>
      </c>
      <c r="Y59" s="418">
        <f>SUM(Y6:Y57)</f>
        <v>5511363</v>
      </c>
      <c r="Z59" s="418">
        <f>SUM(Z6:Z57)</f>
        <v>6297373</v>
      </c>
      <c r="AA59" s="418">
        <f>SUM(AA6:AA57)</f>
        <v>3610260</v>
      </c>
      <c r="AB59" s="426">
        <f>AA59/(Z6+Z7+Z8+Z9+Z10+Z11+Z12+Z13+Z14+Z15+Z16+Z17+Z18+Z19+Z20+Z21+Z22+Z23+Z24+Z25+Z26+Z27+Z28+Z29+Z30+Z31+Z32+Z33+Z34+Z35)-1</f>
        <v>2.7810374955801631E-2</v>
      </c>
      <c r="AC59" s="418">
        <f>SUM(AC6:AC57)</f>
        <v>2373015</v>
      </c>
      <c r="AD59" s="418">
        <f>SUM(AD6:AD57)</f>
        <v>2451342</v>
      </c>
      <c r="AE59" s="418">
        <f>SUM(AE6:AE57)</f>
        <v>2680340</v>
      </c>
      <c r="AF59" s="418">
        <f>SUM(AF6:AF57)</f>
        <v>1697023</v>
      </c>
      <c r="AG59" s="426">
        <f>AF59/(AE6+AE7+AE8+AE9+AE10+AE11+AE12+AE13+AE14+AE15+AE16+AE17+AE18+AE19+AE20+AE21+AE22+AE23+AE24+AE25+AE26+AE27+AE28+AE29+AE30+AE31+AE32+AE33+AE34+AE35)-1</f>
        <v>6.9486029752357847E-2</v>
      </c>
      <c r="AH59" s="418">
        <f>SUM(AH6:AH57)</f>
        <v>2292151</v>
      </c>
      <c r="AI59" s="418">
        <f>SUM(AI6:AI57)</f>
        <v>2223566</v>
      </c>
      <c r="AJ59" s="418">
        <f>SUM(AJ6:AJ57)</f>
        <v>2082620</v>
      </c>
      <c r="AK59" s="418">
        <f>SUM(AK6:AK57)</f>
        <v>1133973</v>
      </c>
      <c r="AL59" s="426">
        <f>AK59/(AJ6+AJ7+AJ8+AJ9+AJ10+AJ11+AJ12+AJ13+AJ14+AJ15+AJ16+AJ17+AJ18+AJ19+AJ20+AJ21+AJ22+AJ23+AJ24+AJ25+AJ26+AJ27+AJ28+AJ29+AJ30+AJ31+AJ32+AJ33+AJ34+AJ35)-1</f>
        <v>-3.1621636854591184E-2</v>
      </c>
      <c r="AM59" s="418">
        <f>SUM(AM6:AM57)</f>
        <v>30160109</v>
      </c>
      <c r="AN59" s="418">
        <f>SUM(AN6:AN57)</f>
        <v>29165272</v>
      </c>
      <c r="AO59" s="418">
        <f>SUM(AO6:AO57)</f>
        <v>30651064</v>
      </c>
      <c r="AP59" s="418">
        <f>SUM(AP6:AP57)</f>
        <v>17376493</v>
      </c>
      <c r="AQ59" s="426">
        <f>AP59/(AO6+AO7+AO8+AO9+AO10+AO11+AO12+AO13+AO14+AO15+AO16+AO17+AO18+AO19+AO20+AO21+AO22+AO23+AO24+AO25+AO26+AO27+AO28+AO29+AO30+AO31+AO32+AO33+AO34+AO35)-1</f>
        <v>-9.4524039308392371E-3</v>
      </c>
      <c r="AR59" s="415"/>
      <c r="AS59" s="415"/>
      <c r="AT59" s="415"/>
    </row>
    <row r="61" spans="2:46">
      <c r="AI61" s="388"/>
      <c r="AJ61" s="388"/>
      <c r="AK61" s="388"/>
    </row>
    <row r="62" spans="2:46">
      <c r="E62" s="567" t="s">
        <v>32</v>
      </c>
      <c r="F62" s="567"/>
      <c r="G62" s="567"/>
    </row>
    <row r="63" spans="2:46">
      <c r="E63" s="496">
        <f>B35</f>
        <v>46229</v>
      </c>
      <c r="F63" s="497" t="s">
        <v>28</v>
      </c>
      <c r="G63" s="497" t="s">
        <v>33</v>
      </c>
    </row>
    <row r="64" spans="2:46" ht="7" customHeight="1">
      <c r="F64" s="429"/>
      <c r="G64" s="429"/>
    </row>
    <row r="65" spans="5:7">
      <c r="E65" s="447" t="s">
        <v>1</v>
      </c>
      <c r="F65" s="498">
        <f>H35</f>
        <v>-7.2052654637747571E-2</v>
      </c>
      <c r="G65" s="499">
        <f>H59</f>
        <v>-6.7911461600501877E-2</v>
      </c>
    </row>
    <row r="66" spans="5:7">
      <c r="E66" s="333" t="s">
        <v>2</v>
      </c>
      <c r="F66" s="445">
        <f>M35</f>
        <v>4.4448236809035535E-2</v>
      </c>
      <c r="G66" s="500">
        <f>M59</f>
        <v>9.8035478238900575E-2</v>
      </c>
    </row>
    <row r="67" spans="5:7">
      <c r="E67" s="333" t="s">
        <v>3</v>
      </c>
      <c r="F67" s="445">
        <f>R35</f>
        <v>4.9528059915871614E-2</v>
      </c>
      <c r="G67" s="500">
        <f>R59</f>
        <v>-7.4557020664804963E-3</v>
      </c>
    </row>
    <row r="68" spans="5:7">
      <c r="E68" s="333" t="s">
        <v>4</v>
      </c>
      <c r="F68" s="445">
        <f>W35</f>
        <v>-4.6477762271706857E-2</v>
      </c>
      <c r="G68" s="500">
        <f>W59</f>
        <v>-7.2146713304465759E-2</v>
      </c>
    </row>
    <row r="69" spans="5:7">
      <c r="E69" s="333" t="s">
        <v>5</v>
      </c>
      <c r="F69" s="445">
        <f>AB35</f>
        <v>5.2941606610388492E-2</v>
      </c>
      <c r="G69" s="500">
        <f>AB59</f>
        <v>2.7810374955801631E-2</v>
      </c>
    </row>
    <row r="70" spans="5:7">
      <c r="E70" s="333" t="s">
        <v>6</v>
      </c>
      <c r="F70" s="445">
        <f>AG35</f>
        <v>0.2287025786418253</v>
      </c>
      <c r="G70" s="500">
        <f>AG59</f>
        <v>6.9486029752357847E-2</v>
      </c>
    </row>
    <row r="71" spans="5:7">
      <c r="E71" s="457" t="s">
        <v>7</v>
      </c>
      <c r="F71" s="501">
        <f>AL35</f>
        <v>-2.9474881712645562E-3</v>
      </c>
      <c r="G71" s="502">
        <f>AL59</f>
        <v>-3.1621636854591184E-2</v>
      </c>
    </row>
    <row r="72" spans="5:7" ht="7" customHeight="1"/>
    <row r="73" spans="5:7">
      <c r="E73" s="417" t="s">
        <v>34</v>
      </c>
      <c r="F73" s="503">
        <f>AQ35</f>
        <v>1.6036177816205921E-2</v>
      </c>
      <c r="G73" s="503">
        <f>AQ59</f>
        <v>-9.4524039308392371E-3</v>
      </c>
    </row>
  </sheetData>
  <sortState xmlns:xlrd2="http://schemas.microsoft.com/office/spreadsheetml/2017/richdata2" ref="B11:B39">
    <sortCondition descending="1" ref="B11:B39"/>
  </sortState>
  <mergeCells count="12">
    <mergeCell ref="E62:G62"/>
    <mergeCell ref="B3:B4"/>
    <mergeCell ref="C3:C4"/>
    <mergeCell ref="D3:H3"/>
    <mergeCell ref="I3:M3"/>
    <mergeCell ref="X3:AB3"/>
    <mergeCell ref="AC3:AG3"/>
    <mergeCell ref="AH3:AL3"/>
    <mergeCell ref="AM3:AQ3"/>
    <mergeCell ref="B59:C59"/>
    <mergeCell ref="N3:R3"/>
    <mergeCell ref="S3:W3"/>
  </mergeCells>
  <pageMargins left="0.7" right="0.7" top="0.75" bottom="0.75" header="0.3" footer="0.3"/>
  <ignoredErrors>
    <ignoredError sqref="I59:L59 N59:Q59 S59:V59 X59:AA59 AC59:AF59 AH59:AK59 AM59:AP5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B1446A1F-1694-4DB9-B856-DAD1A9FE18B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H59</xm:sqref>
        </x14:conditionalFormatting>
        <x14:conditionalFormatting xmlns:xm="http://schemas.microsoft.com/office/excel/2006/main">
          <x14:cfRule type="iconSet" priority="6" id="{1D83F398-B592-4E19-BFDF-674876419CD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M59</xm:sqref>
        </x14:conditionalFormatting>
        <x14:conditionalFormatting xmlns:xm="http://schemas.microsoft.com/office/excel/2006/main">
          <x14:cfRule type="iconSet" priority="7" id="{DAEA652D-9F25-4EB5-94F7-C6E285E6AF4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R59</xm:sqref>
        </x14:conditionalFormatting>
        <x14:conditionalFormatting xmlns:xm="http://schemas.microsoft.com/office/excel/2006/main">
          <x14:cfRule type="iconSet" priority="13" id="{B422C0DD-F85E-4B77-9DD8-0F7A8E725E7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W6:W57 H6:H57 M6:M57 R6:R57 AB6:AB57 AG6:AG57 AL6:AL57 AQ6:AQ57</xm:sqref>
        </x14:conditionalFormatting>
        <x14:conditionalFormatting xmlns:xm="http://schemas.microsoft.com/office/excel/2006/main">
          <x14:cfRule type="iconSet" priority="8" id="{93AF4EAA-52E8-473A-A69E-FA27A7E5787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W59</xm:sqref>
        </x14:conditionalFormatting>
        <x14:conditionalFormatting xmlns:xm="http://schemas.microsoft.com/office/excel/2006/main">
          <x14:cfRule type="iconSet" priority="9" id="{EC944F21-AB12-4416-A123-A8FD9C7EA96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AB59</xm:sqref>
        </x14:conditionalFormatting>
        <x14:conditionalFormatting xmlns:xm="http://schemas.microsoft.com/office/excel/2006/main">
          <x14:cfRule type="iconSet" priority="10" id="{3D86B2F9-022C-494A-94E7-A37E3046FE9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AG59</xm:sqref>
        </x14:conditionalFormatting>
        <x14:conditionalFormatting xmlns:xm="http://schemas.microsoft.com/office/excel/2006/main">
          <x14:cfRule type="iconSet" priority="11" id="{5D304960-7371-442F-BFC6-BFED0C5F75D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AL59</xm:sqref>
        </x14:conditionalFormatting>
        <x14:conditionalFormatting xmlns:xm="http://schemas.microsoft.com/office/excel/2006/main">
          <x14:cfRule type="iconSet" priority="4" id="{6DC82F88-D747-4EBF-9C13-009BE9515E0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AQ59</xm:sqref>
        </x14:conditionalFormatting>
        <x14:conditionalFormatting xmlns:xm="http://schemas.microsoft.com/office/excel/2006/main">
          <x14:cfRule type="iconSet" priority="12" id="{317ACB1A-C5A2-4D9C-9C8A-AC0AF276C4E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AR6:AR14</xm:sqref>
        </x14:conditionalFormatting>
        <x14:conditionalFormatting xmlns:xm="http://schemas.microsoft.com/office/excel/2006/main">
          <x14:cfRule type="iconSet" priority="3" id="{D13A518C-1FFA-4E16-9C0F-EECD8A0F75B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AR15</xm:sqref>
        </x14:conditionalFormatting>
        <x14:conditionalFormatting xmlns:xm="http://schemas.microsoft.com/office/excel/2006/main">
          <x14:cfRule type="iconSet" priority="2" id="{AA051209-D172-4FDA-83D1-C8F60260EC3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AR16</xm:sqref>
        </x14:conditionalFormatting>
        <x14:conditionalFormatting xmlns:xm="http://schemas.microsoft.com/office/excel/2006/main">
          <x14:cfRule type="iconSet" priority="1" id="{DC5C64DA-E349-429C-A8E9-9BD3D51F367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AR17:AR19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B518-4A4A-417A-9AD9-902F5DC7D72F}">
  <sheetPr>
    <tabColor rgb="FF7CCAD3"/>
    <pageSetUpPr fitToPage="1"/>
  </sheetPr>
  <dimension ref="B1:CN58"/>
  <sheetViews>
    <sheetView showGridLines="0" topLeftCell="AP1" zoomScaleNormal="100" workbookViewId="0">
      <selection activeCell="AT12" activeCellId="1" sqref="AU6:AU11 AT12:AT17"/>
    </sheetView>
  </sheetViews>
  <sheetFormatPr baseColWidth="10" defaultColWidth="11" defaultRowHeight="18"/>
  <cols>
    <col min="1" max="1" width="4.6640625" style="334" customWidth="1"/>
    <col min="2" max="2" width="8.83203125" style="334" customWidth="1"/>
    <col min="3" max="3" width="2.1640625" style="334" customWidth="1"/>
    <col min="4" max="4" width="15.83203125" style="334" customWidth="1"/>
    <col min="5" max="5" width="16.83203125" style="334" customWidth="1"/>
    <col min="6" max="10" width="15.83203125" style="334" customWidth="1"/>
    <col min="11" max="11" width="12.83203125" style="334" customWidth="1"/>
    <col min="12" max="18" width="15.83203125" style="334" customWidth="1"/>
    <col min="19" max="19" width="12.83203125" style="334" customWidth="1"/>
    <col min="20" max="20" width="15.83203125" style="334" hidden="1" customWidth="1"/>
    <col min="21" max="26" width="15.83203125" style="334" customWidth="1"/>
    <col min="27" max="27" width="12.83203125" style="334" customWidth="1"/>
    <col min="28" max="34" width="15.83203125" style="334" customWidth="1"/>
    <col min="35" max="35" width="12.83203125" style="334" customWidth="1"/>
    <col min="36" max="36" width="15.83203125" style="334" hidden="1" customWidth="1"/>
    <col min="37" max="41" width="15.83203125" style="334" customWidth="1"/>
    <col min="42" max="42" width="12.83203125" style="334" customWidth="1"/>
    <col min="43" max="47" width="15.83203125" style="334" customWidth="1"/>
    <col min="48" max="48" width="12.83203125" style="334" customWidth="1"/>
    <col min="49" max="55" width="15.83203125" style="334" customWidth="1"/>
    <col min="56" max="56" width="12.83203125" style="334" customWidth="1"/>
    <col min="57" max="57" width="15.83203125" style="334" hidden="1" customWidth="1"/>
    <col min="58" max="64" width="15.83203125" style="334" customWidth="1"/>
    <col min="65" max="65" width="12.83203125" style="334" customWidth="1"/>
    <col min="66" max="66" width="4.5" style="334" customWidth="1"/>
    <col min="67" max="71" width="15.83203125" style="334" customWidth="1"/>
    <col min="72" max="72" width="12.83203125" style="334" customWidth="1"/>
    <col min="73" max="74" width="11" style="334" bestFit="1" customWidth="1"/>
    <col min="75" max="75" width="6.6640625" style="334" customWidth="1"/>
    <col min="76" max="76" width="12.6640625" style="334" customWidth="1"/>
    <col min="77" max="78" width="11" style="334" bestFit="1" customWidth="1"/>
    <col min="79" max="81" width="11" style="334"/>
    <col min="82" max="87" width="13.1640625" style="334" customWidth="1"/>
    <col min="88" max="88" width="11" style="334"/>
    <col min="89" max="92" width="5.33203125" style="334" customWidth="1"/>
    <col min="93" max="16384" width="11" style="334"/>
  </cols>
  <sheetData>
    <row r="1" spans="2:76">
      <c r="B1" s="333" t="s">
        <v>26</v>
      </c>
      <c r="C1" s="333"/>
      <c r="BM1" s="333"/>
    </row>
    <row r="2" spans="2:76">
      <c r="B2" s="333"/>
      <c r="C2" s="333"/>
      <c r="BF2" s="333"/>
      <c r="BG2" s="333"/>
      <c r="BH2" s="333"/>
    </row>
    <row r="3" spans="2:76">
      <c r="D3" s="563" t="s">
        <v>1</v>
      </c>
      <c r="E3" s="564"/>
      <c r="F3" s="564"/>
      <c r="G3" s="564"/>
      <c r="H3" s="564"/>
      <c r="I3" s="564"/>
      <c r="J3" s="564"/>
      <c r="K3" s="565"/>
      <c r="L3" s="563" t="s">
        <v>2</v>
      </c>
      <c r="M3" s="564"/>
      <c r="N3" s="564"/>
      <c r="O3" s="564"/>
      <c r="P3" s="564"/>
      <c r="Q3" s="564"/>
      <c r="R3" s="564"/>
      <c r="S3" s="565"/>
      <c r="T3" s="335"/>
      <c r="U3" s="563" t="s">
        <v>3</v>
      </c>
      <c r="V3" s="564"/>
      <c r="W3" s="564"/>
      <c r="X3" s="564"/>
      <c r="Y3" s="564"/>
      <c r="Z3" s="564"/>
      <c r="AA3" s="565"/>
      <c r="AB3" s="563" t="s">
        <v>4</v>
      </c>
      <c r="AC3" s="564"/>
      <c r="AD3" s="564"/>
      <c r="AE3" s="564"/>
      <c r="AF3" s="564"/>
      <c r="AG3" s="564"/>
      <c r="AH3" s="564"/>
      <c r="AI3" s="565"/>
      <c r="AJ3" s="335"/>
      <c r="AK3" s="563" t="s">
        <v>5</v>
      </c>
      <c r="AL3" s="564"/>
      <c r="AM3" s="564"/>
      <c r="AN3" s="564"/>
      <c r="AO3" s="564"/>
      <c r="AP3" s="565"/>
      <c r="AQ3" s="563" t="s">
        <v>6</v>
      </c>
      <c r="AR3" s="564"/>
      <c r="AS3" s="564"/>
      <c r="AT3" s="564"/>
      <c r="AU3" s="564"/>
      <c r="AV3" s="565"/>
      <c r="AW3" s="563" t="s">
        <v>7</v>
      </c>
      <c r="AX3" s="564"/>
      <c r="AY3" s="564"/>
      <c r="AZ3" s="564"/>
      <c r="BA3" s="564"/>
      <c r="BB3" s="564"/>
      <c r="BC3" s="564"/>
      <c r="BD3" s="564"/>
      <c r="BE3" s="336"/>
      <c r="BF3" s="563" t="s">
        <v>35</v>
      </c>
      <c r="BG3" s="564"/>
      <c r="BH3" s="564"/>
      <c r="BI3" s="564"/>
      <c r="BJ3" s="564"/>
      <c r="BK3" s="564"/>
      <c r="BL3" s="564"/>
      <c r="BM3" s="565"/>
      <c r="BO3" s="563" t="s">
        <v>36</v>
      </c>
      <c r="BP3" s="564"/>
      <c r="BQ3" s="564"/>
      <c r="BR3" s="564"/>
      <c r="BS3" s="335"/>
      <c r="BT3" s="337"/>
    </row>
    <row r="4" spans="2:76" s="338" customFormat="1">
      <c r="D4" s="339">
        <v>2019</v>
      </c>
      <c r="E4" s="340">
        <v>2021</v>
      </c>
      <c r="F4" s="340">
        <v>2022</v>
      </c>
      <c r="G4" s="340">
        <v>2023</v>
      </c>
      <c r="H4" s="340">
        <v>2024</v>
      </c>
      <c r="I4" s="340">
        <v>2025</v>
      </c>
      <c r="J4" s="340">
        <v>2026</v>
      </c>
      <c r="K4" s="341" t="s">
        <v>37</v>
      </c>
      <c r="L4" s="339">
        <v>2019</v>
      </c>
      <c r="M4" s="340">
        <v>2021</v>
      </c>
      <c r="N4" s="340">
        <v>2022</v>
      </c>
      <c r="O4" s="340">
        <v>2023</v>
      </c>
      <c r="P4" s="340">
        <v>2024</v>
      </c>
      <c r="Q4" s="340">
        <v>2025</v>
      </c>
      <c r="R4" s="340">
        <v>2026</v>
      </c>
      <c r="S4" s="341" t="s">
        <v>37</v>
      </c>
      <c r="T4" s="342" t="s">
        <v>38</v>
      </c>
      <c r="U4" s="339">
        <v>2021</v>
      </c>
      <c r="V4" s="340">
        <v>2022</v>
      </c>
      <c r="W4" s="340">
        <v>2023</v>
      </c>
      <c r="X4" s="340">
        <v>2024</v>
      </c>
      <c r="Y4" s="340">
        <v>2025</v>
      </c>
      <c r="Z4" s="340">
        <v>2026</v>
      </c>
      <c r="AA4" s="341" t="s">
        <v>37</v>
      </c>
      <c r="AB4" s="339">
        <v>2019</v>
      </c>
      <c r="AC4" s="340">
        <v>2021</v>
      </c>
      <c r="AD4" s="340">
        <v>2022</v>
      </c>
      <c r="AE4" s="340">
        <v>2023</v>
      </c>
      <c r="AF4" s="340">
        <v>2024</v>
      </c>
      <c r="AG4" s="340">
        <v>2025</v>
      </c>
      <c r="AH4" s="340">
        <v>2026</v>
      </c>
      <c r="AI4" s="341" t="s">
        <v>37</v>
      </c>
      <c r="AJ4" s="342" t="s">
        <v>38</v>
      </c>
      <c r="AK4" s="339">
        <v>2022</v>
      </c>
      <c r="AL4" s="340">
        <v>2023</v>
      </c>
      <c r="AM4" s="340">
        <v>2024</v>
      </c>
      <c r="AN4" s="340">
        <v>2025</v>
      </c>
      <c r="AO4" s="340">
        <v>2026</v>
      </c>
      <c r="AP4" s="341" t="s">
        <v>37</v>
      </c>
      <c r="AQ4" s="339">
        <v>2022</v>
      </c>
      <c r="AR4" s="340">
        <v>2023</v>
      </c>
      <c r="AS4" s="340">
        <v>2024</v>
      </c>
      <c r="AT4" s="340">
        <v>2025</v>
      </c>
      <c r="AU4" s="340">
        <v>2026</v>
      </c>
      <c r="AV4" s="341" t="s">
        <v>37</v>
      </c>
      <c r="AW4" s="343">
        <v>2019</v>
      </c>
      <c r="AX4" s="342">
        <v>2021</v>
      </c>
      <c r="AY4" s="342">
        <v>2022</v>
      </c>
      <c r="AZ4" s="342">
        <v>2023</v>
      </c>
      <c r="BA4" s="342">
        <v>2024</v>
      </c>
      <c r="BB4" s="342">
        <v>2025</v>
      </c>
      <c r="BC4" s="342">
        <v>2026</v>
      </c>
      <c r="BD4" s="342" t="s">
        <v>37</v>
      </c>
      <c r="BE4" s="344" t="s">
        <v>38</v>
      </c>
      <c r="BF4" s="343">
        <v>2019</v>
      </c>
      <c r="BG4" s="342">
        <v>2021</v>
      </c>
      <c r="BH4" s="342">
        <v>2022</v>
      </c>
      <c r="BI4" s="342">
        <v>2023</v>
      </c>
      <c r="BJ4" s="342">
        <v>2024</v>
      </c>
      <c r="BK4" s="342">
        <v>2025</v>
      </c>
      <c r="BL4" s="342">
        <v>2026</v>
      </c>
      <c r="BM4" s="344" t="s">
        <v>39</v>
      </c>
      <c r="BO4" s="339">
        <v>2022</v>
      </c>
      <c r="BP4" s="340">
        <v>2023</v>
      </c>
      <c r="BQ4" s="340">
        <v>2024</v>
      </c>
      <c r="BR4" s="340">
        <v>2025</v>
      </c>
      <c r="BS4" s="340">
        <v>2026</v>
      </c>
      <c r="BT4" s="341" t="s">
        <v>40</v>
      </c>
    </row>
    <row r="5" spans="2:76" ht="5.75" customHeight="1">
      <c r="U5" s="345"/>
      <c r="AA5" s="346"/>
      <c r="AK5" s="345"/>
      <c r="AP5" s="346"/>
      <c r="AW5" s="345"/>
      <c r="BE5" s="346"/>
      <c r="BF5" s="345"/>
      <c r="BM5" s="346"/>
      <c r="BO5" s="345"/>
      <c r="BT5" s="346"/>
    </row>
    <row r="6" spans="2:76">
      <c r="B6" s="347" t="s">
        <v>41</v>
      </c>
      <c r="C6" s="348"/>
      <c r="D6" s="349"/>
      <c r="E6" s="350">
        <v>482267</v>
      </c>
      <c r="F6" s="351">
        <v>752821</v>
      </c>
      <c r="G6" s="352">
        <v>678734</v>
      </c>
      <c r="H6" s="352">
        <v>696132</v>
      </c>
      <c r="I6" s="352">
        <v>743934</v>
      </c>
      <c r="J6" s="353">
        <v>740093</v>
      </c>
      <c r="K6" s="354">
        <f>J6/I6-1</f>
        <v>-5.1630924248656784E-3</v>
      </c>
      <c r="L6" s="351">
        <v>249843</v>
      </c>
      <c r="M6" s="352">
        <v>110865</v>
      </c>
      <c r="N6" s="352">
        <v>174664</v>
      </c>
      <c r="O6" s="352">
        <v>242250</v>
      </c>
      <c r="P6" s="352">
        <v>224082</v>
      </c>
      <c r="Q6" s="352">
        <v>227640</v>
      </c>
      <c r="R6" s="353">
        <v>259636</v>
      </c>
      <c r="S6" s="355">
        <f>R6/Q6-1</f>
        <v>0.14055526269548402</v>
      </c>
      <c r="T6" s="356" t="e">
        <f>(#REF!-#REF!)/#REF!</f>
        <v>#REF!</v>
      </c>
      <c r="U6" s="351">
        <v>222835</v>
      </c>
      <c r="V6" s="352">
        <v>292262</v>
      </c>
      <c r="W6" s="352">
        <v>310126</v>
      </c>
      <c r="X6" s="352">
        <v>286360</v>
      </c>
      <c r="Y6" s="352">
        <v>306893</v>
      </c>
      <c r="Z6" s="353">
        <v>263519</v>
      </c>
      <c r="AA6" s="357">
        <f>Z6/Y6-1</f>
        <v>-0.14133264688344149</v>
      </c>
      <c r="AB6" s="351">
        <v>259830</v>
      </c>
      <c r="AC6" s="352">
        <v>181024</v>
      </c>
      <c r="AD6" s="352">
        <v>242902</v>
      </c>
      <c r="AE6" s="352">
        <v>228128</v>
      </c>
      <c r="AF6" s="352">
        <v>243138</v>
      </c>
      <c r="AG6" s="352">
        <v>213434</v>
      </c>
      <c r="AH6" s="353">
        <v>201055</v>
      </c>
      <c r="AI6" s="358">
        <f>AH6/AG6-1</f>
        <v>-5.7999194130269771E-2</v>
      </c>
      <c r="AJ6" s="359" t="e">
        <f>(#REF!-#REF!)/#REF!</f>
        <v>#REF!</v>
      </c>
      <c r="AK6" s="351">
        <v>0</v>
      </c>
      <c r="AL6" s="352">
        <v>421720</v>
      </c>
      <c r="AM6" s="352">
        <v>435093</v>
      </c>
      <c r="AN6" s="352">
        <v>475835</v>
      </c>
      <c r="AO6" s="353">
        <v>497897</v>
      </c>
      <c r="AP6" s="354">
        <f>AO6/AN6-1</f>
        <v>4.6364811331659039E-2</v>
      </c>
      <c r="AQ6" s="351">
        <v>76838</v>
      </c>
      <c r="AR6" s="352">
        <v>183628</v>
      </c>
      <c r="AS6" s="352">
        <v>188625</v>
      </c>
      <c r="AT6" s="352">
        <v>209485</v>
      </c>
      <c r="AU6" s="353">
        <v>214814</v>
      </c>
      <c r="AV6" s="354">
        <f>AU6/AT6-1</f>
        <v>2.5438575554335596E-2</v>
      </c>
      <c r="AW6" s="351">
        <v>198967</v>
      </c>
      <c r="AX6" s="352">
        <v>118212</v>
      </c>
      <c r="AY6" s="352">
        <v>147318</v>
      </c>
      <c r="AZ6" s="352">
        <v>164737</v>
      </c>
      <c r="BA6" s="352">
        <v>154632</v>
      </c>
      <c r="BB6" s="360">
        <v>167408</v>
      </c>
      <c r="BC6" s="361">
        <v>161173</v>
      </c>
      <c r="BD6" s="355">
        <f>BC6/BB6-1</f>
        <v>-3.7244337188186982E-2</v>
      </c>
      <c r="BE6" s="356">
        <f t="shared" ref="BE6:BE17" si="0">(BA6-AW6)/AW6</f>
        <v>-0.22282589575155679</v>
      </c>
      <c r="BF6" s="362">
        <f>D6+L6+AB6+AW6</f>
        <v>708640</v>
      </c>
      <c r="BG6" s="363">
        <f>E6+M6+U6+AC6+AX6</f>
        <v>1115203</v>
      </c>
      <c r="BH6" s="364">
        <f t="shared" ref="BH6:BL8" si="1">F6+N6+V6+AD6+AK6+AQ6+AY6</f>
        <v>1686805</v>
      </c>
      <c r="BI6" s="364">
        <f t="shared" si="1"/>
        <v>2229323</v>
      </c>
      <c r="BJ6" s="364">
        <f t="shared" si="1"/>
        <v>2228062</v>
      </c>
      <c r="BK6" s="364">
        <f t="shared" si="1"/>
        <v>2344629</v>
      </c>
      <c r="BL6" s="365">
        <f t="shared" si="1"/>
        <v>2338187</v>
      </c>
      <c r="BM6" s="366">
        <f>BL6/BK6-1</f>
        <v>-2.7475562231806805E-3</v>
      </c>
      <c r="BO6" s="362">
        <f>F6+N6+V6+AD6+AK6+AQ6</f>
        <v>1539487</v>
      </c>
      <c r="BP6" s="363">
        <f>G6+O6+W6+AE6+AL6+AR6</f>
        <v>2064586</v>
      </c>
      <c r="BQ6" s="363">
        <f>H6+P6+X6+AF6+AM6+AS6</f>
        <v>2073430</v>
      </c>
      <c r="BR6" s="363">
        <f>I6+Q6+Y6+AG6+AN6+AT6</f>
        <v>2177221</v>
      </c>
      <c r="BS6" s="367">
        <f t="shared" ref="BS6:BS11" si="2">BL6-BC6</f>
        <v>2177014</v>
      </c>
      <c r="BT6" s="368">
        <f>BS6/BR6-1</f>
        <v>-9.5075327676941157E-5</v>
      </c>
    </row>
    <row r="7" spans="2:76">
      <c r="B7" s="369" t="s">
        <v>42</v>
      </c>
      <c r="C7" s="370"/>
      <c r="D7" s="371"/>
      <c r="E7" s="372">
        <v>520120</v>
      </c>
      <c r="F7" s="373">
        <v>753665</v>
      </c>
      <c r="G7" s="372">
        <v>661160</v>
      </c>
      <c r="H7" s="372">
        <v>650426</v>
      </c>
      <c r="I7" s="372">
        <v>763733</v>
      </c>
      <c r="J7" s="374">
        <v>637417</v>
      </c>
      <c r="K7" s="375">
        <f t="shared" ref="K7:K17" si="3">J7/I7-1</f>
        <v>-0.16539287944870784</v>
      </c>
      <c r="L7" s="373">
        <v>195031</v>
      </c>
      <c r="M7" s="372">
        <v>114747</v>
      </c>
      <c r="N7" s="372">
        <v>180596</v>
      </c>
      <c r="O7" s="372">
        <v>214033</v>
      </c>
      <c r="P7" s="372">
        <v>201917</v>
      </c>
      <c r="Q7" s="372">
        <v>210304</v>
      </c>
      <c r="R7" s="374">
        <v>225989</v>
      </c>
      <c r="S7" s="376">
        <f t="shared" ref="S7:S17" si="4">R7/Q7-1</f>
        <v>7.4582509129640817E-2</v>
      </c>
      <c r="T7" s="377" t="e">
        <f>(#REF!-#REF!)/#REF!</f>
        <v>#REF!</v>
      </c>
      <c r="U7" s="373">
        <v>244975</v>
      </c>
      <c r="V7" s="372">
        <v>280076</v>
      </c>
      <c r="W7" s="372">
        <v>283588</v>
      </c>
      <c r="X7" s="372">
        <v>274516</v>
      </c>
      <c r="Y7" s="372">
        <v>284351</v>
      </c>
      <c r="Z7" s="374">
        <v>220264</v>
      </c>
      <c r="AA7" s="378">
        <f t="shared" ref="AA7:AA17" si="5">Z7/Y7-1</f>
        <v>-0.22537990019377463</v>
      </c>
      <c r="AB7" s="373">
        <v>235904</v>
      </c>
      <c r="AC7" s="372">
        <v>181823</v>
      </c>
      <c r="AD7" s="372">
        <v>226652</v>
      </c>
      <c r="AE7" s="372">
        <v>214347</v>
      </c>
      <c r="AF7" s="372">
        <v>230662</v>
      </c>
      <c r="AG7" s="372">
        <v>206159</v>
      </c>
      <c r="AH7" s="374">
        <v>190497</v>
      </c>
      <c r="AI7" s="379">
        <f t="shared" ref="AI7:AI17" si="6">AH7/AG7-1</f>
        <v>-7.5970488797481583E-2</v>
      </c>
      <c r="AJ7" s="377" t="e">
        <f>(#REF!-#REF!)/#REF!</f>
        <v>#REF!</v>
      </c>
      <c r="AK7" s="373">
        <v>0</v>
      </c>
      <c r="AL7" s="372">
        <v>399175</v>
      </c>
      <c r="AM7" s="372">
        <v>401195</v>
      </c>
      <c r="AN7" s="372">
        <v>452820</v>
      </c>
      <c r="AO7" s="374">
        <v>449272</v>
      </c>
      <c r="AP7" s="375">
        <f t="shared" ref="AP7:AP17" si="7">AO7/AN7-1</f>
        <v>-7.8353429618832626E-3</v>
      </c>
      <c r="AQ7" s="373">
        <v>85678</v>
      </c>
      <c r="AR7" s="372">
        <v>172325</v>
      </c>
      <c r="AS7" s="372">
        <v>171179</v>
      </c>
      <c r="AT7" s="372">
        <v>203585</v>
      </c>
      <c r="AU7" s="374">
        <v>216079</v>
      </c>
      <c r="AV7" s="375">
        <f t="shared" ref="AV7:AV17" si="8">AU7/AT7-1</f>
        <v>6.1369943758135426E-2</v>
      </c>
      <c r="AW7" s="373">
        <v>170315</v>
      </c>
      <c r="AX7" s="372">
        <v>101054</v>
      </c>
      <c r="AY7" s="372">
        <v>144817</v>
      </c>
      <c r="AZ7" s="372">
        <v>148918</v>
      </c>
      <c r="BA7" s="372">
        <v>142102</v>
      </c>
      <c r="BB7" s="380">
        <v>140247</v>
      </c>
      <c r="BC7" s="381">
        <v>137690</v>
      </c>
      <c r="BD7" s="376">
        <f t="shared" ref="BD7:BD17" si="9">BC7/BB7-1</f>
        <v>-1.8232119047109752E-2</v>
      </c>
      <c r="BE7" s="356">
        <f>(BA7-AW7)/AW7</f>
        <v>-0.16565188033937117</v>
      </c>
      <c r="BF7" s="382">
        <f>D7+L7+AB7+AW7</f>
        <v>601250</v>
      </c>
      <c r="BG7" s="383">
        <f>E7+M7+U7+AC7+AX7</f>
        <v>1162719</v>
      </c>
      <c r="BH7" s="384">
        <f t="shared" si="1"/>
        <v>1671484</v>
      </c>
      <c r="BI7" s="384">
        <f t="shared" si="1"/>
        <v>2093546</v>
      </c>
      <c r="BJ7" s="384">
        <f t="shared" si="1"/>
        <v>2071997</v>
      </c>
      <c r="BK7" s="384">
        <f t="shared" si="1"/>
        <v>2261199</v>
      </c>
      <c r="BL7" s="385">
        <f t="shared" si="1"/>
        <v>2077208</v>
      </c>
      <c r="BM7" s="386">
        <f t="shared" ref="BM7:BM17" si="10">BL7/BK7-1</f>
        <v>-8.1368778245523687E-2</v>
      </c>
      <c r="BO7" s="382">
        <f t="shared" ref="BO7:BO17" si="11">F7+N7+V7+AD7+AK7+AQ7</f>
        <v>1526667</v>
      </c>
      <c r="BP7" s="383">
        <f t="shared" ref="BP7:BP17" si="12">G7+O7+W7+AE7+AL7+AR7</f>
        <v>1944628</v>
      </c>
      <c r="BQ7" s="383">
        <f t="shared" ref="BQ7:BQ17" si="13">H7+P7+X7+AF7+AM7+AS7</f>
        <v>1929895</v>
      </c>
      <c r="BR7" s="383">
        <f t="shared" ref="BR7:BR17" si="14">I7+Q7+Y7+AG7+AN7+AT7</f>
        <v>2120952</v>
      </c>
      <c r="BS7" s="367">
        <f t="shared" si="2"/>
        <v>1939518</v>
      </c>
      <c r="BT7" s="387">
        <f t="shared" ref="BT7:BT17" si="15">BS7/BR7-1</f>
        <v>-8.5543661525579129E-2</v>
      </c>
    </row>
    <row r="8" spans="2:76">
      <c r="B8" s="369" t="s">
        <v>43</v>
      </c>
      <c r="C8" s="370"/>
      <c r="D8" s="371"/>
      <c r="E8" s="372">
        <v>593586</v>
      </c>
      <c r="F8" s="373">
        <v>849273</v>
      </c>
      <c r="G8" s="372">
        <v>709505</v>
      </c>
      <c r="H8" s="372">
        <v>708853</v>
      </c>
      <c r="I8" s="372">
        <v>809164</v>
      </c>
      <c r="J8" s="374">
        <v>725704</v>
      </c>
      <c r="K8" s="375">
        <f t="shared" si="3"/>
        <v>-0.10314349130707745</v>
      </c>
      <c r="L8" s="373">
        <v>218923</v>
      </c>
      <c r="M8" s="372">
        <v>157203</v>
      </c>
      <c r="N8" s="372">
        <v>224286</v>
      </c>
      <c r="O8" s="372">
        <v>231610</v>
      </c>
      <c r="P8" s="372">
        <v>241982</v>
      </c>
      <c r="Q8" s="372">
        <v>228735</v>
      </c>
      <c r="R8" s="374">
        <v>265327</v>
      </c>
      <c r="S8" s="376">
        <f t="shared" si="4"/>
        <v>0.15997551752027461</v>
      </c>
      <c r="T8" s="377" t="e">
        <f>(#REF!-#REF!)/#REF!</f>
        <v>#REF!</v>
      </c>
      <c r="U8" s="373">
        <v>247166</v>
      </c>
      <c r="V8" s="372">
        <v>333510</v>
      </c>
      <c r="W8" s="372">
        <v>349287</v>
      </c>
      <c r="X8" s="372">
        <v>326083</v>
      </c>
      <c r="Y8" s="372">
        <v>280293</v>
      </c>
      <c r="Z8" s="374">
        <v>262109</v>
      </c>
      <c r="AA8" s="378">
        <f t="shared" si="5"/>
        <v>-6.4874970120552433E-2</v>
      </c>
      <c r="AB8" s="373">
        <v>316594</v>
      </c>
      <c r="AC8" s="372">
        <v>230551</v>
      </c>
      <c r="AD8" s="372">
        <v>246517</v>
      </c>
      <c r="AE8" s="372">
        <v>238550</v>
      </c>
      <c r="AF8" s="372">
        <v>257638</v>
      </c>
      <c r="AG8" s="372">
        <v>224979</v>
      </c>
      <c r="AH8" s="374">
        <v>208718</v>
      </c>
      <c r="AI8" s="379">
        <f t="shared" si="6"/>
        <v>-7.2277857044435234E-2</v>
      </c>
      <c r="AJ8" s="356" t="e">
        <f>(#REF!-#REF!)/#REF!</f>
        <v>#REF!</v>
      </c>
      <c r="AK8" s="373">
        <v>0</v>
      </c>
      <c r="AL8" s="372">
        <v>448071</v>
      </c>
      <c r="AM8" s="372">
        <v>428155</v>
      </c>
      <c r="AN8" s="372">
        <v>509788</v>
      </c>
      <c r="AO8" s="374">
        <v>507958</v>
      </c>
      <c r="AP8" s="375">
        <f t="shared" si="7"/>
        <v>-3.5897274945663193E-3</v>
      </c>
      <c r="AQ8" s="373">
        <v>122242</v>
      </c>
      <c r="AR8" s="372">
        <v>198118</v>
      </c>
      <c r="AS8" s="372">
        <v>206148</v>
      </c>
      <c r="AT8" s="372">
        <v>238076</v>
      </c>
      <c r="AU8" s="374">
        <v>233906</v>
      </c>
      <c r="AV8" s="375">
        <f t="shared" si="8"/>
        <v>-1.7515415245551891E-2</v>
      </c>
      <c r="AW8" s="373">
        <v>203722</v>
      </c>
      <c r="AX8" s="372">
        <v>147401</v>
      </c>
      <c r="AY8" s="372">
        <v>167384</v>
      </c>
      <c r="AZ8" s="372">
        <v>171191</v>
      </c>
      <c r="BA8" s="372">
        <v>157542</v>
      </c>
      <c r="BB8" s="380">
        <v>164010</v>
      </c>
      <c r="BC8" s="381">
        <v>157705</v>
      </c>
      <c r="BD8" s="376">
        <f t="shared" si="9"/>
        <v>-3.8442777879397649E-2</v>
      </c>
      <c r="BE8" s="356">
        <f t="shared" si="0"/>
        <v>-0.22668145806540285</v>
      </c>
      <c r="BF8" s="382">
        <f t="shared" ref="BF8:BF17" si="16">D8+L8+AB8+AW8</f>
        <v>739239</v>
      </c>
      <c r="BG8" s="383">
        <f t="shared" ref="BG8:BG17" si="17">E8+M8+U8+AC8+AX8</f>
        <v>1375907</v>
      </c>
      <c r="BH8" s="384">
        <f t="shared" ref="BH8:BH17" si="18">F8+N8+V8+AD8+AK8+AQ8+AY8</f>
        <v>1943212</v>
      </c>
      <c r="BI8" s="384">
        <f t="shared" ref="BI8:BI17" si="19">G8+O8+W8+AE8+AL8+AR8+AZ8</f>
        <v>2346332</v>
      </c>
      <c r="BJ8" s="384">
        <f t="shared" ref="BJ8:BJ17" si="20">H8+P8+X8+AF8+AM8+AS8+BA8</f>
        <v>2326401</v>
      </c>
      <c r="BK8" s="384">
        <f t="shared" ref="BK8:BK17" si="21">I8+Q8+Y8+AG8+AN8+AT8+BB8</f>
        <v>2455045</v>
      </c>
      <c r="BL8" s="385">
        <f t="shared" si="1"/>
        <v>2361427</v>
      </c>
      <c r="BM8" s="386">
        <f t="shared" si="10"/>
        <v>-3.8132905914148196E-2</v>
      </c>
      <c r="BO8" s="382">
        <f t="shared" si="11"/>
        <v>1775828</v>
      </c>
      <c r="BP8" s="383">
        <f t="shared" si="12"/>
        <v>2175141</v>
      </c>
      <c r="BQ8" s="383">
        <f t="shared" si="13"/>
        <v>2168859</v>
      </c>
      <c r="BR8" s="383">
        <f t="shared" si="14"/>
        <v>2291035</v>
      </c>
      <c r="BS8" s="367">
        <f t="shared" si="2"/>
        <v>2203722</v>
      </c>
      <c r="BT8" s="387">
        <f t="shared" si="15"/>
        <v>-3.8110722882889192E-2</v>
      </c>
      <c r="BX8" s="338"/>
    </row>
    <row r="9" spans="2:76">
      <c r="B9" s="369" t="s">
        <v>44</v>
      </c>
      <c r="C9" s="370"/>
      <c r="D9" s="371"/>
      <c r="E9" s="372">
        <v>619980</v>
      </c>
      <c r="F9" s="373">
        <v>846339</v>
      </c>
      <c r="G9" s="372">
        <v>759696</v>
      </c>
      <c r="H9" s="372">
        <v>696227</v>
      </c>
      <c r="I9" s="372">
        <v>865991</v>
      </c>
      <c r="J9" s="374">
        <v>764187</v>
      </c>
      <c r="K9" s="375">
        <f t="shared" si="3"/>
        <v>-0.11755780371851443</v>
      </c>
      <c r="L9" s="373">
        <v>233301</v>
      </c>
      <c r="M9" s="372">
        <v>165241</v>
      </c>
      <c r="N9" s="372">
        <v>236347</v>
      </c>
      <c r="O9" s="372">
        <v>291669</v>
      </c>
      <c r="P9" s="372">
        <v>215099</v>
      </c>
      <c r="Q9" s="372">
        <v>257730</v>
      </c>
      <c r="R9" s="374">
        <v>300036</v>
      </c>
      <c r="S9" s="376">
        <f t="shared" si="4"/>
        <v>0.16414852752880926</v>
      </c>
      <c r="T9" s="356" t="e">
        <f>(#REF!-#REF!)/#REF!</f>
        <v>#REF!</v>
      </c>
      <c r="U9" s="373">
        <v>274260</v>
      </c>
      <c r="V9" s="372">
        <v>323452</v>
      </c>
      <c r="W9" s="372">
        <v>337512</v>
      </c>
      <c r="X9" s="372">
        <v>295732</v>
      </c>
      <c r="Y9" s="372">
        <v>337619</v>
      </c>
      <c r="Z9" s="374">
        <v>280883</v>
      </c>
      <c r="AA9" s="378">
        <f t="shared" si="5"/>
        <v>-0.1680474143931473</v>
      </c>
      <c r="AB9" s="373">
        <v>347108</v>
      </c>
      <c r="AC9" s="372">
        <v>238188</v>
      </c>
      <c r="AD9" s="372">
        <v>253439</v>
      </c>
      <c r="AE9" s="372">
        <v>273503</v>
      </c>
      <c r="AF9" s="372">
        <v>243142</v>
      </c>
      <c r="AG9" s="372">
        <v>232372</v>
      </c>
      <c r="AH9" s="374">
        <v>222881</v>
      </c>
      <c r="AI9" s="379">
        <f t="shared" si="6"/>
        <v>-4.08439915308213E-2</v>
      </c>
      <c r="AJ9" s="356" t="e">
        <f>(#REF!-#REF!)/#REF!</f>
        <v>#REF!</v>
      </c>
      <c r="AK9" s="373">
        <v>0</v>
      </c>
      <c r="AL9" s="372">
        <v>492565</v>
      </c>
      <c r="AM9" s="372">
        <v>445043</v>
      </c>
      <c r="AN9" s="372">
        <v>513338</v>
      </c>
      <c r="AO9" s="374">
        <v>509544</v>
      </c>
      <c r="AP9" s="375">
        <f t="shared" si="7"/>
        <v>-7.3908419014372395E-3</v>
      </c>
      <c r="AQ9" s="373">
        <v>123629</v>
      </c>
      <c r="AR9" s="372">
        <v>217541</v>
      </c>
      <c r="AS9" s="372">
        <v>194537</v>
      </c>
      <c r="AT9" s="372">
        <v>220625</v>
      </c>
      <c r="AU9" s="374">
        <v>247647</v>
      </c>
      <c r="AV9" s="375">
        <f t="shared" si="8"/>
        <v>0.12247932011331453</v>
      </c>
      <c r="AW9" s="373">
        <v>218492</v>
      </c>
      <c r="AX9" s="372">
        <v>142542</v>
      </c>
      <c r="AY9" s="372">
        <v>177057</v>
      </c>
      <c r="AZ9" s="372">
        <v>188529</v>
      </c>
      <c r="BA9" s="372">
        <v>163947</v>
      </c>
      <c r="BB9" s="380">
        <v>174788</v>
      </c>
      <c r="BC9" s="381">
        <v>165525</v>
      </c>
      <c r="BD9" s="376">
        <f t="shared" si="9"/>
        <v>-5.2995628990548549E-2</v>
      </c>
      <c r="BE9" s="356">
        <f t="shared" si="0"/>
        <v>-0.24964300752430296</v>
      </c>
      <c r="BF9" s="382">
        <f t="shared" si="16"/>
        <v>798901</v>
      </c>
      <c r="BG9" s="383">
        <f t="shared" si="17"/>
        <v>1440211</v>
      </c>
      <c r="BH9" s="384">
        <f t="shared" si="18"/>
        <v>1960263</v>
      </c>
      <c r="BI9" s="384">
        <f t="shared" si="19"/>
        <v>2561015</v>
      </c>
      <c r="BJ9" s="384">
        <f t="shared" si="20"/>
        <v>2253727</v>
      </c>
      <c r="BK9" s="384">
        <f t="shared" si="21"/>
        <v>2602463</v>
      </c>
      <c r="BL9" s="385">
        <f>J9+R9+Z9+AH9+AO9+AU9+BC9</f>
        <v>2490703</v>
      </c>
      <c r="BM9" s="386">
        <f t="shared" si="10"/>
        <v>-4.2943934265347816E-2</v>
      </c>
      <c r="BO9" s="382">
        <f t="shared" si="11"/>
        <v>1783206</v>
      </c>
      <c r="BP9" s="383">
        <f t="shared" si="12"/>
        <v>2372486</v>
      </c>
      <c r="BQ9" s="383">
        <f t="shared" si="13"/>
        <v>2089780</v>
      </c>
      <c r="BR9" s="383">
        <f t="shared" si="14"/>
        <v>2427675</v>
      </c>
      <c r="BS9" s="367">
        <f t="shared" si="2"/>
        <v>2325178</v>
      </c>
      <c r="BT9" s="387">
        <f t="shared" si="15"/>
        <v>-4.2220231291256072E-2</v>
      </c>
      <c r="BW9" s="333"/>
      <c r="BX9" s="388"/>
    </row>
    <row r="10" spans="2:76">
      <c r="B10" s="369" t="s">
        <v>45</v>
      </c>
      <c r="C10" s="370"/>
      <c r="D10" s="371"/>
      <c r="E10" s="372">
        <v>620027</v>
      </c>
      <c r="F10" s="373">
        <v>829202</v>
      </c>
      <c r="G10" s="372">
        <v>746208</v>
      </c>
      <c r="H10" s="372">
        <v>736633</v>
      </c>
      <c r="I10" s="372">
        <v>785377</v>
      </c>
      <c r="J10" s="374">
        <v>812605</v>
      </c>
      <c r="K10" s="375">
        <f t="shared" si="3"/>
        <v>3.4668700509436823E-2</v>
      </c>
      <c r="L10" s="373">
        <v>233823</v>
      </c>
      <c r="M10" s="372">
        <v>175254</v>
      </c>
      <c r="N10" s="372">
        <v>255246</v>
      </c>
      <c r="O10" s="372">
        <v>268229</v>
      </c>
      <c r="P10" s="372">
        <v>222143</v>
      </c>
      <c r="Q10" s="372">
        <v>290595</v>
      </c>
      <c r="R10" s="374">
        <v>306345</v>
      </c>
      <c r="S10" s="376">
        <f t="shared" si="4"/>
        <v>5.4199143137356076E-2</v>
      </c>
      <c r="T10" s="356" t="e">
        <f>(#REF!-#REF!)/#REF!</f>
        <v>#REF!</v>
      </c>
      <c r="U10" s="373">
        <v>327330</v>
      </c>
      <c r="V10" s="372">
        <v>362060</v>
      </c>
      <c r="W10" s="372">
        <v>338979</v>
      </c>
      <c r="X10" s="372">
        <v>332075</v>
      </c>
      <c r="Y10" s="372">
        <v>330098</v>
      </c>
      <c r="Z10" s="374">
        <v>291001</v>
      </c>
      <c r="AA10" s="378">
        <f t="shared" si="5"/>
        <v>-0.11844058431132576</v>
      </c>
      <c r="AB10" s="373">
        <v>362913</v>
      </c>
      <c r="AC10" s="372">
        <v>256566</v>
      </c>
      <c r="AD10" s="372">
        <v>264743</v>
      </c>
      <c r="AE10" s="372">
        <v>288261</v>
      </c>
      <c r="AF10" s="372">
        <v>256225</v>
      </c>
      <c r="AG10" s="372">
        <v>249823</v>
      </c>
      <c r="AH10" s="374">
        <v>218502</v>
      </c>
      <c r="AI10" s="379">
        <f t="shared" si="6"/>
        <v>-0.12537276391685315</v>
      </c>
      <c r="AJ10" s="356" t="e">
        <f>(#REF!-#REF!)/#REF!</f>
        <v>#REF!</v>
      </c>
      <c r="AK10" s="373">
        <v>0</v>
      </c>
      <c r="AL10" s="372">
        <v>476245</v>
      </c>
      <c r="AM10" s="372">
        <v>463962</v>
      </c>
      <c r="AN10" s="372">
        <v>528224</v>
      </c>
      <c r="AO10" s="374">
        <v>534464</v>
      </c>
      <c r="AP10" s="375">
        <f t="shared" si="7"/>
        <v>1.1813170170230869E-2</v>
      </c>
      <c r="AQ10" s="373">
        <v>135928</v>
      </c>
      <c r="AR10" s="372">
        <v>204879</v>
      </c>
      <c r="AS10" s="372">
        <v>194126</v>
      </c>
      <c r="AT10" s="372">
        <v>243123</v>
      </c>
      <c r="AU10" s="374">
        <v>264620</v>
      </c>
      <c r="AV10" s="375">
        <f t="shared" si="8"/>
        <v>8.8420264639709201E-2</v>
      </c>
      <c r="AW10" s="373">
        <v>215742</v>
      </c>
      <c r="AX10" s="372">
        <v>167216</v>
      </c>
      <c r="AY10" s="372">
        <v>194679</v>
      </c>
      <c r="AZ10" s="372">
        <v>194366</v>
      </c>
      <c r="BA10" s="372">
        <v>175238</v>
      </c>
      <c r="BB10" s="380">
        <v>180347</v>
      </c>
      <c r="BC10" s="381">
        <v>179911</v>
      </c>
      <c r="BD10" s="376">
        <f t="shared" si="9"/>
        <v>-2.4175617004995598E-3</v>
      </c>
      <c r="BE10" s="356">
        <f t="shared" si="0"/>
        <v>-0.18774276682333527</v>
      </c>
      <c r="BF10" s="382">
        <f t="shared" si="16"/>
        <v>812478</v>
      </c>
      <c r="BG10" s="383">
        <f t="shared" si="17"/>
        <v>1546393</v>
      </c>
      <c r="BH10" s="384">
        <f t="shared" si="18"/>
        <v>2041858</v>
      </c>
      <c r="BI10" s="384">
        <f t="shared" si="19"/>
        <v>2517167</v>
      </c>
      <c r="BJ10" s="384">
        <f t="shared" si="20"/>
        <v>2380402</v>
      </c>
      <c r="BK10" s="384">
        <f t="shared" si="21"/>
        <v>2607587</v>
      </c>
      <c r="BL10" s="385">
        <f>J10+R10+Z10+AH10+AO10+AU10+BC10</f>
        <v>2607448</v>
      </c>
      <c r="BM10" s="386">
        <f t="shared" si="10"/>
        <v>-5.3305987489538076E-5</v>
      </c>
      <c r="BO10" s="382">
        <f t="shared" si="11"/>
        <v>1847179</v>
      </c>
      <c r="BP10" s="383">
        <f t="shared" si="12"/>
        <v>2322801</v>
      </c>
      <c r="BQ10" s="383">
        <f t="shared" si="13"/>
        <v>2205164</v>
      </c>
      <c r="BR10" s="383">
        <f t="shared" si="14"/>
        <v>2427240</v>
      </c>
      <c r="BS10" s="367">
        <f t="shared" si="2"/>
        <v>2427537</v>
      </c>
      <c r="BT10" s="387">
        <f t="shared" si="15"/>
        <v>1.2236120037578679E-4</v>
      </c>
      <c r="BW10" s="333"/>
      <c r="BX10" s="388"/>
    </row>
    <row r="11" spans="2:76">
      <c r="B11" s="369" t="s">
        <v>46</v>
      </c>
      <c r="C11" s="370"/>
      <c r="D11" s="371"/>
      <c r="E11" s="372">
        <v>635304</v>
      </c>
      <c r="F11" s="373">
        <v>864854</v>
      </c>
      <c r="G11" s="372">
        <v>723640</v>
      </c>
      <c r="H11" s="372">
        <v>788108</v>
      </c>
      <c r="I11" s="372">
        <v>814248</v>
      </c>
      <c r="J11" s="374">
        <v>784503</v>
      </c>
      <c r="K11" s="375">
        <f t="shared" si="3"/>
        <v>-3.6530639313820834E-2</v>
      </c>
      <c r="L11" s="373">
        <v>272424</v>
      </c>
      <c r="M11" s="372">
        <v>206365</v>
      </c>
      <c r="N11" s="372">
        <v>265836</v>
      </c>
      <c r="O11" s="372">
        <v>270798</v>
      </c>
      <c r="P11" s="372">
        <v>267407</v>
      </c>
      <c r="Q11" s="372">
        <v>277144</v>
      </c>
      <c r="R11" s="374">
        <v>312646</v>
      </c>
      <c r="S11" s="376">
        <f t="shared" si="4"/>
        <v>0.12809947175475567</v>
      </c>
      <c r="T11" s="389" t="e">
        <f>(#REF!-#REF!)/#REF!</f>
        <v>#REF!</v>
      </c>
      <c r="U11" s="373">
        <v>345577</v>
      </c>
      <c r="V11" s="372">
        <v>369031</v>
      </c>
      <c r="W11" s="372">
        <v>318698</v>
      </c>
      <c r="X11" s="372">
        <v>382925</v>
      </c>
      <c r="Y11" s="372">
        <v>278079</v>
      </c>
      <c r="Z11" s="374">
        <v>296819</v>
      </c>
      <c r="AA11" s="378">
        <f t="shared" si="5"/>
        <v>6.7390921284958605E-2</v>
      </c>
      <c r="AB11" s="373">
        <v>433996</v>
      </c>
      <c r="AC11" s="372">
        <v>263396</v>
      </c>
      <c r="AD11" s="372">
        <v>252771</v>
      </c>
      <c r="AE11" s="372">
        <v>297612</v>
      </c>
      <c r="AF11" s="372">
        <v>284466</v>
      </c>
      <c r="AG11" s="372">
        <v>231875</v>
      </c>
      <c r="AH11" s="374">
        <v>214139</v>
      </c>
      <c r="AI11" s="379">
        <f t="shared" si="6"/>
        <v>-7.6489487870619932E-2</v>
      </c>
      <c r="AJ11" s="389" t="e">
        <f>(#REF!-#REF!)/#REF!</f>
        <v>#REF!</v>
      </c>
      <c r="AK11" s="373">
        <v>13790</v>
      </c>
      <c r="AL11" s="372">
        <v>460942</v>
      </c>
      <c r="AM11" s="372">
        <v>454055</v>
      </c>
      <c r="AN11" s="372">
        <v>519137</v>
      </c>
      <c r="AO11" s="374">
        <v>566311</v>
      </c>
      <c r="AP11" s="375">
        <f t="shared" si="7"/>
        <v>9.0870040085757608E-2</v>
      </c>
      <c r="AQ11" s="373">
        <v>171303</v>
      </c>
      <c r="AR11" s="372">
        <v>224107</v>
      </c>
      <c r="AS11" s="372">
        <v>228255</v>
      </c>
      <c r="AT11" s="372">
        <v>230376</v>
      </c>
      <c r="AU11" s="374">
        <v>272155</v>
      </c>
      <c r="AV11" s="375">
        <f t="shared" si="8"/>
        <v>0.1813513560440323</v>
      </c>
      <c r="AW11" s="373">
        <v>216646</v>
      </c>
      <c r="AX11" s="372">
        <v>143638</v>
      </c>
      <c r="AY11" s="372">
        <v>170460</v>
      </c>
      <c r="AZ11" s="372">
        <v>183931</v>
      </c>
      <c r="BA11" s="372">
        <v>188776</v>
      </c>
      <c r="BB11" s="380">
        <v>179446</v>
      </c>
      <c r="BC11" s="381">
        <v>168680</v>
      </c>
      <c r="BD11" s="376">
        <f t="shared" si="9"/>
        <v>-5.9995764742596713E-2</v>
      </c>
      <c r="BE11" s="389">
        <f t="shared" si="0"/>
        <v>-0.12864303979764224</v>
      </c>
      <c r="BF11" s="382">
        <f t="shared" si="16"/>
        <v>923066</v>
      </c>
      <c r="BG11" s="383">
        <f t="shared" si="17"/>
        <v>1594280</v>
      </c>
      <c r="BH11" s="384">
        <f t="shared" si="18"/>
        <v>2108045</v>
      </c>
      <c r="BI11" s="384">
        <f t="shared" si="19"/>
        <v>2479728</v>
      </c>
      <c r="BJ11" s="384">
        <f t="shared" si="20"/>
        <v>2593992</v>
      </c>
      <c r="BK11" s="384">
        <f t="shared" si="21"/>
        <v>2530305</v>
      </c>
      <c r="BL11" s="385">
        <f>J11+R11+Z11+AH11+AO11+AU11+BC11</f>
        <v>2615253</v>
      </c>
      <c r="BM11" s="386">
        <f t="shared" si="10"/>
        <v>3.3572237338976851E-2</v>
      </c>
      <c r="BO11" s="382">
        <f t="shared" si="11"/>
        <v>1937585</v>
      </c>
      <c r="BP11" s="383">
        <f t="shared" si="12"/>
        <v>2295797</v>
      </c>
      <c r="BQ11" s="383">
        <f t="shared" si="13"/>
        <v>2405216</v>
      </c>
      <c r="BR11" s="383">
        <f t="shared" si="14"/>
        <v>2350859</v>
      </c>
      <c r="BS11" s="367">
        <f t="shared" si="2"/>
        <v>2446573</v>
      </c>
      <c r="BT11" s="387">
        <f t="shared" si="15"/>
        <v>4.07144792605596E-2</v>
      </c>
      <c r="BW11" s="333"/>
      <c r="BX11" s="388"/>
    </row>
    <row r="12" spans="2:76">
      <c r="B12" s="369" t="s">
        <v>47</v>
      </c>
      <c r="C12" s="370"/>
      <c r="D12" s="371"/>
      <c r="E12" s="372">
        <v>673929</v>
      </c>
      <c r="F12" s="373">
        <v>977317</v>
      </c>
      <c r="G12" s="372">
        <v>756748</v>
      </c>
      <c r="H12" s="372">
        <v>770567</v>
      </c>
      <c r="I12" s="372">
        <v>821731</v>
      </c>
      <c r="J12" s="374"/>
      <c r="K12" s="375">
        <f t="shared" si="3"/>
        <v>-1</v>
      </c>
      <c r="L12" s="373">
        <v>278819</v>
      </c>
      <c r="M12" s="372">
        <v>192131</v>
      </c>
      <c r="N12" s="372">
        <v>287915</v>
      </c>
      <c r="O12" s="372">
        <v>288307</v>
      </c>
      <c r="P12" s="372">
        <v>260495</v>
      </c>
      <c r="Q12" s="372">
        <v>296218</v>
      </c>
      <c r="R12" s="374"/>
      <c r="S12" s="376">
        <f t="shared" si="4"/>
        <v>-1</v>
      </c>
      <c r="T12" s="389"/>
      <c r="U12" s="373">
        <v>363520</v>
      </c>
      <c r="V12" s="372">
        <v>394020</v>
      </c>
      <c r="W12" s="372">
        <v>375316</v>
      </c>
      <c r="X12" s="372">
        <v>376940</v>
      </c>
      <c r="Y12" s="372">
        <v>308525</v>
      </c>
      <c r="Z12" s="374"/>
      <c r="AA12" s="378">
        <f t="shared" si="5"/>
        <v>-1</v>
      </c>
      <c r="AB12" s="373">
        <v>453996</v>
      </c>
      <c r="AC12" s="372">
        <v>212913</v>
      </c>
      <c r="AD12" s="372">
        <v>289959</v>
      </c>
      <c r="AE12" s="372">
        <v>307240</v>
      </c>
      <c r="AF12" s="372">
        <v>362520</v>
      </c>
      <c r="AG12" s="372">
        <v>234942</v>
      </c>
      <c r="AH12" s="374"/>
      <c r="AI12" s="379">
        <f t="shared" si="6"/>
        <v>-1</v>
      </c>
      <c r="AJ12" s="389" t="e">
        <f>(#REF!-#REF!)/#REF!</f>
        <v>#REF!</v>
      </c>
      <c r="AK12" s="373">
        <v>411007</v>
      </c>
      <c r="AL12" s="372">
        <v>503512</v>
      </c>
      <c r="AM12" s="372">
        <v>486566</v>
      </c>
      <c r="AN12" s="372">
        <v>545038</v>
      </c>
      <c r="AO12" s="374"/>
      <c r="AP12" s="375">
        <f t="shared" si="7"/>
        <v>-1</v>
      </c>
      <c r="AQ12" s="373">
        <v>167002</v>
      </c>
      <c r="AR12" s="372">
        <v>233715</v>
      </c>
      <c r="AS12" s="372">
        <v>230380</v>
      </c>
      <c r="AT12" s="372">
        <v>234948</v>
      </c>
      <c r="AU12" s="374"/>
      <c r="AV12" s="375">
        <f t="shared" si="8"/>
        <v>-1</v>
      </c>
      <c r="AW12" s="373">
        <v>231086</v>
      </c>
      <c r="AX12" s="372">
        <v>114392</v>
      </c>
      <c r="AY12" s="372">
        <v>185599</v>
      </c>
      <c r="AZ12" s="372">
        <v>207706</v>
      </c>
      <c r="BA12" s="372">
        <v>190782</v>
      </c>
      <c r="BB12" s="380">
        <v>182672</v>
      </c>
      <c r="BC12" s="381"/>
      <c r="BD12" s="376">
        <f t="shared" si="9"/>
        <v>-1</v>
      </c>
      <c r="BE12" s="389">
        <f t="shared" si="0"/>
        <v>-0.17441125814631783</v>
      </c>
      <c r="BF12" s="382">
        <f>D12+L12+AB12+AW12</f>
        <v>963901</v>
      </c>
      <c r="BG12" s="383">
        <f t="shared" si="17"/>
        <v>1556885</v>
      </c>
      <c r="BH12" s="384">
        <f t="shared" si="18"/>
        <v>2712819</v>
      </c>
      <c r="BI12" s="384">
        <f t="shared" si="19"/>
        <v>2672544</v>
      </c>
      <c r="BJ12" s="384">
        <f t="shared" si="20"/>
        <v>2678250</v>
      </c>
      <c r="BK12" s="384">
        <f t="shared" si="21"/>
        <v>2624074</v>
      </c>
      <c r="BL12" s="385"/>
      <c r="BM12" s="386">
        <f t="shared" si="10"/>
        <v>-1</v>
      </c>
      <c r="BO12" s="382">
        <f t="shared" si="11"/>
        <v>2527220</v>
      </c>
      <c r="BP12" s="383">
        <f t="shared" si="12"/>
        <v>2464838</v>
      </c>
      <c r="BQ12" s="383">
        <f t="shared" si="13"/>
        <v>2487468</v>
      </c>
      <c r="BR12" s="383">
        <f t="shared" si="14"/>
        <v>2441402</v>
      </c>
      <c r="BS12" s="367"/>
      <c r="BT12" s="387">
        <f t="shared" si="15"/>
        <v>-1</v>
      </c>
      <c r="BW12" s="333"/>
      <c r="BX12" s="388"/>
    </row>
    <row r="13" spans="2:76">
      <c r="B13" s="369" t="s">
        <v>48</v>
      </c>
      <c r="C13" s="370"/>
      <c r="D13" s="371"/>
      <c r="E13" s="372">
        <v>607072</v>
      </c>
      <c r="F13" s="373">
        <v>905401</v>
      </c>
      <c r="G13" s="372">
        <v>720064</v>
      </c>
      <c r="H13" s="372">
        <v>776206</v>
      </c>
      <c r="I13" s="372">
        <v>882284</v>
      </c>
      <c r="J13" s="374"/>
      <c r="K13" s="375">
        <f t="shared" si="3"/>
        <v>-1</v>
      </c>
      <c r="L13" s="373">
        <v>260598</v>
      </c>
      <c r="M13" s="372">
        <v>190738</v>
      </c>
      <c r="N13" s="372">
        <v>234655</v>
      </c>
      <c r="O13" s="372">
        <v>238933</v>
      </c>
      <c r="P13" s="372">
        <v>267890</v>
      </c>
      <c r="Q13" s="372">
        <v>276815</v>
      </c>
      <c r="R13" s="374"/>
      <c r="S13" s="376">
        <f t="shared" si="4"/>
        <v>-1</v>
      </c>
      <c r="T13" s="389"/>
      <c r="U13" s="373">
        <v>324926</v>
      </c>
      <c r="V13" s="372">
        <v>359306</v>
      </c>
      <c r="W13" s="372">
        <v>328028</v>
      </c>
      <c r="X13" s="372">
        <v>352617</v>
      </c>
      <c r="Y13" s="372">
        <v>305287</v>
      </c>
      <c r="Z13" s="374"/>
      <c r="AA13" s="378">
        <f t="shared" si="5"/>
        <v>-1</v>
      </c>
      <c r="AB13" s="373">
        <v>510333</v>
      </c>
      <c r="AC13" s="372">
        <v>205668</v>
      </c>
      <c r="AD13" s="372">
        <v>284438</v>
      </c>
      <c r="AE13" s="372">
        <v>331145</v>
      </c>
      <c r="AF13" s="372">
        <v>292060</v>
      </c>
      <c r="AG13" s="372">
        <v>259631</v>
      </c>
      <c r="AH13" s="374"/>
      <c r="AI13" s="379">
        <f t="shared" si="6"/>
        <v>-1</v>
      </c>
      <c r="AJ13" s="389" t="e">
        <f>(#REF!-#REF!)/#REF!</f>
        <v>#REF!</v>
      </c>
      <c r="AK13" s="373">
        <v>471096</v>
      </c>
      <c r="AL13" s="372">
        <v>470420</v>
      </c>
      <c r="AM13" s="372">
        <v>463298</v>
      </c>
      <c r="AN13" s="372">
        <v>545816</v>
      </c>
      <c r="AO13" s="374"/>
      <c r="AP13" s="375">
        <f t="shared" si="7"/>
        <v>-1</v>
      </c>
      <c r="AQ13" s="373">
        <v>134968</v>
      </c>
      <c r="AR13" s="372">
        <v>194172</v>
      </c>
      <c r="AS13" s="372">
        <v>210703</v>
      </c>
      <c r="AT13" s="372">
        <v>226802</v>
      </c>
      <c r="AU13" s="374"/>
      <c r="AV13" s="375">
        <f t="shared" si="8"/>
        <v>-1</v>
      </c>
      <c r="AW13" s="373">
        <v>217147</v>
      </c>
      <c r="AX13" s="372">
        <v>125426</v>
      </c>
      <c r="AY13" s="372">
        <v>154824</v>
      </c>
      <c r="AZ13" s="372">
        <v>208605</v>
      </c>
      <c r="BA13" s="372">
        <v>200633</v>
      </c>
      <c r="BB13" s="380">
        <v>181223</v>
      </c>
      <c r="BC13" s="381"/>
      <c r="BD13" s="376">
        <f t="shared" si="9"/>
        <v>-1</v>
      </c>
      <c r="BE13" s="389">
        <f t="shared" si="0"/>
        <v>-7.6049864838105066E-2</v>
      </c>
      <c r="BF13" s="382">
        <f t="shared" si="16"/>
        <v>988078</v>
      </c>
      <c r="BG13" s="383">
        <f t="shared" si="17"/>
        <v>1453830</v>
      </c>
      <c r="BH13" s="384">
        <f t="shared" si="18"/>
        <v>2544688</v>
      </c>
      <c r="BI13" s="384">
        <f t="shared" si="19"/>
        <v>2491367</v>
      </c>
      <c r="BJ13" s="384">
        <f t="shared" si="20"/>
        <v>2563407</v>
      </c>
      <c r="BK13" s="384">
        <f t="shared" si="21"/>
        <v>2677858</v>
      </c>
      <c r="BL13" s="385"/>
      <c r="BM13" s="386">
        <f t="shared" si="10"/>
        <v>-1</v>
      </c>
      <c r="BO13" s="382">
        <f t="shared" si="11"/>
        <v>2389864</v>
      </c>
      <c r="BP13" s="383">
        <f t="shared" si="12"/>
        <v>2282762</v>
      </c>
      <c r="BQ13" s="383">
        <f t="shared" si="13"/>
        <v>2362774</v>
      </c>
      <c r="BR13" s="383">
        <f t="shared" si="14"/>
        <v>2496635</v>
      </c>
      <c r="BS13" s="367"/>
      <c r="BT13" s="387">
        <f t="shared" si="15"/>
        <v>-1</v>
      </c>
      <c r="BW13" s="333"/>
      <c r="BX13" s="388"/>
    </row>
    <row r="14" spans="2:76">
      <c r="B14" s="369" t="s">
        <v>49</v>
      </c>
      <c r="C14" s="370"/>
      <c r="D14" s="371"/>
      <c r="E14" s="372">
        <v>552098</v>
      </c>
      <c r="F14" s="373">
        <v>856406</v>
      </c>
      <c r="G14" s="372">
        <v>701920</v>
      </c>
      <c r="H14" s="372">
        <v>705675</v>
      </c>
      <c r="I14" s="372">
        <v>774889</v>
      </c>
      <c r="J14" s="374"/>
      <c r="K14" s="375">
        <f t="shared" si="3"/>
        <v>-1</v>
      </c>
      <c r="L14" s="373">
        <v>229394</v>
      </c>
      <c r="M14" s="372">
        <v>173877</v>
      </c>
      <c r="N14" s="372">
        <v>211442</v>
      </c>
      <c r="O14" s="372">
        <v>217226</v>
      </c>
      <c r="P14" s="372">
        <v>226383</v>
      </c>
      <c r="Q14" s="372">
        <v>233049</v>
      </c>
      <c r="R14" s="374"/>
      <c r="S14" s="376">
        <f t="shared" si="4"/>
        <v>-1</v>
      </c>
      <c r="T14" s="389"/>
      <c r="U14" s="373">
        <v>291140</v>
      </c>
      <c r="V14" s="372">
        <v>320068</v>
      </c>
      <c r="W14" s="372">
        <v>308186</v>
      </c>
      <c r="X14" s="372">
        <v>295815</v>
      </c>
      <c r="Y14" s="372">
        <v>266171</v>
      </c>
      <c r="Z14" s="374"/>
      <c r="AA14" s="378">
        <f t="shared" si="5"/>
        <v>-1</v>
      </c>
      <c r="AB14" s="373">
        <v>456661</v>
      </c>
      <c r="AC14" s="372">
        <v>220589</v>
      </c>
      <c r="AD14" s="372">
        <v>316958</v>
      </c>
      <c r="AE14" s="372">
        <v>276234</v>
      </c>
      <c r="AF14" s="372">
        <v>228655</v>
      </c>
      <c r="AG14" s="372">
        <v>228783</v>
      </c>
      <c r="AH14" s="374"/>
      <c r="AI14" s="379">
        <f t="shared" si="6"/>
        <v>-1</v>
      </c>
      <c r="AJ14" s="389" t="e">
        <f>(#REF!-#REF!)/#REF!</f>
        <v>#REF!</v>
      </c>
      <c r="AK14" s="373">
        <v>445193</v>
      </c>
      <c r="AL14" s="372">
        <v>441126</v>
      </c>
      <c r="AM14" s="372">
        <v>345718</v>
      </c>
      <c r="AN14" s="372">
        <v>488340</v>
      </c>
      <c r="AO14" s="374"/>
      <c r="AP14" s="375">
        <f t="shared" si="7"/>
        <v>-1</v>
      </c>
      <c r="AQ14" s="373">
        <v>172818</v>
      </c>
      <c r="AR14" s="372">
        <v>194944</v>
      </c>
      <c r="AS14" s="372">
        <v>193684</v>
      </c>
      <c r="AT14" s="372">
        <v>207691</v>
      </c>
      <c r="AU14" s="374"/>
      <c r="AV14" s="375">
        <f t="shared" si="8"/>
        <v>-1</v>
      </c>
      <c r="AW14" s="373">
        <v>192476</v>
      </c>
      <c r="AX14" s="372">
        <v>147790</v>
      </c>
      <c r="AY14" s="372">
        <v>156334</v>
      </c>
      <c r="AZ14" s="372">
        <v>193822</v>
      </c>
      <c r="BA14" s="372">
        <v>182436</v>
      </c>
      <c r="BB14" s="380">
        <v>160815</v>
      </c>
      <c r="BC14" s="381"/>
      <c r="BD14" s="376">
        <f t="shared" si="9"/>
        <v>-1</v>
      </c>
      <c r="BE14" s="389">
        <f t="shared" si="0"/>
        <v>-5.216234751345622E-2</v>
      </c>
      <c r="BF14" s="382">
        <f t="shared" si="16"/>
        <v>878531</v>
      </c>
      <c r="BG14" s="383">
        <f t="shared" si="17"/>
        <v>1385494</v>
      </c>
      <c r="BH14" s="384">
        <f t="shared" si="18"/>
        <v>2479219</v>
      </c>
      <c r="BI14" s="384">
        <f t="shared" si="19"/>
        <v>2333458</v>
      </c>
      <c r="BJ14" s="384">
        <f t="shared" si="20"/>
        <v>2178366</v>
      </c>
      <c r="BK14" s="384">
        <f t="shared" si="21"/>
        <v>2359738</v>
      </c>
      <c r="BL14" s="385"/>
      <c r="BM14" s="386">
        <f t="shared" si="10"/>
        <v>-1</v>
      </c>
      <c r="BO14" s="382">
        <f t="shared" si="11"/>
        <v>2322885</v>
      </c>
      <c r="BP14" s="383">
        <f t="shared" si="12"/>
        <v>2139636</v>
      </c>
      <c r="BQ14" s="383">
        <f t="shared" si="13"/>
        <v>1995930</v>
      </c>
      <c r="BR14" s="383">
        <f t="shared" si="14"/>
        <v>2198923</v>
      </c>
      <c r="BS14" s="367"/>
      <c r="BT14" s="387">
        <f t="shared" si="15"/>
        <v>-1</v>
      </c>
      <c r="BW14" s="333"/>
      <c r="BX14" s="388"/>
    </row>
    <row r="15" spans="2:76">
      <c r="B15" s="369" t="s">
        <v>50</v>
      </c>
      <c r="C15" s="370"/>
      <c r="D15" s="390">
        <v>776387</v>
      </c>
      <c r="E15" s="372">
        <v>638481</v>
      </c>
      <c r="F15" s="373">
        <v>862777</v>
      </c>
      <c r="G15" s="372">
        <v>895302</v>
      </c>
      <c r="H15" s="372">
        <v>745768</v>
      </c>
      <c r="I15" s="372">
        <v>835391</v>
      </c>
      <c r="J15" s="374"/>
      <c r="K15" s="375">
        <f t="shared" si="3"/>
        <v>-1</v>
      </c>
      <c r="L15" s="373">
        <v>232904</v>
      </c>
      <c r="M15" s="372">
        <v>162379</v>
      </c>
      <c r="N15" s="372">
        <v>213243</v>
      </c>
      <c r="O15" s="372">
        <v>219134</v>
      </c>
      <c r="P15" s="372">
        <v>211964</v>
      </c>
      <c r="Q15" s="372">
        <v>213900</v>
      </c>
      <c r="R15" s="374"/>
      <c r="S15" s="376">
        <f t="shared" si="4"/>
        <v>-1</v>
      </c>
      <c r="T15" s="389"/>
      <c r="U15" s="373">
        <v>363652</v>
      </c>
      <c r="V15" s="372">
        <v>348781</v>
      </c>
      <c r="W15" s="372">
        <v>341046</v>
      </c>
      <c r="X15" s="372">
        <v>322656</v>
      </c>
      <c r="Y15" s="372">
        <v>275199</v>
      </c>
      <c r="Z15" s="374"/>
      <c r="AA15" s="378">
        <f t="shared" si="5"/>
        <v>-1</v>
      </c>
      <c r="AB15" s="373">
        <v>361017</v>
      </c>
      <c r="AC15" s="372">
        <v>268200</v>
      </c>
      <c r="AD15" s="372">
        <v>331410</v>
      </c>
      <c r="AE15" s="372">
        <v>270476</v>
      </c>
      <c r="AF15" s="372">
        <v>238996</v>
      </c>
      <c r="AG15" s="372">
        <v>230863</v>
      </c>
      <c r="AH15" s="374"/>
      <c r="AI15" s="379">
        <f t="shared" si="6"/>
        <v>-1</v>
      </c>
      <c r="AJ15" s="389" t="e">
        <f>(#REF!-#REF!)/#REF!</f>
        <v>#REF!</v>
      </c>
      <c r="AK15" s="373">
        <v>465086</v>
      </c>
      <c r="AL15" s="372">
        <v>440077</v>
      </c>
      <c r="AM15" s="372">
        <v>438568</v>
      </c>
      <c r="AN15" s="372">
        <v>510365</v>
      </c>
      <c r="AO15" s="374"/>
      <c r="AP15" s="375">
        <f t="shared" si="7"/>
        <v>-1</v>
      </c>
      <c r="AQ15" s="373">
        <v>186548</v>
      </c>
      <c r="AR15" s="372">
        <v>195794</v>
      </c>
      <c r="AS15" s="372">
        <v>207454</v>
      </c>
      <c r="AT15" s="372">
        <v>209204</v>
      </c>
      <c r="AU15" s="374"/>
      <c r="AV15" s="375">
        <f t="shared" si="8"/>
        <v>-1</v>
      </c>
      <c r="AW15" s="373">
        <v>197805</v>
      </c>
      <c r="AX15" s="372">
        <v>173410</v>
      </c>
      <c r="AY15" s="372">
        <v>175109</v>
      </c>
      <c r="AZ15" s="372">
        <v>175380</v>
      </c>
      <c r="BA15" s="372">
        <v>184833</v>
      </c>
      <c r="BB15" s="380">
        <v>167390</v>
      </c>
      <c r="BC15" s="381"/>
      <c r="BD15" s="376">
        <f t="shared" si="9"/>
        <v>-1</v>
      </c>
      <c r="BE15" s="389">
        <f t="shared" si="0"/>
        <v>-6.5579737620383716E-2</v>
      </c>
      <c r="BF15" s="382">
        <f t="shared" si="16"/>
        <v>1568113</v>
      </c>
      <c r="BG15" s="383">
        <f t="shared" si="17"/>
        <v>1606122</v>
      </c>
      <c r="BH15" s="384">
        <f t="shared" si="18"/>
        <v>2582954</v>
      </c>
      <c r="BI15" s="384">
        <f t="shared" si="19"/>
        <v>2537209</v>
      </c>
      <c r="BJ15" s="384">
        <f t="shared" si="20"/>
        <v>2350239</v>
      </c>
      <c r="BK15" s="384">
        <f t="shared" si="21"/>
        <v>2442312</v>
      </c>
      <c r="BL15" s="385"/>
      <c r="BM15" s="386">
        <f t="shared" si="10"/>
        <v>-1</v>
      </c>
      <c r="BO15" s="382">
        <f t="shared" si="11"/>
        <v>2407845</v>
      </c>
      <c r="BP15" s="383">
        <f t="shared" si="12"/>
        <v>2361829</v>
      </c>
      <c r="BQ15" s="383">
        <f t="shared" si="13"/>
        <v>2165406</v>
      </c>
      <c r="BR15" s="383">
        <f t="shared" si="14"/>
        <v>2274922</v>
      </c>
      <c r="BS15" s="367"/>
      <c r="BT15" s="387">
        <f t="shared" si="15"/>
        <v>-1</v>
      </c>
      <c r="BW15" s="333"/>
      <c r="BX15" s="391"/>
    </row>
    <row r="16" spans="2:76">
      <c r="B16" s="369" t="s">
        <v>51</v>
      </c>
      <c r="C16" s="370"/>
      <c r="D16" s="390">
        <v>779434</v>
      </c>
      <c r="E16" s="372">
        <v>795789</v>
      </c>
      <c r="F16" s="373">
        <v>802432</v>
      </c>
      <c r="G16" s="372">
        <v>831861</v>
      </c>
      <c r="H16" s="372">
        <v>873375</v>
      </c>
      <c r="I16" s="372">
        <v>851122</v>
      </c>
      <c r="J16" s="374"/>
      <c r="K16" s="375">
        <f t="shared" si="3"/>
        <v>-1</v>
      </c>
      <c r="L16" s="373">
        <v>238796</v>
      </c>
      <c r="M16" s="372">
        <v>182580</v>
      </c>
      <c r="N16" s="372">
        <v>211966</v>
      </c>
      <c r="O16" s="372">
        <v>208677</v>
      </c>
      <c r="P16" s="372">
        <v>238881</v>
      </c>
      <c r="Q16" s="372">
        <v>234121</v>
      </c>
      <c r="R16" s="374"/>
      <c r="S16" s="376">
        <f t="shared" si="4"/>
        <v>-1</v>
      </c>
      <c r="T16" s="389"/>
      <c r="U16" s="373">
        <v>332142</v>
      </c>
      <c r="V16" s="372">
        <v>315728</v>
      </c>
      <c r="W16" s="372">
        <v>311811</v>
      </c>
      <c r="X16" s="372">
        <v>310467</v>
      </c>
      <c r="Y16" s="372">
        <v>295990</v>
      </c>
      <c r="Z16" s="374"/>
      <c r="AA16" s="378">
        <f t="shared" si="5"/>
        <v>-1</v>
      </c>
      <c r="AB16" s="373">
        <v>412771</v>
      </c>
      <c r="AC16" s="372">
        <v>258444</v>
      </c>
      <c r="AD16" s="372">
        <v>259533</v>
      </c>
      <c r="AE16" s="372">
        <v>253397</v>
      </c>
      <c r="AF16" s="372">
        <v>250384</v>
      </c>
      <c r="AG16" s="372">
        <v>260920</v>
      </c>
      <c r="AH16" s="374"/>
      <c r="AI16" s="379">
        <f t="shared" si="6"/>
        <v>-1</v>
      </c>
      <c r="AJ16" s="389" t="e">
        <f>(#REF!-#REF!)/#REF!</f>
        <v>#REF!</v>
      </c>
      <c r="AK16" s="373">
        <v>494749</v>
      </c>
      <c r="AL16" s="372">
        <v>472120</v>
      </c>
      <c r="AM16" s="372">
        <v>517680</v>
      </c>
      <c r="AN16" s="372">
        <v>556152</v>
      </c>
      <c r="AO16" s="374"/>
      <c r="AP16" s="375">
        <f t="shared" si="7"/>
        <v>-1</v>
      </c>
      <c r="AQ16" s="373">
        <v>167428</v>
      </c>
      <c r="AR16" s="372">
        <v>176079</v>
      </c>
      <c r="AS16" s="372">
        <v>211609</v>
      </c>
      <c r="AT16" s="372">
        <v>203804</v>
      </c>
      <c r="AU16" s="374"/>
      <c r="AV16" s="375">
        <f t="shared" si="8"/>
        <v>-1</v>
      </c>
      <c r="AW16" s="373">
        <v>207716</v>
      </c>
      <c r="AX16" s="372">
        <v>184798</v>
      </c>
      <c r="AY16" s="372">
        <v>188080</v>
      </c>
      <c r="AZ16" s="372">
        <v>192857</v>
      </c>
      <c r="BA16" s="372">
        <v>195603</v>
      </c>
      <c r="BB16" s="380">
        <v>183384</v>
      </c>
      <c r="BC16" s="381"/>
      <c r="BD16" s="376">
        <f t="shared" si="9"/>
        <v>-1</v>
      </c>
      <c r="BE16" s="389">
        <f t="shared" si="0"/>
        <v>-5.8315199599453096E-2</v>
      </c>
      <c r="BF16" s="382">
        <f t="shared" si="16"/>
        <v>1638717</v>
      </c>
      <c r="BG16" s="383">
        <f t="shared" si="17"/>
        <v>1753753</v>
      </c>
      <c r="BH16" s="384">
        <f t="shared" si="18"/>
        <v>2439916</v>
      </c>
      <c r="BI16" s="384">
        <f t="shared" si="19"/>
        <v>2446802</v>
      </c>
      <c r="BJ16" s="384">
        <f t="shared" si="20"/>
        <v>2597999</v>
      </c>
      <c r="BK16" s="384">
        <f t="shared" si="21"/>
        <v>2585493</v>
      </c>
      <c r="BL16" s="385"/>
      <c r="BM16" s="386">
        <f t="shared" si="10"/>
        <v>-1</v>
      </c>
      <c r="BO16" s="382">
        <f t="shared" si="11"/>
        <v>2251836</v>
      </c>
      <c r="BP16" s="383">
        <f t="shared" si="12"/>
        <v>2253945</v>
      </c>
      <c r="BQ16" s="383">
        <f t="shared" si="13"/>
        <v>2402396</v>
      </c>
      <c r="BR16" s="383">
        <f t="shared" si="14"/>
        <v>2402109</v>
      </c>
      <c r="BS16" s="367"/>
      <c r="BT16" s="387">
        <f t="shared" si="15"/>
        <v>-1</v>
      </c>
    </row>
    <row r="17" spans="2:72">
      <c r="B17" s="392" t="s">
        <v>52</v>
      </c>
      <c r="C17" s="393"/>
      <c r="D17" s="394">
        <v>889253</v>
      </c>
      <c r="E17" s="395">
        <v>983157</v>
      </c>
      <c r="F17" s="396">
        <v>914433</v>
      </c>
      <c r="G17" s="397">
        <v>1039826</v>
      </c>
      <c r="H17" s="397">
        <v>992543</v>
      </c>
      <c r="I17" s="397">
        <v>977195</v>
      </c>
      <c r="J17" s="398"/>
      <c r="K17" s="399">
        <f t="shared" si="3"/>
        <v>-1</v>
      </c>
      <c r="L17" s="396">
        <v>295958</v>
      </c>
      <c r="M17" s="397">
        <v>283404</v>
      </c>
      <c r="N17" s="397">
        <v>288561</v>
      </c>
      <c r="O17" s="397">
        <v>272563</v>
      </c>
      <c r="P17" s="397">
        <v>289654</v>
      </c>
      <c r="Q17" s="397">
        <v>306282</v>
      </c>
      <c r="R17" s="398"/>
      <c r="S17" s="400">
        <f t="shared" si="4"/>
        <v>-1</v>
      </c>
      <c r="T17" s="401"/>
      <c r="U17" s="396">
        <v>401931</v>
      </c>
      <c r="V17" s="397">
        <v>408347</v>
      </c>
      <c r="W17" s="397">
        <v>374488</v>
      </c>
      <c r="X17" s="397">
        <v>368884</v>
      </c>
      <c r="Y17" s="397">
        <v>356612</v>
      </c>
      <c r="Z17" s="398"/>
      <c r="AA17" s="402">
        <f t="shared" si="5"/>
        <v>-1</v>
      </c>
      <c r="AB17" s="396">
        <v>407286</v>
      </c>
      <c r="AC17" s="397">
        <v>323727</v>
      </c>
      <c r="AD17" s="397">
        <v>294394</v>
      </c>
      <c r="AE17" s="397">
        <v>304218</v>
      </c>
      <c r="AF17" s="397">
        <v>295230</v>
      </c>
      <c r="AG17" s="397">
        <v>276024</v>
      </c>
      <c r="AH17" s="398"/>
      <c r="AI17" s="403">
        <f t="shared" si="6"/>
        <v>-1</v>
      </c>
      <c r="AJ17" s="401" t="e">
        <f>(#REF!-#REF!)/#REF!</f>
        <v>#REF!</v>
      </c>
      <c r="AK17" s="396">
        <v>639621</v>
      </c>
      <c r="AL17" s="397">
        <v>628875</v>
      </c>
      <c r="AM17" s="397">
        <v>664778</v>
      </c>
      <c r="AN17" s="397">
        <v>686315</v>
      </c>
      <c r="AO17" s="398"/>
      <c r="AP17" s="399">
        <f t="shared" si="7"/>
        <v>-1</v>
      </c>
      <c r="AQ17" s="396">
        <v>170579</v>
      </c>
      <c r="AR17" s="397">
        <v>191769</v>
      </c>
      <c r="AS17" s="397">
        <v>230944</v>
      </c>
      <c r="AT17" s="397">
        <v>233344</v>
      </c>
      <c r="AU17" s="398"/>
      <c r="AV17" s="399">
        <f t="shared" si="8"/>
        <v>-1</v>
      </c>
      <c r="AW17" s="396">
        <v>245619</v>
      </c>
      <c r="AX17" s="397">
        <v>225029</v>
      </c>
      <c r="AY17" s="397">
        <v>220657</v>
      </c>
      <c r="AZ17" s="397">
        <v>243569</v>
      </c>
      <c r="BA17" s="397">
        <v>229116</v>
      </c>
      <c r="BB17" s="404">
        <v>212898</v>
      </c>
      <c r="BC17" s="405"/>
      <c r="BD17" s="400">
        <f t="shared" si="9"/>
        <v>-1</v>
      </c>
      <c r="BE17" s="401">
        <f t="shared" si="0"/>
        <v>-6.7189427528000681E-2</v>
      </c>
      <c r="BF17" s="406">
        <f t="shared" si="16"/>
        <v>1838116</v>
      </c>
      <c r="BG17" s="407">
        <f t="shared" si="17"/>
        <v>2217248</v>
      </c>
      <c r="BH17" s="408">
        <f t="shared" si="18"/>
        <v>2936592</v>
      </c>
      <c r="BI17" s="408">
        <f t="shared" si="19"/>
        <v>3055308</v>
      </c>
      <c r="BJ17" s="408">
        <f t="shared" si="20"/>
        <v>3071149</v>
      </c>
      <c r="BK17" s="408">
        <f t="shared" si="21"/>
        <v>3048670</v>
      </c>
      <c r="BL17" s="409"/>
      <c r="BM17" s="410">
        <f t="shared" si="10"/>
        <v>-1</v>
      </c>
      <c r="BO17" s="406">
        <f t="shared" si="11"/>
        <v>2715935</v>
      </c>
      <c r="BP17" s="407">
        <f t="shared" si="12"/>
        <v>2811739</v>
      </c>
      <c r="BQ17" s="407">
        <f t="shared" si="13"/>
        <v>2842033</v>
      </c>
      <c r="BR17" s="407">
        <f t="shared" si="14"/>
        <v>2835772</v>
      </c>
      <c r="BS17" s="411"/>
      <c r="BT17" s="412">
        <f t="shared" si="15"/>
        <v>-1</v>
      </c>
    </row>
    <row r="18" spans="2:72" ht="5.75" customHeight="1">
      <c r="B18" s="413"/>
      <c r="C18" s="413"/>
      <c r="D18" s="413"/>
      <c r="E18" s="413"/>
      <c r="F18" s="413"/>
      <c r="G18" s="413"/>
      <c r="H18" s="413"/>
      <c r="I18" s="413"/>
      <c r="J18" s="413"/>
      <c r="K18" s="414"/>
      <c r="L18" s="413"/>
      <c r="M18" s="413"/>
      <c r="N18" s="413"/>
      <c r="O18" s="413"/>
      <c r="P18" s="413"/>
      <c r="Q18" s="413"/>
      <c r="R18" s="413"/>
      <c r="S18" s="414"/>
      <c r="T18" s="413"/>
      <c r="U18" s="413"/>
      <c r="V18" s="413"/>
      <c r="W18" s="413"/>
      <c r="X18" s="413"/>
      <c r="Y18" s="413"/>
      <c r="Z18" s="413"/>
      <c r="AA18" s="413"/>
      <c r="AB18" s="413"/>
      <c r="AC18" s="413"/>
      <c r="AD18" s="413"/>
      <c r="AE18" s="413"/>
      <c r="AF18" s="413"/>
      <c r="AG18" s="413"/>
      <c r="AH18" s="415"/>
      <c r="AI18" s="416"/>
      <c r="AJ18" s="413"/>
      <c r="AK18" s="413"/>
      <c r="AL18" s="413"/>
      <c r="AM18" s="413"/>
      <c r="AN18" s="413"/>
      <c r="AO18" s="413"/>
      <c r="AP18" s="413"/>
      <c r="AQ18" s="413"/>
      <c r="AR18" s="413"/>
      <c r="AS18" s="413"/>
      <c r="AT18" s="413"/>
      <c r="AU18" s="413"/>
      <c r="AV18" s="413"/>
      <c r="AW18" s="413"/>
      <c r="AX18" s="413"/>
      <c r="AY18" s="413"/>
      <c r="AZ18" s="413"/>
      <c r="BA18" s="413"/>
      <c r="BB18" s="413"/>
      <c r="BC18" s="413"/>
      <c r="BD18" s="413"/>
      <c r="BE18" s="413"/>
      <c r="BF18" s="333"/>
      <c r="BG18" s="333"/>
      <c r="BH18" s="375"/>
      <c r="BI18" s="413"/>
      <c r="BJ18" s="413"/>
      <c r="BK18" s="413"/>
      <c r="BL18" s="413"/>
      <c r="BM18" s="413"/>
    </row>
    <row r="19" spans="2:72">
      <c r="B19" s="417" t="s">
        <v>29</v>
      </c>
      <c r="C19" s="417"/>
      <c r="D19" s="418">
        <f t="shared" ref="D19:H19" si="22">SUM(D6:D17)</f>
        <v>2445074</v>
      </c>
      <c r="E19" s="418">
        <f t="shared" si="22"/>
        <v>7721810</v>
      </c>
      <c r="F19" s="419">
        <f t="shared" si="22"/>
        <v>10214920</v>
      </c>
      <c r="G19" s="420">
        <f t="shared" si="22"/>
        <v>9224664</v>
      </c>
      <c r="H19" s="420">
        <f t="shared" si="22"/>
        <v>9140513</v>
      </c>
      <c r="I19" s="420">
        <f>SUM(I6:I17)</f>
        <v>9925059</v>
      </c>
      <c r="J19" s="420">
        <f>SUM(J6:J17)</f>
        <v>4464509</v>
      </c>
      <c r="K19" s="421">
        <f>J19/(I6+I7+I8+I9+I10+I11)-1</f>
        <v>-6.6480193089437312E-2</v>
      </c>
      <c r="L19" s="419">
        <f t="shared" ref="L19:R19" si="23">SUM(L6:L17)</f>
        <v>2939814</v>
      </c>
      <c r="M19" s="420">
        <f t="shared" si="23"/>
        <v>2114784</v>
      </c>
      <c r="N19" s="420">
        <f t="shared" si="23"/>
        <v>2784757</v>
      </c>
      <c r="O19" s="420">
        <f t="shared" si="23"/>
        <v>2963429</v>
      </c>
      <c r="P19" s="420">
        <f t="shared" si="23"/>
        <v>2867897</v>
      </c>
      <c r="Q19" s="420">
        <f t="shared" si="23"/>
        <v>3052533</v>
      </c>
      <c r="R19" s="420">
        <f t="shared" si="23"/>
        <v>1669979</v>
      </c>
      <c r="S19" s="422">
        <f>R19/(Q6+Q7+Q8+Q9+Q10+Q11)-1</f>
        <v>0.11917785635205091</v>
      </c>
      <c r="T19" s="423"/>
      <c r="U19" s="418">
        <f t="shared" ref="U19:Z19" si="24">SUM(U6:U17)</f>
        <v>3739454</v>
      </c>
      <c r="V19" s="418">
        <f t="shared" si="24"/>
        <v>4106641</v>
      </c>
      <c r="W19" s="418">
        <f t="shared" si="24"/>
        <v>3977065</v>
      </c>
      <c r="X19" s="418">
        <f t="shared" si="24"/>
        <v>3925070</v>
      </c>
      <c r="Y19" s="418">
        <f t="shared" si="24"/>
        <v>3625117</v>
      </c>
      <c r="Z19" s="418">
        <f t="shared" si="24"/>
        <v>1614595</v>
      </c>
      <c r="AA19" s="424">
        <f>Z19/(Y6+Y7+Y8+Y9+Y10+Y11)-1</f>
        <v>-0.11155798084335677</v>
      </c>
      <c r="AB19" s="419">
        <f t="shared" ref="AB19:AH19" si="25">SUM(AB6:AB17)</f>
        <v>4558409</v>
      </c>
      <c r="AC19" s="420">
        <f t="shared" si="25"/>
        <v>2841089</v>
      </c>
      <c r="AD19" s="420">
        <f t="shared" si="25"/>
        <v>3263716</v>
      </c>
      <c r="AE19" s="420">
        <f t="shared" si="25"/>
        <v>3283111</v>
      </c>
      <c r="AF19" s="420">
        <f t="shared" si="25"/>
        <v>3183116</v>
      </c>
      <c r="AG19" s="420">
        <f t="shared" si="25"/>
        <v>2849805</v>
      </c>
      <c r="AH19" s="420">
        <f t="shared" si="25"/>
        <v>1255792</v>
      </c>
      <c r="AI19" s="425">
        <f>AH19/(AG6+AG7+AG8+AG9+AG10+AG11)-1</f>
        <v>-7.5700589264868889E-2</v>
      </c>
      <c r="AJ19" s="423"/>
      <c r="AK19" s="418">
        <f>SUM(AK6:AK17)</f>
        <v>2940542</v>
      </c>
      <c r="AL19" s="418">
        <f>SUM(AL6:AL17)</f>
        <v>5654848</v>
      </c>
      <c r="AM19" s="418">
        <f>SUM(AM6:AM17)</f>
        <v>5544111</v>
      </c>
      <c r="AN19" s="418">
        <f>SUM(AN6:AN17)</f>
        <v>6331168</v>
      </c>
      <c r="AO19" s="418">
        <f>SUM(AO6:AO17)</f>
        <v>3065446</v>
      </c>
      <c r="AP19" s="424">
        <f>AO19/(AN6+AN7+AN8+AN9+AN10+AN11)-1</f>
        <v>2.2107656122984487E-2</v>
      </c>
      <c r="AQ19" s="418">
        <f>SUM(AQ6:AQ17)</f>
        <v>1714961</v>
      </c>
      <c r="AR19" s="418">
        <f>SUM(AR6:AR17)</f>
        <v>2387071</v>
      </c>
      <c r="AS19" s="418">
        <f>SUM(AS6:AS17)</f>
        <v>2467644</v>
      </c>
      <c r="AT19" s="418">
        <f>SUM(AT6:AT17)</f>
        <v>2661063</v>
      </c>
      <c r="AU19" s="418">
        <f>SUM(AU6:AU17)</f>
        <v>1449221</v>
      </c>
      <c r="AV19" s="424">
        <f>AU19/(AT6+AT7+AT8+AT9+AT10+AT11)-1</f>
        <v>7.727147710125104E-2</v>
      </c>
      <c r="AW19" s="418">
        <f t="shared" ref="AW19:BC19" si="26">SUM(AW6:AW17)</f>
        <v>2515733</v>
      </c>
      <c r="AX19" s="418">
        <f t="shared" si="26"/>
        <v>1790908</v>
      </c>
      <c r="AY19" s="418">
        <f t="shared" si="26"/>
        <v>2082318</v>
      </c>
      <c r="AZ19" s="418">
        <f t="shared" si="26"/>
        <v>2273611</v>
      </c>
      <c r="BA19" s="418">
        <f t="shared" si="26"/>
        <v>2165640</v>
      </c>
      <c r="BB19" s="418">
        <f t="shared" si="26"/>
        <v>2094628</v>
      </c>
      <c r="BC19" s="418">
        <f t="shared" si="26"/>
        <v>970684</v>
      </c>
      <c r="BD19" s="424">
        <f>BC19/(BB6+BB7+BB8+BB9+BB10+BB11)-1</f>
        <v>-3.534125849941272E-2</v>
      </c>
      <c r="BE19" s="423"/>
      <c r="BF19" s="418">
        <f t="shared" ref="BF19:BL19" si="27">SUM(BF6:BF17)</f>
        <v>12459030</v>
      </c>
      <c r="BG19" s="418">
        <f t="shared" si="27"/>
        <v>18208045</v>
      </c>
      <c r="BH19" s="418">
        <f t="shared" si="27"/>
        <v>27107855</v>
      </c>
      <c r="BI19" s="418">
        <f t="shared" si="27"/>
        <v>29763799</v>
      </c>
      <c r="BJ19" s="418">
        <f t="shared" si="27"/>
        <v>29293991</v>
      </c>
      <c r="BK19" s="418">
        <f t="shared" si="27"/>
        <v>30539373</v>
      </c>
      <c r="BL19" s="418">
        <f t="shared" si="27"/>
        <v>14490226</v>
      </c>
      <c r="BM19" s="426">
        <f>BL19/(BK6+BK7+BK8+BK9+BK10+BK11)-1</f>
        <v>-2.1011905228404015E-2</v>
      </c>
      <c r="BO19" s="418">
        <f>SUM(BO6:BO17)</f>
        <v>25025537</v>
      </c>
      <c r="BP19" s="418">
        <f>SUM(BP6:BP17)</f>
        <v>27490188</v>
      </c>
      <c r="BQ19" s="418">
        <f>SUM(BQ6:BQ17)</f>
        <v>27128351</v>
      </c>
      <c r="BR19" s="418">
        <f>SUM(BR6:BR17)</f>
        <v>28444745</v>
      </c>
      <c r="BS19" s="418">
        <f>SUM(BS6:BS17)</f>
        <v>13519542</v>
      </c>
      <c r="BT19" s="427">
        <f>BS19/(BR6+BR7+BR8+BR9+BR10)-1</f>
        <v>0.18135238497524009</v>
      </c>
    </row>
    <row r="20" spans="2:72" ht="5.75" customHeight="1"/>
    <row r="21" spans="2:72">
      <c r="K21" s="511"/>
      <c r="Q21" s="388"/>
      <c r="R21" s="388"/>
      <c r="S21" s="428"/>
      <c r="Y21" s="388"/>
      <c r="Z21" s="388"/>
      <c r="AA21" s="512"/>
      <c r="AG21" s="388"/>
      <c r="AH21" s="388"/>
      <c r="AI21" s="512"/>
      <c r="AN21" s="388"/>
      <c r="AO21" s="388"/>
      <c r="AP21" s="429"/>
      <c r="AV21" s="429"/>
      <c r="BB21" s="430"/>
      <c r="BC21" s="430"/>
      <c r="BD21" s="429"/>
      <c r="BE21" s="431"/>
      <c r="BF21" s="432"/>
      <c r="BH21" s="388"/>
      <c r="BI21" s="388"/>
      <c r="BJ21" s="388"/>
      <c r="BK21" s="372"/>
      <c r="BL21" s="372"/>
      <c r="BM21" s="372"/>
      <c r="BO21" s="433"/>
      <c r="BP21" s="434"/>
      <c r="BQ21" s="434"/>
      <c r="BR21" s="430">
        <f>BR19/BQ19-1</f>
        <v>4.8524659681673965E-2</v>
      </c>
    </row>
    <row r="22" spans="2:72" s="338" customFormat="1">
      <c r="H22" s="434"/>
      <c r="I22" s="435"/>
      <c r="J22" s="435"/>
      <c r="P22" s="434"/>
      <c r="Q22" s="435"/>
      <c r="R22" s="435"/>
      <c r="X22" s="434"/>
      <c r="Y22" s="435"/>
      <c r="Z22" s="435"/>
      <c r="AF22" s="434"/>
      <c r="AG22" s="435"/>
      <c r="AH22" s="435"/>
      <c r="AL22" s="374"/>
      <c r="AM22" s="434"/>
      <c r="AN22" s="436"/>
      <c r="AO22" s="436"/>
      <c r="AS22" s="434"/>
      <c r="AT22" s="435"/>
      <c r="AU22" s="435"/>
      <c r="BA22" s="434"/>
      <c r="BD22" s="513">
        <f>+BC10/BC9</f>
        <v>1.0869113426974777</v>
      </c>
      <c r="BF22" s="434"/>
      <c r="BG22" s="374"/>
      <c r="BH22" s="374"/>
      <c r="BI22" s="374"/>
      <c r="BJ22" s="437"/>
      <c r="BK22" s="435"/>
      <c r="BL22" s="435"/>
      <c r="BO22" s="438"/>
      <c r="BP22" s="438"/>
      <c r="BQ22" s="438"/>
    </row>
    <row r="23" spans="2:72">
      <c r="D23" s="388"/>
      <c r="E23" s="428"/>
      <c r="L23" s="388"/>
      <c r="M23" s="428"/>
      <c r="U23" s="388"/>
      <c r="V23" s="428"/>
      <c r="AB23" s="388"/>
      <c r="AC23" s="428"/>
      <c r="AE23" s="388"/>
      <c r="AF23" s="388"/>
      <c r="AG23" s="388"/>
      <c r="AH23" s="388"/>
      <c r="AK23" s="388"/>
      <c r="AL23" s="428"/>
      <c r="AQ23" s="388"/>
      <c r="AR23" s="428"/>
      <c r="AT23" s="439"/>
      <c r="AU23" s="439"/>
      <c r="AW23" s="388"/>
      <c r="AX23" s="428"/>
      <c r="BF23" s="388"/>
      <c r="BG23" s="428"/>
      <c r="BK23" s="440">
        <f>BK19-BJ22</f>
        <v>30539373</v>
      </c>
      <c r="BL23" s="440"/>
      <c r="BP23" s="388"/>
      <c r="BQ23" s="388"/>
    </row>
    <row r="24" spans="2:72">
      <c r="B24" s="567" t="s">
        <v>53</v>
      </c>
      <c r="C24" s="567"/>
      <c r="D24" s="567"/>
      <c r="E24" s="567"/>
      <c r="L24" s="613" t="s">
        <v>105</v>
      </c>
      <c r="M24" s="613"/>
      <c r="N24" s="613"/>
      <c r="O24" s="613"/>
      <c r="P24" s="613"/>
      <c r="Q24" s="613"/>
      <c r="Y24" s="441"/>
      <c r="Z24" s="388"/>
      <c r="AE24" s="388"/>
      <c r="AF24" s="388"/>
      <c r="AT24" s="439"/>
      <c r="AU24" s="439"/>
      <c r="BP24" s="388"/>
      <c r="BQ24" s="388"/>
      <c r="BR24" s="334">
        <f>BQ19*1.1</f>
        <v>29841186.100000001</v>
      </c>
    </row>
    <row r="25" spans="2:72">
      <c r="B25" s="540" t="str">
        <f>B11</f>
        <v>Jun</v>
      </c>
      <c r="C25" s="540"/>
      <c r="D25" s="541" t="s">
        <v>54</v>
      </c>
      <c r="E25" s="541" t="s">
        <v>33</v>
      </c>
      <c r="L25" s="338">
        <v>2021</v>
      </c>
      <c r="M25" s="338">
        <v>2022</v>
      </c>
      <c r="N25" s="338">
        <v>2023</v>
      </c>
      <c r="O25" s="338">
        <v>2024</v>
      </c>
      <c r="P25" s="338">
        <v>2025</v>
      </c>
      <c r="Q25" s="338">
        <v>2026</v>
      </c>
      <c r="R25" s="245" t="s">
        <v>106</v>
      </c>
      <c r="S25" s="245" t="s">
        <v>107</v>
      </c>
      <c r="Y25" s="442"/>
      <c r="Z25" s="388"/>
      <c r="AE25" s="388"/>
      <c r="AF25" s="388"/>
      <c r="AG25" s="443"/>
      <c r="AH25" s="443"/>
      <c r="AT25" s="439"/>
      <c r="AU25" s="439"/>
      <c r="AV25" s="431"/>
      <c r="AW25" s="391"/>
      <c r="BF25" s="388"/>
      <c r="BG25" s="444"/>
      <c r="BH25" s="444"/>
      <c r="BM25" s="388"/>
      <c r="BO25" s="445"/>
      <c r="BP25" s="446"/>
      <c r="BQ25" s="446"/>
      <c r="BT25" s="444">
        <f>(BR6+BR7+BR8)/(BQ6+BQ7+BQ8)-1</f>
        <v>6.7565062869156201E-2</v>
      </c>
    </row>
    <row r="26" spans="2:72">
      <c r="B26" s="542" t="s">
        <v>1</v>
      </c>
      <c r="C26" s="447"/>
      <c r="D26" s="448">
        <f>K11</f>
        <v>-3.6530639313820834E-2</v>
      </c>
      <c r="E26" s="448">
        <f>K19</f>
        <v>-6.6480193089437312E-2</v>
      </c>
      <c r="K26" s="333" t="s">
        <v>1</v>
      </c>
      <c r="L26" s="372">
        <f>SUM(E6:E11)</f>
        <v>3471284</v>
      </c>
      <c r="M26" s="372">
        <f t="shared" ref="M26:Q26" si="28">SUM(F6:F11)</f>
        <v>4896154</v>
      </c>
      <c r="N26" s="372">
        <f t="shared" si="28"/>
        <v>4278943</v>
      </c>
      <c r="O26" s="372">
        <f t="shared" si="28"/>
        <v>4276379</v>
      </c>
      <c r="P26" s="372">
        <f t="shared" si="28"/>
        <v>4782447</v>
      </c>
      <c r="Q26" s="372">
        <f t="shared" si="28"/>
        <v>4464509</v>
      </c>
      <c r="R26" s="443">
        <f>Q26/P26-1</f>
        <v>-6.6480193089437312E-2</v>
      </c>
      <c r="Y26" s="442">
        <v>296246</v>
      </c>
      <c r="Z26" s="388"/>
      <c r="AA26" s="338"/>
      <c r="AB26" s="570" t="s">
        <v>4</v>
      </c>
      <c r="AC26" s="571"/>
      <c r="AD26" s="571"/>
      <c r="AE26" s="338"/>
      <c r="AF26" s="338"/>
      <c r="AG26" s="338"/>
      <c r="AH26" s="338"/>
      <c r="AI26" s="338"/>
      <c r="AJ26" s="338"/>
      <c r="AK26" s="571" t="s">
        <v>5</v>
      </c>
      <c r="AL26" s="571"/>
      <c r="AM26" s="572"/>
      <c r="AT26" s="439"/>
      <c r="AU26" s="439"/>
      <c r="BB26" s="372"/>
      <c r="BC26" s="372"/>
    </row>
    <row r="27" spans="2:72">
      <c r="B27" s="543" t="s">
        <v>2</v>
      </c>
      <c r="C27" s="333"/>
      <c r="D27" s="430">
        <f>S11</f>
        <v>0.12809947175475567</v>
      </c>
      <c r="E27" s="430">
        <f>S19</f>
        <v>0.11917785635205091</v>
      </c>
      <c r="K27" s="333" t="s">
        <v>2</v>
      </c>
      <c r="L27" s="372">
        <f>SUM(M6:M11)</f>
        <v>929675</v>
      </c>
      <c r="M27" s="372">
        <f t="shared" ref="M27:Q27" si="29">SUM(N6:N11)</f>
        <v>1336975</v>
      </c>
      <c r="N27" s="372">
        <f t="shared" si="29"/>
        <v>1518589</v>
      </c>
      <c r="O27" s="372">
        <f t="shared" si="29"/>
        <v>1372630</v>
      </c>
      <c r="P27" s="372">
        <f t="shared" si="29"/>
        <v>1492148</v>
      </c>
      <c r="Q27" s="372">
        <f t="shared" si="29"/>
        <v>1669979</v>
      </c>
      <c r="R27" s="443">
        <f t="shared" ref="R27:R31" si="30">Q27/P27-1</f>
        <v>0.11917785635205091</v>
      </c>
      <c r="Y27" s="449">
        <v>302225</v>
      </c>
      <c r="Z27" s="388"/>
      <c r="AA27" s="338"/>
      <c r="AB27" s="450">
        <v>2023</v>
      </c>
      <c r="AC27" s="338">
        <v>2024</v>
      </c>
      <c r="AD27" s="338" t="s">
        <v>30</v>
      </c>
      <c r="AE27" s="338"/>
      <c r="AF27" s="338"/>
      <c r="AG27" s="338"/>
      <c r="AH27" s="338"/>
      <c r="AI27" s="338"/>
      <c r="AJ27" s="338"/>
      <c r="AK27" s="338">
        <v>2023</v>
      </c>
      <c r="AL27" s="338">
        <v>2024</v>
      </c>
      <c r="AM27" s="451" t="s">
        <v>30</v>
      </c>
      <c r="AR27" s="388"/>
      <c r="AT27" s="439"/>
      <c r="AU27" s="439"/>
      <c r="AX27" s="444"/>
      <c r="BB27" s="372"/>
      <c r="BC27" s="372"/>
    </row>
    <row r="28" spans="2:72">
      <c r="B28" s="543" t="s">
        <v>3</v>
      </c>
      <c r="C28" s="333"/>
      <c r="D28" s="430">
        <f>AA11</f>
        <v>6.7390921284958605E-2</v>
      </c>
      <c r="E28" s="430">
        <f>AA19</f>
        <v>-0.11155798084335677</v>
      </c>
      <c r="K28" s="333" t="s">
        <v>3</v>
      </c>
      <c r="L28" s="372">
        <f>SUM(U6:U11)</f>
        <v>1662143</v>
      </c>
      <c r="M28" s="372">
        <f t="shared" ref="M28:Q28" si="31">SUM(V6:V11)</f>
        <v>1960391</v>
      </c>
      <c r="N28" s="372">
        <f t="shared" si="31"/>
        <v>1938190</v>
      </c>
      <c r="O28" s="372">
        <f t="shared" si="31"/>
        <v>1897691</v>
      </c>
      <c r="P28" s="372">
        <f t="shared" si="31"/>
        <v>1817333</v>
      </c>
      <c r="Q28" s="372">
        <f t="shared" si="31"/>
        <v>1614595</v>
      </c>
      <c r="R28" s="443">
        <f t="shared" si="30"/>
        <v>-0.11155798084335677</v>
      </c>
      <c r="Y28" s="372"/>
      <c r="Z28" s="372"/>
      <c r="AA28" s="338"/>
      <c r="AB28" s="452">
        <f>SUM(AE14:AE17)</f>
        <v>1104325</v>
      </c>
      <c r="AC28" s="388">
        <f>SUM(AF14:AF17)</f>
        <v>1013265</v>
      </c>
      <c r="AD28" s="453">
        <f>AC28/AB28-1</f>
        <v>-8.2457609852172098E-2</v>
      </c>
      <c r="AK28" s="388">
        <f>SUM(AL14:AL17)</f>
        <v>1982198</v>
      </c>
      <c r="AL28" s="388">
        <f>SUM(AM14:AM17)</f>
        <v>1966744</v>
      </c>
      <c r="AM28" s="454">
        <f>AL28/AK28-1</f>
        <v>-7.7963957182884958E-3</v>
      </c>
      <c r="AR28" s="388"/>
      <c r="AS28" s="444"/>
      <c r="AT28" s="439"/>
      <c r="AU28" s="439"/>
      <c r="BB28" s="372"/>
      <c r="BC28" s="372"/>
      <c r="BI28" s="388"/>
      <c r="BJ28" s="388"/>
      <c r="BK28" s="388"/>
      <c r="BL28" s="388"/>
      <c r="BM28" s="388"/>
    </row>
    <row r="29" spans="2:72">
      <c r="B29" s="543" t="s">
        <v>4</v>
      </c>
      <c r="C29" s="333"/>
      <c r="D29" s="430">
        <f>AI11</f>
        <v>-7.6489487870619932E-2</v>
      </c>
      <c r="E29" s="430">
        <f>AI19</f>
        <v>-7.5700589264868889E-2</v>
      </c>
      <c r="H29" s="372"/>
      <c r="I29" s="372"/>
      <c r="J29" s="372"/>
      <c r="K29" s="333" t="s">
        <v>4</v>
      </c>
      <c r="L29" s="372">
        <f>SUM(AC6:AC11)</f>
        <v>1351548</v>
      </c>
      <c r="M29" s="372">
        <f t="shared" ref="M29:Q29" si="32">SUM(AD6:AD11)</f>
        <v>1487024</v>
      </c>
      <c r="N29" s="372">
        <f t="shared" si="32"/>
        <v>1540401</v>
      </c>
      <c r="O29" s="372">
        <f t="shared" si="32"/>
        <v>1515271</v>
      </c>
      <c r="P29" s="372">
        <f t="shared" si="32"/>
        <v>1358642</v>
      </c>
      <c r="Q29" s="372">
        <f t="shared" si="32"/>
        <v>1255792</v>
      </c>
      <c r="R29" s="443">
        <f t="shared" si="30"/>
        <v>-7.5700589264868889E-2</v>
      </c>
      <c r="S29" s="443">
        <f>Q29/O29-1</f>
        <v>-0.1712426358057404</v>
      </c>
      <c r="Y29" s="372"/>
      <c r="Z29" s="372"/>
      <c r="AB29" s="455" t="s">
        <v>55</v>
      </c>
      <c r="AC29" s="391">
        <f>AC28-AB28</f>
        <v>-91060</v>
      </c>
      <c r="AK29" s="456" t="s">
        <v>55</v>
      </c>
      <c r="AL29" s="391">
        <f>AL28-AK28</f>
        <v>-15454</v>
      </c>
      <c r="AM29" s="346"/>
      <c r="AR29" s="388"/>
      <c r="AS29" s="444"/>
      <c r="AT29" s="439"/>
      <c r="AU29" s="439"/>
      <c r="BB29" s="372"/>
      <c r="BC29" s="372"/>
      <c r="BF29" s="388"/>
      <c r="BI29" s="388"/>
      <c r="BJ29" s="388"/>
      <c r="BK29" s="388"/>
      <c r="BL29" s="388"/>
      <c r="BM29" s="388"/>
    </row>
    <row r="30" spans="2:72">
      <c r="B30" s="543" t="s">
        <v>5</v>
      </c>
      <c r="C30" s="333"/>
      <c r="D30" s="430">
        <f>AP11</f>
        <v>9.0870040085757608E-2</v>
      </c>
      <c r="E30" s="430">
        <f>AP19</f>
        <v>2.2107656122984487E-2</v>
      </c>
      <c r="H30" s="372"/>
      <c r="I30" s="372"/>
      <c r="J30" s="372"/>
      <c r="K30" s="333" t="s">
        <v>5</v>
      </c>
      <c r="L30" s="429"/>
      <c r="M30" s="429"/>
      <c r="N30" s="372">
        <f>SUM(AL6:AL11)</f>
        <v>2698718</v>
      </c>
      <c r="O30" s="372">
        <f t="shared" ref="O30:Q30" si="33">SUM(AM6:AM11)</f>
        <v>2627503</v>
      </c>
      <c r="P30" s="372">
        <f t="shared" si="33"/>
        <v>2999142</v>
      </c>
      <c r="Q30" s="372">
        <f t="shared" si="33"/>
        <v>3065446</v>
      </c>
      <c r="R30" s="443">
        <f t="shared" si="30"/>
        <v>2.2107656122984487E-2</v>
      </c>
      <c r="S30" s="443">
        <f>Q30/O30-1</f>
        <v>0.16667649856156208</v>
      </c>
      <c r="X30" s="334" t="s">
        <v>14</v>
      </c>
      <c r="Y30" s="372">
        <f>32313+Y11</f>
        <v>310392</v>
      </c>
      <c r="Z30" s="372"/>
      <c r="AA30" s="444">
        <f>Y30/X11-1</f>
        <v>-0.18941829339949079</v>
      </c>
      <c r="AB30" s="345"/>
      <c r="AL30" s="388"/>
      <c r="AM30" s="346"/>
      <c r="AR30" s="388"/>
      <c r="AS30" s="444"/>
      <c r="AT30" s="439"/>
      <c r="AU30" s="439"/>
      <c r="BB30" s="372"/>
      <c r="BC30" s="372"/>
      <c r="BI30" s="388"/>
      <c r="BJ30" s="388"/>
      <c r="BK30" s="388"/>
      <c r="BL30" s="388"/>
    </row>
    <row r="31" spans="2:72">
      <c r="B31" s="543" t="s">
        <v>6</v>
      </c>
      <c r="C31" s="333"/>
      <c r="D31" s="430">
        <f>AV11</f>
        <v>0.1813513560440323</v>
      </c>
      <c r="E31" s="430">
        <f>AV19</f>
        <v>7.727147710125104E-2</v>
      </c>
      <c r="K31" s="333" t="s">
        <v>6</v>
      </c>
      <c r="L31" s="429"/>
      <c r="M31" s="372">
        <f>SUM(AQ6:AQ11)</f>
        <v>715618</v>
      </c>
      <c r="N31" s="372">
        <f t="shared" ref="N31:Q31" si="34">SUM(AR6:AR11)</f>
        <v>1200598</v>
      </c>
      <c r="O31" s="372">
        <f t="shared" si="34"/>
        <v>1182870</v>
      </c>
      <c r="P31" s="372">
        <f t="shared" si="34"/>
        <v>1345270</v>
      </c>
      <c r="Q31" s="372">
        <f t="shared" si="34"/>
        <v>1449221</v>
      </c>
      <c r="R31" s="443">
        <f t="shared" si="30"/>
        <v>7.727147710125104E-2</v>
      </c>
      <c r="X31" s="334" t="s">
        <v>15</v>
      </c>
      <c r="Y31" s="372">
        <f>40389+Y12</f>
        <v>348914</v>
      </c>
      <c r="Z31" s="372"/>
      <c r="AA31" s="444">
        <f>Y31/X12-1</f>
        <v>-7.435135565341966E-2</v>
      </c>
      <c r="AB31" s="345"/>
      <c r="AE31" s="571" t="s">
        <v>34</v>
      </c>
      <c r="AF31" s="571"/>
      <c r="AG31" s="571"/>
      <c r="AH31" s="571"/>
      <c r="AI31" s="571"/>
      <c r="AM31" s="346"/>
      <c r="AT31" s="439"/>
      <c r="AU31" s="439"/>
      <c r="BB31" s="372"/>
      <c r="BC31" s="372"/>
      <c r="BI31" s="388"/>
      <c r="BJ31" s="388"/>
      <c r="BK31" s="388"/>
      <c r="BL31" s="388"/>
      <c r="BO31" s="388"/>
      <c r="BP31" s="388"/>
      <c r="BQ31" s="388" t="s">
        <v>56</v>
      </c>
      <c r="BR31" s="428"/>
      <c r="BS31" s="428"/>
    </row>
    <row r="32" spans="2:72">
      <c r="B32" s="544" t="s">
        <v>7</v>
      </c>
      <c r="C32" s="457"/>
      <c r="D32" s="458">
        <f>BD11</f>
        <v>-5.9995764742596713E-2</v>
      </c>
      <c r="E32" s="458">
        <f>BD19</f>
        <v>-3.534125849941272E-2</v>
      </c>
      <c r="Q32" s="372"/>
      <c r="R32" s="372"/>
      <c r="Y32" s="372"/>
      <c r="Z32" s="372"/>
      <c r="AB32" s="345"/>
      <c r="AF32" s="338">
        <v>2023</v>
      </c>
      <c r="AG32" s="338">
        <v>2024</v>
      </c>
      <c r="AH32" s="338"/>
      <c r="AM32" s="346"/>
      <c r="AS32" s="388"/>
      <c r="AT32" s="439"/>
      <c r="AU32" s="439"/>
      <c r="BB32" s="372"/>
      <c r="BC32" s="372"/>
    </row>
    <row r="33" spans="2:92" ht="9.75" customHeight="1">
      <c r="B33" s="543"/>
      <c r="C33" s="333"/>
      <c r="D33" s="429"/>
      <c r="E33" s="429"/>
      <c r="Q33" s="372"/>
      <c r="R33" s="372"/>
      <c r="Y33" s="372"/>
      <c r="Z33" s="372"/>
      <c r="AB33" s="345"/>
      <c r="AE33" s="338" t="s">
        <v>57</v>
      </c>
      <c r="AF33" s="388">
        <f>AB28+AK28</f>
        <v>3086523</v>
      </c>
      <c r="AG33" s="388">
        <f>AC28+AL28</f>
        <v>2980009</v>
      </c>
      <c r="AH33" s="388"/>
      <c r="AI33" s="453">
        <f>AG33/AF33-1</f>
        <v>-3.4509381592166988E-2</v>
      </c>
      <c r="AM33" s="346"/>
      <c r="AT33" s="439"/>
      <c r="AU33" s="439"/>
      <c r="BB33" s="372"/>
      <c r="BC33" s="372"/>
    </row>
    <row r="34" spans="2:92">
      <c r="B34" s="545" t="s">
        <v>34</v>
      </c>
      <c r="C34" s="545"/>
      <c r="D34" s="546">
        <f>BM11</f>
        <v>3.3572237338976851E-2</v>
      </c>
      <c r="E34" s="546">
        <f>BM19</f>
        <v>-2.1011905228404015E-2</v>
      </c>
      <c r="Q34" s="372"/>
      <c r="R34" s="372"/>
      <c r="Y34" s="372"/>
      <c r="Z34" s="372"/>
      <c r="AB34" s="345"/>
      <c r="AF34" s="456" t="s">
        <v>55</v>
      </c>
      <c r="AG34" s="391">
        <f>AG33-AF33</f>
        <v>-106514</v>
      </c>
      <c r="AH34" s="391"/>
      <c r="AM34" s="346"/>
      <c r="AR34" s="334">
        <v>2022</v>
      </c>
      <c r="AS34" s="334">
        <v>2023</v>
      </c>
      <c r="AT34" s="334">
        <v>2024</v>
      </c>
      <c r="AU34" s="334">
        <v>2025</v>
      </c>
      <c r="AV34" s="334">
        <v>2026</v>
      </c>
      <c r="BB34" s="372"/>
      <c r="BC34" s="372"/>
      <c r="BF34" s="388"/>
      <c r="BG34" s="388"/>
      <c r="BH34" s="443"/>
      <c r="BU34" s="334" t="s">
        <v>41</v>
      </c>
      <c r="BV34" s="334" t="s">
        <v>42</v>
      </c>
      <c r="BW34" s="334" t="s">
        <v>43</v>
      </c>
      <c r="BX34" s="334" t="s">
        <v>44</v>
      </c>
      <c r="BY34" s="334" t="s">
        <v>45</v>
      </c>
      <c r="BZ34" s="334" t="s">
        <v>46</v>
      </c>
      <c r="CD34" s="374" t="s">
        <v>1</v>
      </c>
      <c r="CE34" s="374" t="s">
        <v>2</v>
      </c>
      <c r="CF34" s="338" t="s">
        <v>3</v>
      </c>
      <c r="CG34" s="338" t="s">
        <v>4</v>
      </c>
      <c r="CH34" s="338" t="s">
        <v>5</v>
      </c>
      <c r="CI34" s="338" t="s">
        <v>6</v>
      </c>
      <c r="CJ34" s="431" t="s">
        <v>1</v>
      </c>
      <c r="CK34" s="459">
        <f>CD36/CD35-1</f>
        <v>0.47606444469925235</v>
      </c>
      <c r="CL34" s="459">
        <f>CD37/CD36-1</f>
        <v>-0.13004725865421718</v>
      </c>
      <c r="CM34" s="459">
        <f>CD38/CD37-1</f>
        <v>2.9335429557642012E-3</v>
      </c>
      <c r="CN34" s="459">
        <f>CD39/CD38-1</f>
        <v>0.1271862415838001</v>
      </c>
    </row>
    <row r="35" spans="2:92">
      <c r="Q35" s="372"/>
      <c r="R35" s="372"/>
      <c r="Y35" s="372"/>
      <c r="Z35" s="372"/>
      <c r="AB35" s="460"/>
      <c r="AC35" s="461"/>
      <c r="AD35" s="461"/>
      <c r="AE35" s="461"/>
      <c r="AF35" s="461"/>
      <c r="AG35" s="461"/>
      <c r="AH35" s="461"/>
      <c r="AI35" s="461"/>
      <c r="AJ35" s="461"/>
      <c r="AK35" s="461"/>
      <c r="AL35" s="461"/>
      <c r="AM35" s="462"/>
      <c r="AQ35" s="334" t="s">
        <v>41</v>
      </c>
      <c r="AR35" s="388">
        <f>AQ6</f>
        <v>76838</v>
      </c>
      <c r="AS35" s="388">
        <f>AR6</f>
        <v>183628</v>
      </c>
      <c r="AT35" s="388">
        <f>AS6</f>
        <v>188625</v>
      </c>
      <c r="AU35" s="388">
        <f>AT6</f>
        <v>209485</v>
      </c>
      <c r="AV35" s="388">
        <f>AU6</f>
        <v>214814</v>
      </c>
      <c r="BB35" s="372"/>
      <c r="BC35" s="372"/>
      <c r="BT35" s="334">
        <v>2021</v>
      </c>
      <c r="BU35" s="388" t="e">
        <f>#REF!+#REF!+#REF!+#REF!+#REF!+#REF!</f>
        <v>#REF!</v>
      </c>
      <c r="BV35" s="388" t="e">
        <f>#REF!+#REF!+#REF!+#REF!+#REF!+#REF!</f>
        <v>#REF!</v>
      </c>
      <c r="BW35" s="388" t="e">
        <f>#REF!+#REF!+#REF!+#REF!+#REF!+#REF!</f>
        <v>#REF!</v>
      </c>
      <c r="BX35" s="388" t="e">
        <f>#REF!+#REF!+#REF!+#REF!+#REF!+#REF!</f>
        <v>#REF!</v>
      </c>
      <c r="BY35" s="388" t="e">
        <f>#REF!+#REF!+#REF!+#REF!+#REF!+#REF!</f>
        <v>#REF!</v>
      </c>
      <c r="BZ35" s="388" t="e">
        <f>#REF!+#REF!+#REF!+#REF!+#REF!+#REF!</f>
        <v>#REF!</v>
      </c>
      <c r="CC35" s="338">
        <v>2021</v>
      </c>
      <c r="CD35" s="372">
        <f>SUM(E6:E8)</f>
        <v>1595973</v>
      </c>
      <c r="CE35" s="372">
        <f>SUM(M6:M8)</f>
        <v>382815</v>
      </c>
      <c r="CF35" s="372">
        <f>SUM(U6:U8)</f>
        <v>714976</v>
      </c>
      <c r="CG35" s="372">
        <f>SUM(AC6:AC8)</f>
        <v>593398</v>
      </c>
      <c r="CH35" s="429"/>
      <c r="CI35" s="429"/>
      <c r="CJ35" s="431" t="s">
        <v>2</v>
      </c>
      <c r="CK35" s="459">
        <f>CE36/CE35-1</f>
        <v>0.51390619489831901</v>
      </c>
      <c r="CL35" s="459">
        <f>CE37/CE36-1</f>
        <v>0.18695151032014712</v>
      </c>
      <c r="CM35" s="459">
        <f>CE38/CE37-1</f>
        <v>-2.8946362297624817E-2</v>
      </c>
      <c r="CN35" s="459">
        <f>CE39/CE38-1</f>
        <v>-1.9491572365082366E-3</v>
      </c>
    </row>
    <row r="36" spans="2:92">
      <c r="Q36" s="372"/>
      <c r="R36" s="372"/>
      <c r="Y36" s="372"/>
      <c r="Z36" s="372"/>
      <c r="AG36" s="372"/>
      <c r="AH36" s="372"/>
      <c r="AQ36" s="334" t="s">
        <v>42</v>
      </c>
      <c r="AR36" s="388">
        <f>AQ7</f>
        <v>85678</v>
      </c>
      <c r="AS36" s="388">
        <f>AR7</f>
        <v>172325</v>
      </c>
      <c r="AT36" s="388">
        <f>AS7</f>
        <v>171179</v>
      </c>
      <c r="AU36" s="388">
        <f>AT7</f>
        <v>203585</v>
      </c>
      <c r="AV36" s="388">
        <f>AU7</f>
        <v>216079</v>
      </c>
      <c r="BB36" s="372"/>
      <c r="BC36" s="372"/>
      <c r="BG36" s="388"/>
      <c r="BT36" s="334">
        <v>2022</v>
      </c>
      <c r="BU36" s="388" t="e">
        <f>#REF!+#REF!+#REF!+#REF!+#REF!+AQ6</f>
        <v>#REF!</v>
      </c>
      <c r="BV36" s="388" t="e">
        <f>#REF!+#REF!+#REF!+#REF!+#REF!+AQ7</f>
        <v>#REF!</v>
      </c>
      <c r="BW36" s="388" t="e">
        <f>#REF!+#REF!+#REF!+#REF!+#REF!+AQ8</f>
        <v>#REF!</v>
      </c>
      <c r="BX36" s="388" t="e">
        <f>#REF!+#REF!+#REF!+#REF!+#REF!+AQ9</f>
        <v>#REF!</v>
      </c>
      <c r="BY36" s="388" t="e">
        <f>#REF!+#REF!+#REF!+#REF!+#REF!+AQ10</f>
        <v>#REF!</v>
      </c>
      <c r="BZ36" s="388" t="e">
        <f>#REF!+#REF!+#REF!+#REF!+#REF!+AQ11</f>
        <v>#REF!</v>
      </c>
      <c r="CC36" s="338">
        <v>2022</v>
      </c>
      <c r="CD36" s="372">
        <f>SUM(F6:F8)</f>
        <v>2355759</v>
      </c>
      <c r="CE36" s="372">
        <f>SUM(N6:N8)</f>
        <v>579546</v>
      </c>
      <c r="CF36" s="372">
        <f>SUM(V6:V8)</f>
        <v>905848</v>
      </c>
      <c r="CG36" s="372">
        <f>SUM(AD6:AD8)</f>
        <v>716071</v>
      </c>
      <c r="CH36" s="372"/>
      <c r="CI36" s="372">
        <f>SUM(AQ6:AQ8)</f>
        <v>284758</v>
      </c>
      <c r="CJ36" s="431" t="s">
        <v>3</v>
      </c>
      <c r="CK36" s="459">
        <f>CF36/CF35-1</f>
        <v>0.26696280714317688</v>
      </c>
      <c r="CL36" s="459">
        <f>CF37/CF36-1</f>
        <v>4.1014607307186202E-2</v>
      </c>
      <c r="CM36" s="459">
        <f>CF38/CF37-1</f>
        <v>-5.9429417360108872E-2</v>
      </c>
      <c r="CN36" s="459">
        <f>CF39/CF38-1</f>
        <v>-1.7387500436886083E-2</v>
      </c>
    </row>
    <row r="37" spans="2:92">
      <c r="H37" s="372"/>
      <c r="I37" s="372"/>
      <c r="J37" s="372"/>
      <c r="Q37" s="372"/>
      <c r="R37" s="372"/>
      <c r="Y37" s="372"/>
      <c r="Z37" s="372"/>
      <c r="AG37" s="372"/>
      <c r="AH37" s="372"/>
      <c r="AQ37" s="334" t="s">
        <v>43</v>
      </c>
      <c r="AR37" s="388">
        <f>AQ8</f>
        <v>122242</v>
      </c>
      <c r="AS37" s="388">
        <f>AR8</f>
        <v>198118</v>
      </c>
      <c r="AT37" s="388">
        <f>AS8</f>
        <v>206148</v>
      </c>
      <c r="AU37" s="388">
        <f>AT8</f>
        <v>238076</v>
      </c>
      <c r="AV37" s="388">
        <f>AU8</f>
        <v>233906</v>
      </c>
      <c r="BB37" s="372"/>
      <c r="BC37" s="372"/>
      <c r="BT37" s="334">
        <v>2023</v>
      </c>
      <c r="BU37" s="388" t="e">
        <f>#REF!+#REF!+#REF!+#REF!+AR6+#REF!</f>
        <v>#REF!</v>
      </c>
      <c r="BV37" s="388" t="e">
        <f>#REF!+#REF!+#REF!+#REF!+#REF!+AR7</f>
        <v>#REF!</v>
      </c>
      <c r="BW37" s="388" t="e">
        <f>#REF!+#REF!+#REF!+#REF!+#REF!+AR8</f>
        <v>#REF!</v>
      </c>
      <c r="BX37" s="388" t="e">
        <f>#REF!+#REF!+#REF!+#REF!+#REF!+AR9</f>
        <v>#REF!</v>
      </c>
      <c r="BY37" s="388" t="e">
        <f>#REF!+#REF!+#REF!+#REF!+#REF!+AR10</f>
        <v>#REF!</v>
      </c>
      <c r="BZ37" s="388" t="e">
        <f>#REF!+#REF!+#REF!+#REF!+AR11+#REF!</f>
        <v>#REF!</v>
      </c>
      <c r="CC37" s="338">
        <v>2023</v>
      </c>
      <c r="CD37" s="372">
        <f>SUM(G6:G8)</f>
        <v>2049399</v>
      </c>
      <c r="CE37" s="372">
        <f>SUM(O6:O8)</f>
        <v>687893</v>
      </c>
      <c r="CF37" s="372">
        <f>SUM(W6:W8)</f>
        <v>943001</v>
      </c>
      <c r="CG37" s="372">
        <f>SUM(AE6:AE8)</f>
        <v>681025</v>
      </c>
      <c r="CH37" s="372">
        <f>SUM(AL6:AL8)</f>
        <v>1268966</v>
      </c>
      <c r="CI37" s="372">
        <f>SUM(AR6:AR8)</f>
        <v>554071</v>
      </c>
      <c r="CJ37" s="431" t="s">
        <v>4</v>
      </c>
      <c r="CK37" s="459">
        <f>CG36/CG35-1</f>
        <v>0.20672971597477585</v>
      </c>
      <c r="CL37" s="459">
        <f>CG37/CG36-1</f>
        <v>-4.8942074179795014E-2</v>
      </c>
      <c r="CM37" s="459">
        <f>CG38/CG37-1</f>
        <v>7.4025182629125164E-2</v>
      </c>
      <c r="CN37" s="459">
        <f>CG39/CG38-1</f>
        <v>-0.11876057847691812</v>
      </c>
    </row>
    <row r="38" spans="2:92">
      <c r="I38" s="372"/>
      <c r="J38" s="372"/>
      <c r="Q38" s="372"/>
      <c r="R38" s="372"/>
      <c r="Y38" s="372"/>
      <c r="Z38" s="372"/>
      <c r="AG38" s="372"/>
      <c r="AH38" s="372"/>
      <c r="AQ38" s="334" t="s">
        <v>44</v>
      </c>
      <c r="AR38" s="388">
        <f>AQ9</f>
        <v>123629</v>
      </c>
      <c r="AS38" s="388">
        <f>AR9</f>
        <v>217541</v>
      </c>
      <c r="AT38" s="388">
        <f>AS9</f>
        <v>194537</v>
      </c>
      <c r="AU38" s="388">
        <f>AT9</f>
        <v>220625</v>
      </c>
      <c r="AV38" s="388">
        <f>AU9</f>
        <v>247647</v>
      </c>
      <c r="BB38" s="372"/>
      <c r="BC38" s="372"/>
      <c r="BT38" s="334">
        <v>2024</v>
      </c>
      <c r="BU38" s="388" t="e">
        <f>#REF!+#REF!+#REF!+#REF!+AS6+D6</f>
        <v>#REF!</v>
      </c>
      <c r="BV38" s="388" t="e">
        <f>D7+#REF!+#REF!+#REF!+#REF!+AS7</f>
        <v>#REF!</v>
      </c>
      <c r="BW38" s="388" t="e">
        <f>D8+#REF!+#REF!+#REF!+#REF!+AS8</f>
        <v>#REF!</v>
      </c>
      <c r="BX38" s="388" t="e">
        <f>D9+#REF!+#REF!+#REF!+#REF!+AS9</f>
        <v>#REF!</v>
      </c>
      <c r="BY38" s="388" t="e">
        <f>D10+#REF!+#REF!+#REF!+#REF!+AS10</f>
        <v>#REF!</v>
      </c>
      <c r="BZ38" s="388" t="e">
        <f>D11+#REF!+#REF!+#REF!+#REF!+AS11</f>
        <v>#REF!</v>
      </c>
      <c r="CC38" s="338">
        <v>2024</v>
      </c>
      <c r="CD38" s="372">
        <f>SUM(H6:H8)</f>
        <v>2055411</v>
      </c>
      <c r="CE38" s="372">
        <f>SUM(P6:P8)</f>
        <v>667981</v>
      </c>
      <c r="CF38" s="372">
        <f>SUM(X6:X8)</f>
        <v>886959</v>
      </c>
      <c r="CG38" s="372">
        <f>SUM(AF6:AF8)</f>
        <v>731438</v>
      </c>
      <c r="CH38" s="372">
        <f>SUM(AM6:AM8)</f>
        <v>1264443</v>
      </c>
      <c r="CI38" s="372">
        <f>SUM(AS6:AS8)</f>
        <v>565952</v>
      </c>
      <c r="CJ38" s="431" t="s">
        <v>5</v>
      </c>
      <c r="CK38" s="459">
        <f>CH38/CH37-1</f>
        <v>-3.5643192961828385E-3</v>
      </c>
      <c r="CL38" s="459">
        <f>CH39/CH38-1</f>
        <v>0.13760999902723969</v>
      </c>
      <c r="CM38" s="459"/>
      <c r="CN38" s="459"/>
    </row>
    <row r="39" spans="2:92">
      <c r="I39" s="372"/>
      <c r="J39" s="372"/>
      <c r="Q39" s="372"/>
      <c r="R39" s="372"/>
      <c r="Y39" s="372"/>
      <c r="Z39" s="372"/>
      <c r="AG39" s="372"/>
      <c r="AH39" s="372"/>
      <c r="AQ39" s="334" t="s">
        <v>45</v>
      </c>
      <c r="AR39" s="388">
        <f>AQ10</f>
        <v>135928</v>
      </c>
      <c r="AS39" s="388">
        <f>AR10</f>
        <v>204879</v>
      </c>
      <c r="AT39" s="388">
        <f>AS10</f>
        <v>194126</v>
      </c>
      <c r="AU39" s="388">
        <f>AT10</f>
        <v>243123</v>
      </c>
      <c r="AV39" s="388">
        <f>AU10</f>
        <v>264620</v>
      </c>
      <c r="CC39" s="338">
        <v>2025</v>
      </c>
      <c r="CD39" s="372">
        <f>SUM(I6:I8)</f>
        <v>2316831</v>
      </c>
      <c r="CE39" s="372">
        <f>SUM(Q6:Q8)</f>
        <v>666679</v>
      </c>
      <c r="CF39" s="372">
        <f>SUM(Y6:Y8)</f>
        <v>871537</v>
      </c>
      <c r="CG39" s="372">
        <f>SUM(AG6:AG8)</f>
        <v>644572</v>
      </c>
      <c r="CH39" s="372">
        <f>SUM(AN6:AN8)</f>
        <v>1438443</v>
      </c>
      <c r="CI39" s="372">
        <f>SUM(AT6:AT8)</f>
        <v>651146</v>
      </c>
      <c r="CJ39" s="431" t="s">
        <v>6</v>
      </c>
      <c r="CK39" s="459">
        <f>CI37/CI36-1</f>
        <v>0.9457609619396119</v>
      </c>
      <c r="CL39" s="459">
        <f>CI38/CI37-1</f>
        <v>2.1443100252494629E-2</v>
      </c>
      <c r="CM39" s="459">
        <f>CI39/CI38-1</f>
        <v>0.15053220061065242</v>
      </c>
      <c r="CN39" s="459"/>
    </row>
    <row r="40" spans="2:92">
      <c r="I40" s="372"/>
      <c r="J40" s="372"/>
      <c r="Q40" s="372"/>
      <c r="R40" s="372"/>
      <c r="AQ40" s="334" t="s">
        <v>46</v>
      </c>
      <c r="AR40" s="388">
        <f>AQ11</f>
        <v>171303</v>
      </c>
      <c r="AS40" s="388">
        <f>AR11</f>
        <v>224107</v>
      </c>
      <c r="AT40" s="388">
        <f>AS11</f>
        <v>228255</v>
      </c>
      <c r="AU40" s="388">
        <f>AT11</f>
        <v>230376</v>
      </c>
      <c r="AV40" s="388">
        <f>AU11</f>
        <v>272155</v>
      </c>
      <c r="CC40" s="338">
        <v>2026</v>
      </c>
      <c r="CD40" s="372">
        <f>SUM(J6:J8)</f>
        <v>2103214</v>
      </c>
      <c r="CE40" s="372">
        <f>SUM(R6:R8)</f>
        <v>750952</v>
      </c>
      <c r="CF40" s="372">
        <f>SUM(Z6:Z8)</f>
        <v>745892</v>
      </c>
      <c r="CG40" s="372">
        <f>SUM(AH6:AH8)</f>
        <v>600270</v>
      </c>
      <c r="CH40" s="372">
        <f>SUM(AO6:AO8)</f>
        <v>1455127</v>
      </c>
      <c r="CI40" s="372">
        <f>SUM(AU6:AU8)</f>
        <v>664799</v>
      </c>
    </row>
    <row r="41" spans="2:92">
      <c r="Q41" s="372"/>
      <c r="R41" s="372"/>
      <c r="AQ41" s="334" t="s">
        <v>47</v>
      </c>
      <c r="AR41" s="388">
        <f>AQ12</f>
        <v>167002</v>
      </c>
      <c r="AS41" s="388">
        <f>AR12</f>
        <v>233715</v>
      </c>
      <c r="AT41" s="388">
        <f>AS12</f>
        <v>230380</v>
      </c>
      <c r="AU41" s="388">
        <f>AT12</f>
        <v>234948</v>
      </c>
      <c r="AV41" s="388">
        <f>AU12</f>
        <v>0</v>
      </c>
      <c r="CD41" s="443">
        <f>CD40/CD39-1</f>
        <v>-9.2202236589548403E-2</v>
      </c>
      <c r="CE41" s="443">
        <f t="shared" ref="CE41:CI41" si="35">CE40/CE39-1</f>
        <v>0.12640716146751285</v>
      </c>
      <c r="CF41" s="443">
        <f t="shared" si="35"/>
        <v>-0.1441648489966576</v>
      </c>
      <c r="CG41" s="443">
        <f t="shared" si="35"/>
        <v>-6.8730878784681981E-2</v>
      </c>
      <c r="CH41" s="443">
        <f t="shared" si="35"/>
        <v>1.1598652153752331E-2</v>
      </c>
      <c r="CI41" s="443">
        <f t="shared" si="35"/>
        <v>2.0967647808632695E-2</v>
      </c>
    </row>
    <row r="42" spans="2:92">
      <c r="AQ42" s="334" t="s">
        <v>48</v>
      </c>
      <c r="AR42" s="388">
        <f>AQ13</f>
        <v>134968</v>
      </c>
      <c r="AS42" s="388">
        <f>AR13</f>
        <v>194172</v>
      </c>
      <c r="AT42" s="388">
        <f>AS13</f>
        <v>210703</v>
      </c>
      <c r="AU42" s="388">
        <f>AT13</f>
        <v>226802</v>
      </c>
      <c r="AV42" s="388">
        <f>AU13</f>
        <v>0</v>
      </c>
    </row>
    <row r="43" spans="2:92">
      <c r="AA43" s="429" t="s">
        <v>1</v>
      </c>
      <c r="AB43" s="429" t="s">
        <v>2</v>
      </c>
      <c r="AC43" s="429" t="s">
        <v>3</v>
      </c>
      <c r="AD43" s="429" t="s">
        <v>4</v>
      </c>
      <c r="AE43" s="429" t="s">
        <v>5</v>
      </c>
      <c r="AF43" s="429" t="s">
        <v>6</v>
      </c>
      <c r="AQ43" s="334" t="s">
        <v>49</v>
      </c>
      <c r="AR43" s="388">
        <f>AQ14</f>
        <v>172818</v>
      </c>
      <c r="AS43" s="388">
        <f>AR14</f>
        <v>194944</v>
      </c>
      <c r="AT43" s="388">
        <f>AS14</f>
        <v>193684</v>
      </c>
      <c r="AU43" s="388">
        <f>AT14</f>
        <v>207691</v>
      </c>
      <c r="AV43" s="388">
        <f>AU14</f>
        <v>0</v>
      </c>
    </row>
    <row r="44" spans="2:92">
      <c r="Y44" s="334">
        <v>2021</v>
      </c>
      <c r="AQ44" s="334" t="s">
        <v>50</v>
      </c>
      <c r="AR44" s="388">
        <f>AQ15</f>
        <v>186548</v>
      </c>
      <c r="AS44" s="388">
        <f>AR15</f>
        <v>195794</v>
      </c>
      <c r="AT44" s="388">
        <f>AS15</f>
        <v>207454</v>
      </c>
      <c r="AU44" s="388">
        <f>AT15</f>
        <v>209204</v>
      </c>
      <c r="AV44" s="388">
        <f>AU15</f>
        <v>0</v>
      </c>
    </row>
    <row r="45" spans="2:92">
      <c r="Y45" s="334">
        <v>2022</v>
      </c>
      <c r="AQ45" s="334" t="s">
        <v>51</v>
      </c>
      <c r="AR45" s="388">
        <f t="shared" ref="AR45:AR46" si="36">AQ16</f>
        <v>167428</v>
      </c>
      <c r="AS45" s="388">
        <f t="shared" ref="AS45:AS46" si="37">AR16</f>
        <v>176079</v>
      </c>
      <c r="AT45" s="388">
        <f t="shared" ref="AT45:AT46" si="38">AS16</f>
        <v>211609</v>
      </c>
      <c r="AU45" s="388">
        <f t="shared" ref="AU45:AU46" si="39">AT16</f>
        <v>203804</v>
      </c>
    </row>
    <row r="46" spans="2:92">
      <c r="Y46" s="334">
        <v>2023</v>
      </c>
      <c r="AN46" s="338"/>
      <c r="AO46" s="338"/>
      <c r="AQ46" s="334" t="s">
        <v>52</v>
      </c>
      <c r="AR46" s="388">
        <f t="shared" si="36"/>
        <v>170579</v>
      </c>
      <c r="AS46" s="388">
        <f t="shared" si="37"/>
        <v>191769</v>
      </c>
      <c r="AT46" s="388">
        <f t="shared" si="38"/>
        <v>230944</v>
      </c>
      <c r="AU46" s="388">
        <f t="shared" si="39"/>
        <v>233344</v>
      </c>
    </row>
    <row r="47" spans="2:92">
      <c r="Y47" s="334">
        <v>2024</v>
      </c>
      <c r="AN47" s="453"/>
      <c r="AO47" s="453"/>
    </row>
    <row r="48" spans="2:92">
      <c r="Y48" s="334">
        <v>2025</v>
      </c>
    </row>
    <row r="52" spans="44:48">
      <c r="AR52" s="244">
        <v>2022</v>
      </c>
      <c r="AS52" s="463">
        <f>SUM(AR35:AR46)</f>
        <v>1714961</v>
      </c>
      <c r="AT52" s="305"/>
      <c r="AU52" s="333"/>
    </row>
    <row r="53" spans="44:48">
      <c r="AR53" s="244">
        <v>2023</v>
      </c>
      <c r="AS53" s="463">
        <f>SUM(AS35:AS46)</f>
        <v>2387071</v>
      </c>
      <c r="AT53" s="303">
        <f>AS53/AS52-1</f>
        <v>0.39190978686978895</v>
      </c>
      <c r="AU53" s="443"/>
    </row>
    <row r="54" spans="44:48">
      <c r="AR54" s="244">
        <v>2024</v>
      </c>
      <c r="AS54" s="463">
        <f>SUM(AT35:AT46)</f>
        <v>2467644</v>
      </c>
      <c r="AT54" s="303">
        <f>AS54/AS53-1</f>
        <v>3.3753918505147196E-2</v>
      </c>
      <c r="AU54" s="443"/>
    </row>
    <row r="55" spans="44:48">
      <c r="AR55" s="244">
        <v>2025</v>
      </c>
      <c r="AS55" s="463">
        <f>SUM(AU35:AU46)</f>
        <v>2661063</v>
      </c>
      <c r="AT55" s="303">
        <f>AS55/AS54-1</f>
        <v>7.8382051868097768E-2</v>
      </c>
      <c r="AU55" s="443"/>
      <c r="AV55" s="334">
        <v>2021</v>
      </c>
    </row>
    <row r="56" spans="44:48">
      <c r="AV56" s="334">
        <v>2022</v>
      </c>
    </row>
    <row r="57" spans="44:48">
      <c r="AV57" s="334">
        <v>2023</v>
      </c>
    </row>
    <row r="58" spans="44:48">
      <c r="AV58" s="334">
        <v>2024</v>
      </c>
    </row>
  </sheetData>
  <mergeCells count="14">
    <mergeCell ref="BO3:BR3"/>
    <mergeCell ref="AQ3:AV3"/>
    <mergeCell ref="AW3:BD3"/>
    <mergeCell ref="BF3:BM3"/>
    <mergeCell ref="D3:K3"/>
    <mergeCell ref="L3:S3"/>
    <mergeCell ref="U3:AA3"/>
    <mergeCell ref="AB3:AI3"/>
    <mergeCell ref="AK3:AP3"/>
    <mergeCell ref="B24:E24"/>
    <mergeCell ref="AB26:AD26"/>
    <mergeCell ref="AK26:AM26"/>
    <mergeCell ref="AE31:AI31"/>
    <mergeCell ref="L24:Q24"/>
  </mergeCells>
  <phoneticPr fontId="1" type="noConversion"/>
  <pageMargins left="0.7" right="0.7" top="0.75" bottom="0.75" header="0.3" footer="0.3"/>
  <pageSetup paperSize="9" scale="33" fitToHeight="0" orientation="landscape" r:id="rId1"/>
  <ignoredErrors>
    <ignoredError sqref="L19:Q19 T19:Y19 AB19:AG19 AJ19:AN19 AQ19:AT19 AW19:BB19 BE19:BK19 BN19:BR19" formula="1"/>
    <ignoredError sqref="AB28:AC28 AK28:AL28 L26:Q31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05142698-4E6E-E54D-8D14-D1D8AD7FD29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K6:K19 S6:S19 AA6:AA17 AI6:AI19 AP6:AP17 AV6:AV17 BD6:BD17</xm:sqref>
        </x14:conditionalFormatting>
        <x14:conditionalFormatting xmlns:xm="http://schemas.microsoft.com/office/excel/2006/main">
          <x14:cfRule type="iconSet" priority="7" id="{7677B458-2B5A-5C4E-8B9F-EAC2D4DA47F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AA6:AA17</xm:sqref>
        </x14:conditionalFormatting>
        <x14:conditionalFormatting xmlns:xm="http://schemas.microsoft.com/office/excel/2006/main">
          <x14:cfRule type="iconSet" priority="4" id="{9F014DCE-754E-244C-9F4F-80FD205C8D0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BD19 AV19 AP19 AA19</xm:sqref>
        </x14:conditionalFormatting>
        <x14:conditionalFormatting xmlns:xm="http://schemas.microsoft.com/office/excel/2006/main">
          <x14:cfRule type="iconSet" priority="8" id="{83DDE89E-9840-8C48-A2EA-5311B65755B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BM6:BM17</xm:sqref>
        </x14:conditionalFormatting>
        <x14:conditionalFormatting xmlns:xm="http://schemas.microsoft.com/office/excel/2006/main">
          <x14:cfRule type="iconSet" priority="5" id="{223A89F4-0922-A140-8C35-4F58A1325B2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BM19</xm:sqref>
        </x14:conditionalFormatting>
        <x14:conditionalFormatting xmlns:xm="http://schemas.microsoft.com/office/excel/2006/main">
          <x14:cfRule type="iconSet" priority="6" id="{8BC28CFD-7E69-C54F-9465-7345A928D7A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BT6:BT17</xm:sqref>
        </x14:conditionalFormatting>
        <x14:conditionalFormatting xmlns:xm="http://schemas.microsoft.com/office/excel/2006/main">
          <x14:cfRule type="iconSet" priority="3" id="{3B961536-DEF5-6E4F-B0CE-301869F46E6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BT19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3345-F29F-6B41-888B-8EE1E8E69ACC}">
  <sheetPr>
    <tabColor rgb="FF4A7C9E"/>
  </sheetPr>
  <dimension ref="A1:CS39"/>
  <sheetViews>
    <sheetView showGridLines="0" zoomScale="110" zoomScaleNormal="110" workbookViewId="0">
      <pane xSplit="1" ySplit="5" topLeftCell="AS6" activePane="bottomRight" state="frozen"/>
      <selection pane="topRight"/>
      <selection pane="bottomLeft"/>
      <selection pane="bottomRight" activeCell="AT23" sqref="AT23"/>
    </sheetView>
  </sheetViews>
  <sheetFormatPr baseColWidth="10" defaultColWidth="11" defaultRowHeight="15.75" customHeight="1"/>
  <cols>
    <col min="1" max="1" width="7" style="244" customWidth="1"/>
    <col min="2" max="6" width="12.83203125" style="244" customWidth="1"/>
    <col min="7" max="7" width="10" style="244" customWidth="1"/>
    <col min="8" max="12" width="12.83203125" style="244" customWidth="1"/>
    <col min="13" max="13" width="10" style="244" customWidth="1"/>
    <col min="14" max="18" width="12.33203125" style="244" customWidth="1"/>
    <col min="19" max="19" width="10" style="244" customWidth="1"/>
    <col min="20" max="24" width="12.83203125" style="244" customWidth="1"/>
    <col min="25" max="25" width="9.83203125" style="244" customWidth="1"/>
    <col min="26" max="30" width="12.83203125" style="244" customWidth="1"/>
    <col min="31" max="31" width="10" style="244" customWidth="1"/>
    <col min="32" max="36" width="12.83203125" style="244" customWidth="1"/>
    <col min="37" max="37" width="9.83203125" style="244" customWidth="1"/>
    <col min="38" max="41" width="10" style="244" hidden="1" customWidth="1"/>
    <col min="42" max="46" width="12.83203125" style="244" customWidth="1"/>
    <col min="47" max="47" width="9.83203125" style="244" customWidth="1"/>
    <col min="48" max="52" width="11.83203125" style="244" customWidth="1"/>
    <col min="53" max="53" width="10" style="244" customWidth="1"/>
    <col min="54" max="58" width="12" style="244" customWidth="1"/>
    <col min="59" max="59" width="10" style="244" customWidth="1"/>
    <col min="60" max="64" width="12.83203125" style="244" customWidth="1"/>
    <col min="65" max="65" width="9.83203125" style="244" customWidth="1"/>
    <col min="66" max="70" width="13.6640625" style="244" customWidth="1"/>
    <col min="71" max="71" width="9.83203125" style="244" customWidth="1"/>
    <col min="72" max="72" width="4.83203125" style="244" customWidth="1"/>
    <col min="73" max="77" width="13.6640625" style="244" customWidth="1"/>
    <col min="78" max="78" width="9.83203125" style="244" customWidth="1"/>
    <col min="79" max="79" width="12.6640625" style="244" customWidth="1"/>
    <col min="80" max="81" width="11" style="244"/>
    <col min="82" max="89" width="13" style="244" customWidth="1"/>
    <col min="90" max="91" width="11" style="244"/>
    <col min="92" max="94" width="5.33203125" style="244" customWidth="1"/>
    <col min="95" max="16384" width="11" style="244"/>
  </cols>
  <sheetData>
    <row r="1" spans="1:79" ht="15">
      <c r="A1" s="305" t="s">
        <v>58</v>
      </c>
    </row>
    <row r="3" spans="1:79" s="305" customFormat="1" ht="15">
      <c r="B3" s="547" t="s">
        <v>1</v>
      </c>
      <c r="C3" s="548"/>
      <c r="D3" s="548"/>
      <c r="E3" s="548"/>
      <c r="F3" s="548"/>
      <c r="G3" s="549"/>
      <c r="H3" s="547" t="s">
        <v>2</v>
      </c>
      <c r="I3" s="548"/>
      <c r="J3" s="548"/>
      <c r="K3" s="548"/>
      <c r="L3" s="548"/>
      <c r="M3" s="549"/>
      <c r="N3" s="547" t="s">
        <v>3</v>
      </c>
      <c r="O3" s="548"/>
      <c r="P3" s="548"/>
      <c r="Q3" s="548"/>
      <c r="R3" s="548"/>
      <c r="S3" s="549"/>
      <c r="T3" s="547" t="s">
        <v>59</v>
      </c>
      <c r="U3" s="548"/>
      <c r="V3" s="548"/>
      <c r="W3" s="548"/>
      <c r="X3" s="548"/>
      <c r="Y3" s="549"/>
      <c r="Z3" s="547" t="s">
        <v>4</v>
      </c>
      <c r="AA3" s="548"/>
      <c r="AB3" s="548"/>
      <c r="AC3" s="548"/>
      <c r="AD3" s="548"/>
      <c r="AE3" s="549"/>
      <c r="AF3" s="547" t="s">
        <v>60</v>
      </c>
      <c r="AG3" s="548"/>
      <c r="AH3" s="548"/>
      <c r="AI3" s="548"/>
      <c r="AJ3" s="548"/>
      <c r="AK3" s="549"/>
      <c r="AL3" s="547" t="s">
        <v>61</v>
      </c>
      <c r="AM3" s="548"/>
      <c r="AN3" s="548"/>
      <c r="AO3" s="549"/>
      <c r="AP3" s="547" t="s">
        <v>5</v>
      </c>
      <c r="AQ3" s="548"/>
      <c r="AR3" s="548"/>
      <c r="AS3" s="548"/>
      <c r="AT3" s="548"/>
      <c r="AU3" s="549"/>
      <c r="AV3" s="547" t="s">
        <v>6</v>
      </c>
      <c r="AW3" s="548"/>
      <c r="AX3" s="548"/>
      <c r="AY3" s="548"/>
      <c r="AZ3" s="548"/>
      <c r="BA3" s="549"/>
      <c r="BB3" s="547" t="s">
        <v>7</v>
      </c>
      <c r="BC3" s="548"/>
      <c r="BD3" s="548"/>
      <c r="BE3" s="548"/>
      <c r="BF3" s="548"/>
      <c r="BG3" s="549"/>
      <c r="BH3" s="547" t="s">
        <v>62</v>
      </c>
      <c r="BI3" s="548"/>
      <c r="BJ3" s="548"/>
      <c r="BK3" s="548"/>
      <c r="BL3" s="548"/>
      <c r="BM3" s="549"/>
      <c r="BN3" s="547" t="s">
        <v>63</v>
      </c>
      <c r="BO3" s="548"/>
      <c r="BP3" s="548"/>
      <c r="BQ3" s="548"/>
      <c r="BR3" s="548"/>
      <c r="BS3" s="549"/>
      <c r="BU3" s="547" t="s">
        <v>36</v>
      </c>
      <c r="BV3" s="548"/>
      <c r="BW3" s="548"/>
      <c r="BX3" s="548"/>
      <c r="BY3" s="548"/>
      <c r="BZ3" s="549"/>
    </row>
    <row r="4" spans="1:79" s="306" customFormat="1" ht="15">
      <c r="B4" s="307">
        <v>2022</v>
      </c>
      <c r="C4" s="308">
        <v>2023</v>
      </c>
      <c r="D4" s="308">
        <v>2024</v>
      </c>
      <c r="E4" s="308">
        <v>2025</v>
      </c>
      <c r="F4" s="308">
        <v>2026</v>
      </c>
      <c r="G4" s="309" t="s">
        <v>8</v>
      </c>
      <c r="H4" s="310">
        <v>2022</v>
      </c>
      <c r="I4" s="311">
        <v>2023</v>
      </c>
      <c r="J4" s="311">
        <v>2024</v>
      </c>
      <c r="K4" s="311">
        <v>2025</v>
      </c>
      <c r="L4" s="311">
        <v>2026</v>
      </c>
      <c r="M4" s="312" t="s">
        <v>8</v>
      </c>
      <c r="N4" s="310">
        <v>2022</v>
      </c>
      <c r="O4" s="311">
        <v>2023</v>
      </c>
      <c r="P4" s="311">
        <v>2024</v>
      </c>
      <c r="Q4" s="311">
        <v>2025</v>
      </c>
      <c r="R4" s="313">
        <v>2026</v>
      </c>
      <c r="S4" s="311">
        <v>2025</v>
      </c>
      <c r="T4" s="310">
        <v>2022</v>
      </c>
      <c r="U4" s="311">
        <v>2023</v>
      </c>
      <c r="V4" s="311">
        <v>2024</v>
      </c>
      <c r="W4" s="311">
        <v>2025</v>
      </c>
      <c r="X4" s="311">
        <v>2026</v>
      </c>
      <c r="Y4" s="312" t="s">
        <v>8</v>
      </c>
      <c r="Z4" s="307">
        <v>2022</v>
      </c>
      <c r="AA4" s="308">
        <v>2023</v>
      </c>
      <c r="AB4" s="308">
        <v>2024</v>
      </c>
      <c r="AC4" s="308">
        <v>2025</v>
      </c>
      <c r="AD4" s="308">
        <v>2026</v>
      </c>
      <c r="AE4" s="309" t="s">
        <v>8</v>
      </c>
      <c r="AF4" s="310">
        <v>2022</v>
      </c>
      <c r="AG4" s="311">
        <v>2023</v>
      </c>
      <c r="AH4" s="311">
        <v>2024</v>
      </c>
      <c r="AI4" s="311">
        <v>2025</v>
      </c>
      <c r="AJ4" s="311">
        <v>2026</v>
      </c>
      <c r="AK4" s="312" t="s">
        <v>8</v>
      </c>
      <c r="AL4" s="310">
        <v>2024</v>
      </c>
      <c r="AM4" s="311">
        <v>2023</v>
      </c>
      <c r="AN4" s="311">
        <v>2022</v>
      </c>
      <c r="AO4" s="312" t="s">
        <v>8</v>
      </c>
      <c r="AP4" s="307">
        <v>2022</v>
      </c>
      <c r="AQ4" s="308">
        <v>2023</v>
      </c>
      <c r="AR4" s="308">
        <v>2024</v>
      </c>
      <c r="AS4" s="308">
        <v>2025</v>
      </c>
      <c r="AT4" s="308">
        <v>2026</v>
      </c>
      <c r="AU4" s="309" t="s">
        <v>8</v>
      </c>
      <c r="AV4" s="307">
        <v>2022</v>
      </c>
      <c r="AW4" s="308">
        <v>2023</v>
      </c>
      <c r="AX4" s="308">
        <v>2024</v>
      </c>
      <c r="AY4" s="308">
        <v>2025</v>
      </c>
      <c r="AZ4" s="308">
        <v>2026</v>
      </c>
      <c r="BA4" s="309" t="s">
        <v>8</v>
      </c>
      <c r="BB4" s="307">
        <v>2022</v>
      </c>
      <c r="BC4" s="308">
        <v>2023</v>
      </c>
      <c r="BD4" s="308">
        <v>2024</v>
      </c>
      <c r="BE4" s="308">
        <v>2025</v>
      </c>
      <c r="BF4" s="308">
        <v>2026</v>
      </c>
      <c r="BG4" s="309" t="s">
        <v>8</v>
      </c>
      <c r="BH4" s="307">
        <v>2022</v>
      </c>
      <c r="BI4" s="308">
        <v>2023</v>
      </c>
      <c r="BJ4" s="308">
        <v>2024</v>
      </c>
      <c r="BK4" s="308">
        <v>2025</v>
      </c>
      <c r="BL4" s="308">
        <v>2026</v>
      </c>
      <c r="BM4" s="309" t="s">
        <v>8</v>
      </c>
      <c r="BN4" s="307">
        <v>2022</v>
      </c>
      <c r="BO4" s="308">
        <v>2023</v>
      </c>
      <c r="BP4" s="308">
        <v>2024</v>
      </c>
      <c r="BQ4" s="308">
        <v>2025</v>
      </c>
      <c r="BR4" s="308">
        <v>2026</v>
      </c>
      <c r="BS4" s="309" t="s">
        <v>8</v>
      </c>
      <c r="BU4" s="307">
        <v>2022</v>
      </c>
      <c r="BV4" s="308">
        <v>2023</v>
      </c>
      <c r="BW4" s="308">
        <v>2024</v>
      </c>
      <c r="BX4" s="308">
        <v>2025</v>
      </c>
      <c r="BY4" s="308">
        <v>2026</v>
      </c>
      <c r="BZ4" s="309" t="s">
        <v>8</v>
      </c>
    </row>
    <row r="5" spans="1:79" ht="15" hidden="1">
      <c r="B5" s="246"/>
      <c r="G5" s="247"/>
      <c r="H5" s="246"/>
      <c r="M5" s="247"/>
      <c r="N5" s="246"/>
      <c r="S5" s="247"/>
      <c r="T5" s="246"/>
      <c r="Y5" s="247"/>
      <c r="Z5" s="246"/>
      <c r="AE5" s="247"/>
      <c r="AF5" s="246"/>
      <c r="AK5" s="247"/>
      <c r="AL5" s="246"/>
      <c r="AO5" s="247"/>
      <c r="AP5" s="246"/>
      <c r="AU5" s="247"/>
      <c r="AV5" s="246"/>
      <c r="BA5" s="247"/>
      <c r="BB5" s="246"/>
      <c r="BG5" s="247"/>
      <c r="BH5" s="246"/>
      <c r="BM5" s="247"/>
      <c r="BN5" s="246"/>
      <c r="BS5" s="247"/>
      <c r="BU5" s="246"/>
      <c r="BZ5" s="247"/>
    </row>
    <row r="6" spans="1:79" ht="15">
      <c r="A6" s="329" t="s">
        <v>9</v>
      </c>
      <c r="B6" s="248">
        <v>250565</v>
      </c>
      <c r="C6" s="249">
        <v>246680</v>
      </c>
      <c r="D6" s="249">
        <v>250584</v>
      </c>
      <c r="E6" s="249">
        <v>258887</v>
      </c>
      <c r="F6" s="321">
        <v>233177</v>
      </c>
      <c r="G6" s="250">
        <f>F6/E6-1</f>
        <v>-9.9309737453020075E-2</v>
      </c>
      <c r="H6" s="248">
        <v>174664</v>
      </c>
      <c r="I6" s="249">
        <v>221780</v>
      </c>
      <c r="J6" s="249">
        <v>204045</v>
      </c>
      <c r="K6" s="249">
        <v>198019</v>
      </c>
      <c r="L6" s="321">
        <v>197653</v>
      </c>
      <c r="M6" s="251">
        <f>L6/K6-1</f>
        <v>-1.8483074856453507E-3</v>
      </c>
      <c r="N6" s="248">
        <v>203521</v>
      </c>
      <c r="O6" s="249">
        <v>202405</v>
      </c>
      <c r="P6" s="249">
        <v>190042</v>
      </c>
      <c r="Q6" s="249">
        <v>158744</v>
      </c>
      <c r="R6" s="322">
        <v>165627</v>
      </c>
      <c r="S6" s="253">
        <f>R6/Q6-1</f>
        <v>4.3359119084815712E-2</v>
      </c>
      <c r="T6" s="254">
        <v>79886</v>
      </c>
      <c r="U6" s="255">
        <v>88356</v>
      </c>
      <c r="V6" s="255">
        <v>92123</v>
      </c>
      <c r="W6" s="255">
        <v>90628</v>
      </c>
      <c r="X6" s="324">
        <v>118192</v>
      </c>
      <c r="Y6" s="250">
        <f t="shared" ref="Y6:Y17" si="0">X6/W6-1</f>
        <v>0.30414441452972585</v>
      </c>
      <c r="Z6" s="248">
        <v>112783</v>
      </c>
      <c r="AA6" s="249">
        <v>114062</v>
      </c>
      <c r="AB6" s="249">
        <v>113411</v>
      </c>
      <c r="AC6" s="249">
        <v>94209</v>
      </c>
      <c r="AD6" s="321">
        <v>90663</v>
      </c>
      <c r="AE6" s="251">
        <f t="shared" ref="AE6:AE17" si="1">AD6/AC6-1</f>
        <v>-3.7639715950705366E-2</v>
      </c>
      <c r="AF6" s="254">
        <v>63521</v>
      </c>
      <c r="AG6" s="255">
        <v>74755</v>
      </c>
      <c r="AH6" s="255">
        <v>73295</v>
      </c>
      <c r="AI6" s="255">
        <v>75469</v>
      </c>
      <c r="AJ6" s="324">
        <v>67730</v>
      </c>
      <c r="AK6" s="250">
        <f>AJ6/AI6-1</f>
        <v>-0.10254541599862199</v>
      </c>
      <c r="AL6" s="256">
        <v>75405</v>
      </c>
      <c r="AM6" s="257">
        <v>73727</v>
      </c>
      <c r="AN6" s="257">
        <v>64439</v>
      </c>
      <c r="AO6" s="258">
        <f>(AL6-AM6)/AM6</f>
        <v>2.2759640294600349E-2</v>
      </c>
      <c r="AP6" s="248"/>
      <c r="AQ6" s="249">
        <v>118634</v>
      </c>
      <c r="AR6" s="249">
        <v>138765</v>
      </c>
      <c r="AS6" s="249">
        <v>141331</v>
      </c>
      <c r="AT6" s="321">
        <v>144544</v>
      </c>
      <c r="AU6" s="250">
        <f>AT6/AS6-1</f>
        <v>2.2733865889295268E-2</v>
      </c>
      <c r="AV6" s="248"/>
      <c r="AW6" s="249">
        <v>106554</v>
      </c>
      <c r="AX6" s="249">
        <v>110591</v>
      </c>
      <c r="AY6" s="249">
        <v>114146</v>
      </c>
      <c r="AZ6" s="321">
        <v>102376</v>
      </c>
      <c r="BA6" s="251">
        <f>AZ6/AY6-1</f>
        <v>-0.10311355632260444</v>
      </c>
      <c r="BB6" s="248">
        <v>148388</v>
      </c>
      <c r="BC6" s="249">
        <v>183476</v>
      </c>
      <c r="BD6" s="249">
        <v>190361</v>
      </c>
      <c r="BE6" s="249">
        <v>180486</v>
      </c>
      <c r="BF6" s="321">
        <v>183037</v>
      </c>
      <c r="BG6" s="251">
        <f t="shared" ref="BG6:BG17" si="2">BF6/BE6-1</f>
        <v>1.4134060259521464E-2</v>
      </c>
      <c r="BH6" s="254"/>
      <c r="BI6" s="255">
        <v>49102</v>
      </c>
      <c r="BJ6" s="255">
        <v>35453</v>
      </c>
      <c r="BK6" s="255">
        <v>55878</v>
      </c>
      <c r="BL6" s="324"/>
      <c r="BM6" s="251">
        <f>BL6/BK6-1</f>
        <v>-1</v>
      </c>
      <c r="BN6" s="259">
        <f t="shared" ref="BN6:BN15" si="3">B6+H6+N6+T6+Z6+AF6+AP6+AV6+BB6+BH6</f>
        <v>1033328</v>
      </c>
      <c r="BO6" s="260">
        <f t="shared" ref="BO6:BO15" si="4">C6+I6+O6+U6+AA6+AG6+AQ6+AW6+BC6+BI6</f>
        <v>1405804</v>
      </c>
      <c r="BP6" s="261">
        <f t="shared" ref="BP6:BP15" si="5">D6+J6+P6+V6+AB6+AH6+AR6+AX6+BD6+BJ6</f>
        <v>1398670</v>
      </c>
      <c r="BQ6" s="261">
        <f t="shared" ref="BQ6:BQ15" si="6">E6+K6+Q6+W6+AC6+AI6+AS6+AY6+BE6+BK6</f>
        <v>1367797</v>
      </c>
      <c r="BR6" s="330">
        <f t="shared" ref="BR6:BR15" si="7">F6+L6+R6+X6+AD6+AJ6+AT6+AZ6+BF6+BL6</f>
        <v>1302999</v>
      </c>
      <c r="BS6" s="262">
        <f>BR6/BQ6-1</f>
        <v>-4.7373988976434411E-2</v>
      </c>
      <c r="BU6" s="259">
        <f t="shared" ref="BU6:BU17" si="8">BN6-BB6-BH6</f>
        <v>884940</v>
      </c>
      <c r="BV6" s="260">
        <f t="shared" ref="BV6:BV17" si="9">BO6-BC6-BI6</f>
        <v>1173226</v>
      </c>
      <c r="BW6" s="261">
        <f t="shared" ref="BW6:BW17" si="10">BP6-BD6-BJ6</f>
        <v>1172856</v>
      </c>
      <c r="BX6" s="261">
        <f t="shared" ref="BX6:BX17" si="11">BQ6-BE6-BK6</f>
        <v>1131433</v>
      </c>
      <c r="BY6" s="330">
        <f t="shared" ref="BY6:BY17" si="12">BR6-BF6-BL6</f>
        <v>1119962</v>
      </c>
      <c r="BZ6" s="262">
        <f>BY6/BX6-1</f>
        <v>-1.0138470417603185E-2</v>
      </c>
    </row>
    <row r="7" spans="1:79" ht="15">
      <c r="A7" s="329" t="s">
        <v>10</v>
      </c>
      <c r="B7" s="263">
        <v>243117</v>
      </c>
      <c r="C7" s="252">
        <v>228143</v>
      </c>
      <c r="D7" s="252">
        <v>242483</v>
      </c>
      <c r="E7" s="252">
        <v>244488</v>
      </c>
      <c r="F7" s="322">
        <v>231278</v>
      </c>
      <c r="G7" s="264">
        <f t="shared" ref="G7:G17" si="13">F7/E7-1</f>
        <v>-5.403128169889726E-2</v>
      </c>
      <c r="H7" s="263">
        <v>192907</v>
      </c>
      <c r="I7" s="252">
        <v>201018</v>
      </c>
      <c r="J7" s="252">
        <v>195947</v>
      </c>
      <c r="K7" s="252">
        <v>185451</v>
      </c>
      <c r="L7" s="322">
        <v>180300</v>
      </c>
      <c r="M7" s="253">
        <f t="shared" ref="M7:M17" si="14">L7/K7-1</f>
        <v>-2.7775531002798615E-2</v>
      </c>
      <c r="N7" s="263">
        <v>196249</v>
      </c>
      <c r="O7" s="252">
        <v>191201</v>
      </c>
      <c r="P7" s="252">
        <v>180523</v>
      </c>
      <c r="Q7" s="252">
        <v>146553</v>
      </c>
      <c r="R7" s="322">
        <v>146250</v>
      </c>
      <c r="S7" s="253">
        <f t="shared" ref="S7:S17" si="15">R7/Q7-1</f>
        <v>-2.0675114122535865E-3</v>
      </c>
      <c r="T7" s="256">
        <v>82545</v>
      </c>
      <c r="U7" s="257">
        <v>73498</v>
      </c>
      <c r="V7" s="257">
        <v>100656</v>
      </c>
      <c r="W7" s="257">
        <v>79957</v>
      </c>
      <c r="X7" s="325">
        <v>123010</v>
      </c>
      <c r="Y7" s="264">
        <f t="shared" si="0"/>
        <v>0.53845191790587443</v>
      </c>
      <c r="Z7" s="263">
        <v>114531</v>
      </c>
      <c r="AA7" s="252">
        <v>108216</v>
      </c>
      <c r="AB7" s="252">
        <v>111464</v>
      </c>
      <c r="AC7" s="252">
        <v>91867</v>
      </c>
      <c r="AD7" s="322">
        <v>87372</v>
      </c>
      <c r="AE7" s="253">
        <f t="shared" si="1"/>
        <v>-4.8929430589874534E-2</v>
      </c>
      <c r="AF7" s="256">
        <v>58893</v>
      </c>
      <c r="AG7" s="257">
        <v>58528</v>
      </c>
      <c r="AH7" s="257">
        <v>60672</v>
      </c>
      <c r="AI7" s="257">
        <v>63564</v>
      </c>
      <c r="AJ7" s="325">
        <v>68875</v>
      </c>
      <c r="AK7" s="264">
        <f t="shared" ref="AK7:AK17" si="16">AJ7/AI7-1</f>
        <v>8.3553583789566455E-2</v>
      </c>
      <c r="AL7" s="256"/>
      <c r="AM7" s="257">
        <v>69030</v>
      </c>
      <c r="AN7" s="257">
        <v>55937</v>
      </c>
      <c r="AO7" s="265">
        <f t="shared" ref="AO7:AO17" si="17">(AL7-AM7)/AM7</f>
        <v>-1</v>
      </c>
      <c r="AP7" s="263"/>
      <c r="AQ7" s="252">
        <v>117598</v>
      </c>
      <c r="AR7" s="252">
        <v>133520</v>
      </c>
      <c r="AS7" s="252">
        <v>133079</v>
      </c>
      <c r="AT7" s="322">
        <v>132377</v>
      </c>
      <c r="AU7" s="264">
        <f t="shared" ref="AU7:AU17" si="18">AT7/AS7-1</f>
        <v>-5.2750621811105125E-3</v>
      </c>
      <c r="AV7" s="263"/>
      <c r="AW7" s="252">
        <v>100481</v>
      </c>
      <c r="AX7" s="252">
        <v>105337</v>
      </c>
      <c r="AY7" s="252">
        <v>107505</v>
      </c>
      <c r="AZ7" s="322">
        <v>102429</v>
      </c>
      <c r="BA7" s="253">
        <f t="shared" ref="BA7:BA17" si="19">AZ7/AY7-1</f>
        <v>-4.7216408539137666E-2</v>
      </c>
      <c r="BB7" s="263">
        <v>141593</v>
      </c>
      <c r="BC7" s="252">
        <v>148938</v>
      </c>
      <c r="BD7" s="252">
        <v>138313</v>
      </c>
      <c r="BE7" s="252">
        <v>173355</v>
      </c>
      <c r="BF7" s="322">
        <v>159092</v>
      </c>
      <c r="BG7" s="253">
        <f t="shared" si="2"/>
        <v>-8.2276253929797205E-2</v>
      </c>
      <c r="BH7" s="256"/>
      <c r="BI7" s="257">
        <v>46339</v>
      </c>
      <c r="BJ7" s="257">
        <v>46270</v>
      </c>
      <c r="BK7" s="257">
        <v>23530</v>
      </c>
      <c r="BL7" s="325"/>
      <c r="BM7" s="253">
        <f t="shared" ref="BM7:BM17" si="20">BL7/BK7-1</f>
        <v>-1</v>
      </c>
      <c r="BN7" s="266">
        <f t="shared" si="3"/>
        <v>1029835</v>
      </c>
      <c r="BO7" s="267">
        <f t="shared" si="4"/>
        <v>1273960</v>
      </c>
      <c r="BP7" s="268">
        <f t="shared" si="5"/>
        <v>1315185</v>
      </c>
      <c r="BQ7" s="268">
        <f t="shared" si="6"/>
        <v>1249349</v>
      </c>
      <c r="BR7" s="331">
        <f>F7+L7+R7+X7+AD7+AJ7+AT7+AZ7+BF7+BL7</f>
        <v>1230983</v>
      </c>
      <c r="BS7" s="269">
        <f t="shared" ref="BS7:BS17" si="21">BR7/BQ7-1</f>
        <v>-1.4700455997483486E-2</v>
      </c>
      <c r="BU7" s="266">
        <f t="shared" si="8"/>
        <v>888242</v>
      </c>
      <c r="BV7" s="267">
        <f t="shared" si="9"/>
        <v>1078683</v>
      </c>
      <c r="BW7" s="268">
        <f t="shared" si="10"/>
        <v>1130602</v>
      </c>
      <c r="BX7" s="268">
        <f t="shared" si="11"/>
        <v>1052464</v>
      </c>
      <c r="BY7" s="331">
        <f t="shared" si="12"/>
        <v>1071891</v>
      </c>
      <c r="BZ7" s="269">
        <f t="shared" ref="BZ7:BZ17" si="22">BY7/BX7-1</f>
        <v>1.8458588607306314E-2</v>
      </c>
    </row>
    <row r="8" spans="1:79" ht="15">
      <c r="A8" s="329" t="s">
        <v>11</v>
      </c>
      <c r="B8" s="263">
        <v>274873</v>
      </c>
      <c r="C8" s="252">
        <v>247650</v>
      </c>
      <c r="D8" s="252">
        <v>264918</v>
      </c>
      <c r="E8" s="252">
        <v>268202</v>
      </c>
      <c r="F8" s="322">
        <v>256909</v>
      </c>
      <c r="G8" s="264">
        <f t="shared" si="13"/>
        <v>-4.2106322846212962E-2</v>
      </c>
      <c r="H8" s="263">
        <v>224286</v>
      </c>
      <c r="I8" s="252">
        <v>221110</v>
      </c>
      <c r="J8" s="252">
        <v>207663</v>
      </c>
      <c r="K8" s="252">
        <v>199836</v>
      </c>
      <c r="L8" s="322">
        <v>199581</v>
      </c>
      <c r="M8" s="253">
        <f t="shared" si="14"/>
        <v>-1.2760463580135939E-3</v>
      </c>
      <c r="N8" s="263">
        <v>216605</v>
      </c>
      <c r="O8" s="252">
        <v>211876</v>
      </c>
      <c r="P8" s="252">
        <v>207128</v>
      </c>
      <c r="Q8" s="252">
        <v>166014</v>
      </c>
      <c r="R8" s="322">
        <v>165628</v>
      </c>
      <c r="S8" s="253">
        <f t="shared" si="15"/>
        <v>-2.3251051116170984E-3</v>
      </c>
      <c r="T8" s="256">
        <v>89130</v>
      </c>
      <c r="U8" s="257">
        <v>79963</v>
      </c>
      <c r="V8" s="257">
        <v>89651</v>
      </c>
      <c r="W8" s="257">
        <v>91574</v>
      </c>
      <c r="X8" s="325">
        <v>137531</v>
      </c>
      <c r="Y8" s="264">
        <f t="shared" si="0"/>
        <v>0.50185642212855175</v>
      </c>
      <c r="Z8" s="263">
        <v>125636</v>
      </c>
      <c r="AA8" s="252">
        <v>110258</v>
      </c>
      <c r="AB8" s="252">
        <v>117749</v>
      </c>
      <c r="AC8" s="252">
        <v>100720</v>
      </c>
      <c r="AD8" s="322">
        <v>94904</v>
      </c>
      <c r="AE8" s="253">
        <f t="shared" si="1"/>
        <v>-5.7744241461477386E-2</v>
      </c>
      <c r="AF8" s="256">
        <v>89845</v>
      </c>
      <c r="AG8" s="257">
        <v>60645</v>
      </c>
      <c r="AH8" s="257">
        <v>89645</v>
      </c>
      <c r="AI8" s="257">
        <v>74686</v>
      </c>
      <c r="AJ8" s="325">
        <v>78536</v>
      </c>
      <c r="AK8" s="264">
        <f t="shared" si="16"/>
        <v>5.1549152451597413E-2</v>
      </c>
      <c r="AL8" s="256"/>
      <c r="AM8" s="257">
        <v>74755</v>
      </c>
      <c r="AN8" s="257">
        <v>63326</v>
      </c>
      <c r="AO8" s="265">
        <f t="shared" si="17"/>
        <v>-1</v>
      </c>
      <c r="AP8" s="263"/>
      <c r="AQ8" s="252">
        <v>135512</v>
      </c>
      <c r="AR8" s="252">
        <v>134215</v>
      </c>
      <c r="AS8" s="252">
        <v>147221</v>
      </c>
      <c r="AT8" s="322">
        <v>144700</v>
      </c>
      <c r="AU8" s="264">
        <f t="shared" si="18"/>
        <v>-1.712391574571559E-2</v>
      </c>
      <c r="AV8" s="263"/>
      <c r="AW8" s="252">
        <v>112578</v>
      </c>
      <c r="AX8" s="252">
        <v>110910</v>
      </c>
      <c r="AY8" s="252">
        <v>115173</v>
      </c>
      <c r="AZ8" s="322">
        <v>110072</v>
      </c>
      <c r="BA8" s="253">
        <f t="shared" si="19"/>
        <v>-4.4289894332873114E-2</v>
      </c>
      <c r="BB8" s="263">
        <v>170517</v>
      </c>
      <c r="BC8" s="252">
        <v>164984</v>
      </c>
      <c r="BD8" s="252">
        <v>140943</v>
      </c>
      <c r="BE8" s="252">
        <v>168029</v>
      </c>
      <c r="BF8" s="322">
        <v>188366</v>
      </c>
      <c r="BG8" s="253">
        <f t="shared" si="2"/>
        <v>0.12103267888281199</v>
      </c>
      <c r="BH8" s="256"/>
      <c r="BI8" s="257">
        <v>43950</v>
      </c>
      <c r="BJ8" s="257">
        <v>55857</v>
      </c>
      <c r="BK8" s="257">
        <v>43485</v>
      </c>
      <c r="BL8" s="325"/>
      <c r="BM8" s="253">
        <f t="shared" si="20"/>
        <v>-1</v>
      </c>
      <c r="BN8" s="266">
        <f t="shared" si="3"/>
        <v>1190892</v>
      </c>
      <c r="BO8" s="267">
        <f t="shared" si="4"/>
        <v>1388526</v>
      </c>
      <c r="BP8" s="268">
        <f t="shared" si="5"/>
        <v>1418679</v>
      </c>
      <c r="BQ8" s="268">
        <f t="shared" si="6"/>
        <v>1374940</v>
      </c>
      <c r="BR8" s="331">
        <f t="shared" si="7"/>
        <v>1376227</v>
      </c>
      <c r="BS8" s="269">
        <f t="shared" si="21"/>
        <v>9.3604084541865085E-4</v>
      </c>
      <c r="BU8" s="266">
        <f t="shared" si="8"/>
        <v>1020375</v>
      </c>
      <c r="BV8" s="267">
        <f t="shared" si="9"/>
        <v>1179592</v>
      </c>
      <c r="BW8" s="268">
        <f t="shared" si="10"/>
        <v>1221879</v>
      </c>
      <c r="BX8" s="268">
        <f t="shared" si="11"/>
        <v>1163426</v>
      </c>
      <c r="BY8" s="331">
        <f t="shared" si="12"/>
        <v>1187861</v>
      </c>
      <c r="BZ8" s="269">
        <f t="shared" si="22"/>
        <v>2.1002625005801745E-2</v>
      </c>
      <c r="CA8" s="245"/>
    </row>
    <row r="9" spans="1:79" ht="15">
      <c r="A9" s="329" t="s">
        <v>12</v>
      </c>
      <c r="B9" s="263">
        <v>266376</v>
      </c>
      <c r="C9" s="252">
        <v>253072</v>
      </c>
      <c r="D9" s="252">
        <v>253254</v>
      </c>
      <c r="E9" s="252">
        <v>263203</v>
      </c>
      <c r="F9" s="322">
        <v>256384</v>
      </c>
      <c r="G9" s="264">
        <f t="shared" si="13"/>
        <v>-2.590775941003709E-2</v>
      </c>
      <c r="H9" s="263">
        <v>210811</v>
      </c>
      <c r="I9" s="252">
        <v>227470</v>
      </c>
      <c r="J9" s="252">
        <v>202870</v>
      </c>
      <c r="K9" s="252">
        <v>203481</v>
      </c>
      <c r="L9" s="322">
        <v>205009</v>
      </c>
      <c r="M9" s="253">
        <f t="shared" si="14"/>
        <v>7.5093006226625292E-3</v>
      </c>
      <c r="N9" s="263">
        <v>217978</v>
      </c>
      <c r="O9" s="252">
        <v>216978</v>
      </c>
      <c r="P9" s="252">
        <v>191810</v>
      </c>
      <c r="Q9" s="252">
        <v>168964</v>
      </c>
      <c r="R9" s="322">
        <v>167447</v>
      </c>
      <c r="S9" s="253">
        <f t="shared" si="15"/>
        <v>-8.978243886271664E-3</v>
      </c>
      <c r="T9" s="256">
        <v>91032</v>
      </c>
      <c r="U9" s="257">
        <v>72682</v>
      </c>
      <c r="V9" s="257">
        <v>87575</v>
      </c>
      <c r="W9" s="257">
        <v>85668</v>
      </c>
      <c r="X9" s="325">
        <v>128926</v>
      </c>
      <c r="Y9" s="264">
        <f t="shared" si="0"/>
        <v>0.50494933930989405</v>
      </c>
      <c r="Z9" s="263">
        <v>127770</v>
      </c>
      <c r="AA9" s="252">
        <v>125665</v>
      </c>
      <c r="AB9" s="252">
        <v>116399</v>
      </c>
      <c r="AC9" s="252">
        <v>100596</v>
      </c>
      <c r="AD9" s="322">
        <v>97206</v>
      </c>
      <c r="AE9" s="253">
        <f t="shared" si="1"/>
        <v>-3.3699153047834884E-2</v>
      </c>
      <c r="AF9" s="256">
        <v>67137</v>
      </c>
      <c r="AG9" s="257">
        <v>70869</v>
      </c>
      <c r="AH9" s="257">
        <v>85809</v>
      </c>
      <c r="AI9" s="257">
        <v>70769</v>
      </c>
      <c r="AJ9" s="325">
        <v>87110</v>
      </c>
      <c r="AK9" s="264">
        <f t="shared" si="16"/>
        <v>0.23090618773756866</v>
      </c>
      <c r="AL9" s="256"/>
      <c r="AM9" s="257">
        <v>76718</v>
      </c>
      <c r="AN9" s="257">
        <v>56633</v>
      </c>
      <c r="AO9" s="265">
        <f t="shared" si="17"/>
        <v>-1</v>
      </c>
      <c r="AP9" s="263"/>
      <c r="AQ9" s="252">
        <v>134759</v>
      </c>
      <c r="AR9" s="252">
        <v>147123</v>
      </c>
      <c r="AS9" s="252">
        <v>145678</v>
      </c>
      <c r="AT9" s="322">
        <v>145836</v>
      </c>
      <c r="AU9" s="264">
        <f t="shared" si="18"/>
        <v>1.0845838081248171E-3</v>
      </c>
      <c r="AV9" s="263"/>
      <c r="AW9" s="252">
        <v>113104</v>
      </c>
      <c r="AX9" s="252">
        <v>108717</v>
      </c>
      <c r="AY9" s="252">
        <v>109523</v>
      </c>
      <c r="AZ9" s="322">
        <v>111602</v>
      </c>
      <c r="BA9" s="253">
        <f t="shared" si="19"/>
        <v>1.8982314217105056E-2</v>
      </c>
      <c r="BB9" s="263">
        <v>210485</v>
      </c>
      <c r="BC9" s="252">
        <v>157266</v>
      </c>
      <c r="BD9" s="252">
        <v>133377</v>
      </c>
      <c r="BE9" s="252">
        <v>169468</v>
      </c>
      <c r="BF9" s="322">
        <v>185913</v>
      </c>
      <c r="BG9" s="253">
        <f t="shared" si="2"/>
        <v>9.7038969008898412E-2</v>
      </c>
      <c r="BH9" s="256"/>
      <c r="BI9" s="257">
        <v>40270</v>
      </c>
      <c r="BJ9" s="257">
        <v>56475</v>
      </c>
      <c r="BK9" s="257">
        <v>46790</v>
      </c>
      <c r="BL9" s="325"/>
      <c r="BM9" s="253">
        <f t="shared" si="20"/>
        <v>-1</v>
      </c>
      <c r="BN9" s="266">
        <f t="shared" si="3"/>
        <v>1191589</v>
      </c>
      <c r="BO9" s="267">
        <f t="shared" si="4"/>
        <v>1412135</v>
      </c>
      <c r="BP9" s="268">
        <f t="shared" si="5"/>
        <v>1383409</v>
      </c>
      <c r="BQ9" s="268">
        <f t="shared" si="6"/>
        <v>1364140</v>
      </c>
      <c r="BR9" s="331">
        <f t="shared" si="7"/>
        <v>1385433</v>
      </c>
      <c r="BS9" s="269">
        <f t="shared" si="21"/>
        <v>1.5609101705103656E-2</v>
      </c>
      <c r="BU9" s="266">
        <f t="shared" si="8"/>
        <v>981104</v>
      </c>
      <c r="BV9" s="267">
        <f t="shared" si="9"/>
        <v>1214599</v>
      </c>
      <c r="BW9" s="268">
        <f t="shared" si="10"/>
        <v>1193557</v>
      </c>
      <c r="BX9" s="268">
        <f t="shared" si="11"/>
        <v>1147882</v>
      </c>
      <c r="BY9" s="331">
        <f t="shared" si="12"/>
        <v>1199520</v>
      </c>
      <c r="BZ9" s="269">
        <f t="shared" si="22"/>
        <v>4.4985460177962455E-2</v>
      </c>
      <c r="CA9" s="270"/>
    </row>
    <row r="10" spans="1:79" ht="15">
      <c r="A10" s="329" t="s">
        <v>13</v>
      </c>
      <c r="B10" s="263">
        <v>285596</v>
      </c>
      <c r="C10" s="252">
        <v>263040</v>
      </c>
      <c r="D10" s="252">
        <v>272521</v>
      </c>
      <c r="E10" s="252">
        <v>290116</v>
      </c>
      <c r="F10" s="322">
        <v>272158</v>
      </c>
      <c r="G10" s="264">
        <f t="shared" si="13"/>
        <v>-6.1899378179762543E-2</v>
      </c>
      <c r="H10" s="263">
        <v>243039</v>
      </c>
      <c r="I10" s="252">
        <v>233473</v>
      </c>
      <c r="J10" s="252">
        <v>211702</v>
      </c>
      <c r="K10" s="252">
        <v>225115</v>
      </c>
      <c r="L10" s="322">
        <v>215977</v>
      </c>
      <c r="M10" s="253">
        <f t="shared" si="14"/>
        <v>-4.0592586011594101E-2</v>
      </c>
      <c r="N10" s="263">
        <v>226188</v>
      </c>
      <c r="O10" s="252">
        <v>220603</v>
      </c>
      <c r="P10" s="252">
        <v>214778</v>
      </c>
      <c r="Q10" s="252">
        <v>186665</v>
      </c>
      <c r="R10" s="322">
        <v>173761</v>
      </c>
      <c r="S10" s="253">
        <f>R10/Q10-1</f>
        <v>-6.9129188653470175E-2</v>
      </c>
      <c r="T10" s="256">
        <v>91515</v>
      </c>
      <c r="U10" s="257">
        <v>85242</v>
      </c>
      <c r="V10" s="257">
        <v>85463</v>
      </c>
      <c r="W10" s="257">
        <v>91517</v>
      </c>
      <c r="X10" s="325">
        <v>129827</v>
      </c>
      <c r="Y10" s="264">
        <f t="shared" si="0"/>
        <v>0.41861074991531622</v>
      </c>
      <c r="Z10" s="263">
        <v>135612</v>
      </c>
      <c r="AA10" s="252">
        <v>128767</v>
      </c>
      <c r="AB10" s="252">
        <v>120280</v>
      </c>
      <c r="AC10" s="252">
        <v>108953</v>
      </c>
      <c r="AD10" s="322">
        <v>98976</v>
      </c>
      <c r="AE10" s="253">
        <f t="shared" si="1"/>
        <v>-9.1571595091461511E-2</v>
      </c>
      <c r="AF10" s="256">
        <v>54989</v>
      </c>
      <c r="AG10" s="257">
        <v>60679</v>
      </c>
      <c r="AH10" s="257">
        <v>76169</v>
      </c>
      <c r="AI10" s="257">
        <v>78360</v>
      </c>
      <c r="AJ10" s="325">
        <v>87083</v>
      </c>
      <c r="AK10" s="264">
        <f t="shared" si="16"/>
        <v>0.11131955079121991</v>
      </c>
      <c r="AL10" s="256"/>
      <c r="AM10" s="257">
        <v>75198</v>
      </c>
      <c r="AN10" s="257">
        <v>62475</v>
      </c>
      <c r="AO10" s="265">
        <f t="shared" si="17"/>
        <v>-1</v>
      </c>
      <c r="AP10" s="263"/>
      <c r="AQ10" s="252">
        <v>146367</v>
      </c>
      <c r="AR10" s="252">
        <v>159056</v>
      </c>
      <c r="AS10" s="252">
        <v>159124</v>
      </c>
      <c r="AT10" s="322">
        <v>145836</v>
      </c>
      <c r="AU10" s="264">
        <f t="shared" si="18"/>
        <v>-8.3507201930569819E-2</v>
      </c>
      <c r="AV10" s="263"/>
      <c r="AW10" s="252">
        <v>116216</v>
      </c>
      <c r="AX10" s="252">
        <v>112574</v>
      </c>
      <c r="AY10" s="252">
        <v>122805</v>
      </c>
      <c r="AZ10" s="322">
        <v>120308</v>
      </c>
      <c r="BA10" s="253">
        <f t="shared" si="19"/>
        <v>-2.0333048328651127E-2</v>
      </c>
      <c r="BB10" s="263">
        <v>193304</v>
      </c>
      <c r="BC10" s="252">
        <v>153318</v>
      </c>
      <c r="BD10" s="252">
        <v>139166</v>
      </c>
      <c r="BE10" s="252">
        <v>183261</v>
      </c>
      <c r="BF10" s="322">
        <v>196405</v>
      </c>
      <c r="BG10" s="253">
        <f t="shared" si="2"/>
        <v>7.1722843376386791E-2</v>
      </c>
      <c r="BH10" s="256"/>
      <c r="BI10" s="257">
        <v>39600</v>
      </c>
      <c r="BJ10" s="257">
        <v>54748</v>
      </c>
      <c r="BK10" s="257">
        <v>44428</v>
      </c>
      <c r="BL10" s="325"/>
      <c r="BM10" s="253">
        <f t="shared" si="20"/>
        <v>-1</v>
      </c>
      <c r="BN10" s="266">
        <f t="shared" si="3"/>
        <v>1230243</v>
      </c>
      <c r="BO10" s="267">
        <f t="shared" si="4"/>
        <v>1447305</v>
      </c>
      <c r="BP10" s="268">
        <f t="shared" si="5"/>
        <v>1446457</v>
      </c>
      <c r="BQ10" s="268">
        <f t="shared" si="6"/>
        <v>1490344</v>
      </c>
      <c r="BR10" s="331">
        <f>F10+L10+R11+X10+AD10+AJ10+AT10+AZ10+BF10+BL10</f>
        <v>1440913</v>
      </c>
      <c r="BS10" s="269">
        <f t="shared" si="21"/>
        <v>-3.3167510319765059E-2</v>
      </c>
      <c r="BU10" s="266">
        <f t="shared" si="8"/>
        <v>1036939</v>
      </c>
      <c r="BV10" s="267">
        <f t="shared" si="9"/>
        <v>1254387</v>
      </c>
      <c r="BW10" s="268">
        <f t="shared" si="10"/>
        <v>1252543</v>
      </c>
      <c r="BX10" s="268">
        <f t="shared" si="11"/>
        <v>1262655</v>
      </c>
      <c r="BY10" s="331">
        <f t="shared" si="12"/>
        <v>1244508</v>
      </c>
      <c r="BZ10" s="269">
        <f t="shared" si="22"/>
        <v>-1.437209689107477E-2</v>
      </c>
      <c r="CA10" s="270"/>
    </row>
    <row r="11" spans="1:79" ht="15">
      <c r="A11" s="329" t="s">
        <v>14</v>
      </c>
      <c r="B11" s="263">
        <v>276908</v>
      </c>
      <c r="C11" s="252">
        <v>260807</v>
      </c>
      <c r="D11" s="252">
        <v>282713</v>
      </c>
      <c r="E11" s="252">
        <v>278358</v>
      </c>
      <c r="F11" s="322">
        <v>272816</v>
      </c>
      <c r="G11" s="264">
        <f t="shared" si="13"/>
        <v>-1.990961280078174E-2</v>
      </c>
      <c r="H11" s="263">
        <v>238737</v>
      </c>
      <c r="I11" s="252">
        <v>227859</v>
      </c>
      <c r="J11" s="252">
        <v>226324</v>
      </c>
      <c r="K11" s="252">
        <v>213146</v>
      </c>
      <c r="L11" s="322">
        <v>211240</v>
      </c>
      <c r="M11" s="253">
        <f t="shared" si="14"/>
        <v>-8.9422273934298691E-3</v>
      </c>
      <c r="N11" s="263">
        <v>217727</v>
      </c>
      <c r="O11" s="252">
        <v>217818</v>
      </c>
      <c r="P11" s="252">
        <v>225434</v>
      </c>
      <c r="Q11" s="252">
        <v>177825</v>
      </c>
      <c r="R11" s="322">
        <v>174343</v>
      </c>
      <c r="S11" s="253">
        <f>R11/Q11-1</f>
        <v>-1.9581048783916755E-2</v>
      </c>
      <c r="T11" s="256">
        <v>83202</v>
      </c>
      <c r="U11" s="257">
        <v>75410</v>
      </c>
      <c r="V11" s="257">
        <v>79280</v>
      </c>
      <c r="W11" s="257">
        <v>89338</v>
      </c>
      <c r="X11" s="325">
        <v>128356</v>
      </c>
      <c r="Y11" s="264">
        <f t="shared" si="0"/>
        <v>0.43674584163513841</v>
      </c>
      <c r="Z11" s="263">
        <v>130204</v>
      </c>
      <c r="AA11" s="252">
        <v>124389</v>
      </c>
      <c r="AB11" s="252">
        <v>124409</v>
      </c>
      <c r="AC11" s="252">
        <v>102928</v>
      </c>
      <c r="AD11" s="322">
        <v>98729</v>
      </c>
      <c r="AE11" s="253">
        <f t="shared" si="1"/>
        <v>-4.0795507539250764E-2</v>
      </c>
      <c r="AF11" s="256">
        <v>43501</v>
      </c>
      <c r="AG11" s="257">
        <v>66646</v>
      </c>
      <c r="AH11" s="257">
        <v>83393</v>
      </c>
      <c r="AI11" s="257">
        <v>78811</v>
      </c>
      <c r="AJ11" s="325">
        <v>84065</v>
      </c>
      <c r="AK11" s="264">
        <f t="shared" si="16"/>
        <v>6.6665820761061312E-2</v>
      </c>
      <c r="AL11" s="256"/>
      <c r="AM11" s="257">
        <v>72002</v>
      </c>
      <c r="AN11" s="257">
        <v>58231</v>
      </c>
      <c r="AO11" s="265">
        <f t="shared" si="17"/>
        <v>-1</v>
      </c>
      <c r="AP11" s="263"/>
      <c r="AQ11" s="252">
        <v>140423</v>
      </c>
      <c r="AR11" s="252">
        <v>154718</v>
      </c>
      <c r="AS11" s="252">
        <v>156452</v>
      </c>
      <c r="AT11" s="322">
        <v>162701</v>
      </c>
      <c r="AU11" s="264">
        <f t="shared" si="18"/>
        <v>3.9941963030194483E-2</v>
      </c>
      <c r="AV11" s="263"/>
      <c r="AW11" s="252">
        <v>120214</v>
      </c>
      <c r="AX11" s="252">
        <v>125821</v>
      </c>
      <c r="AY11" s="252">
        <v>115700</v>
      </c>
      <c r="AZ11" s="322">
        <v>122264</v>
      </c>
      <c r="BA11" s="253">
        <f t="shared" si="19"/>
        <v>5.673292999135704E-2</v>
      </c>
      <c r="BB11" s="263">
        <v>173008</v>
      </c>
      <c r="BC11" s="252">
        <v>152957</v>
      </c>
      <c r="BD11" s="252">
        <v>164304</v>
      </c>
      <c r="BE11" s="252">
        <v>174157</v>
      </c>
      <c r="BF11" s="322">
        <v>180786</v>
      </c>
      <c r="BG11" s="253">
        <f t="shared" si="2"/>
        <v>3.8063356626492295E-2</v>
      </c>
      <c r="BH11" s="256">
        <v>40959</v>
      </c>
      <c r="BI11" s="257">
        <v>33661</v>
      </c>
      <c r="BJ11" s="257">
        <v>46990</v>
      </c>
      <c r="BK11" s="257">
        <v>43867</v>
      </c>
      <c r="BL11" s="325"/>
      <c r="BM11" s="253">
        <f t="shared" si="20"/>
        <v>-1</v>
      </c>
      <c r="BN11" s="266">
        <f t="shared" si="3"/>
        <v>1204246</v>
      </c>
      <c r="BO11" s="267">
        <f t="shared" si="4"/>
        <v>1420184</v>
      </c>
      <c r="BP11" s="268">
        <f t="shared" si="5"/>
        <v>1513386</v>
      </c>
      <c r="BQ11" s="268">
        <f t="shared" si="6"/>
        <v>1430582</v>
      </c>
      <c r="BR11" s="331">
        <f>F11+L11+R11+X11+AD11+AJ11+AT11+AZ11+BF11+BL11</f>
        <v>1435300</v>
      </c>
      <c r="BS11" s="269">
        <f t="shared" si="21"/>
        <v>3.2979584532728534E-3</v>
      </c>
      <c r="BU11" s="266">
        <f t="shared" si="8"/>
        <v>990279</v>
      </c>
      <c r="BV11" s="267">
        <f t="shared" si="9"/>
        <v>1233566</v>
      </c>
      <c r="BW11" s="268">
        <f t="shared" si="10"/>
        <v>1302092</v>
      </c>
      <c r="BX11" s="268">
        <f t="shared" si="11"/>
        <v>1212558</v>
      </c>
      <c r="BY11" s="331">
        <f t="shared" si="12"/>
        <v>1254514</v>
      </c>
      <c r="BZ11" s="269">
        <f t="shared" si="22"/>
        <v>3.4601231446248271E-2</v>
      </c>
      <c r="CA11" s="270"/>
    </row>
    <row r="12" spans="1:79" ht="15">
      <c r="A12" s="329" t="s">
        <v>15</v>
      </c>
      <c r="B12" s="263">
        <v>294078</v>
      </c>
      <c r="C12" s="252">
        <v>281329</v>
      </c>
      <c r="D12" s="252">
        <v>289997</v>
      </c>
      <c r="E12" s="252">
        <v>288662</v>
      </c>
      <c r="F12" s="322"/>
      <c r="G12" s="264">
        <f t="shared" si="13"/>
        <v>-1</v>
      </c>
      <c r="H12" s="263">
        <v>245030</v>
      </c>
      <c r="I12" s="252">
        <v>239590</v>
      </c>
      <c r="J12" s="252">
        <v>222731</v>
      </c>
      <c r="K12" s="252">
        <v>219661</v>
      </c>
      <c r="L12" s="322"/>
      <c r="M12" s="253">
        <f t="shared" si="14"/>
        <v>-1</v>
      </c>
      <c r="N12" s="263">
        <v>212607</v>
      </c>
      <c r="O12" s="252">
        <v>219526</v>
      </c>
      <c r="P12" s="252">
        <v>230141</v>
      </c>
      <c r="Q12" s="252">
        <v>189839</v>
      </c>
      <c r="R12" s="322"/>
      <c r="S12" s="253">
        <f>R13/Q12-1</f>
        <v>-1</v>
      </c>
      <c r="T12" s="256">
        <v>90513</v>
      </c>
      <c r="U12" s="257">
        <v>73166</v>
      </c>
      <c r="V12" s="257">
        <v>85146</v>
      </c>
      <c r="W12" s="257">
        <v>90688</v>
      </c>
      <c r="X12" s="325"/>
      <c r="Y12" s="264">
        <f t="shared" si="0"/>
        <v>-1</v>
      </c>
      <c r="Z12" s="263">
        <v>141008</v>
      </c>
      <c r="AA12" s="252">
        <v>131253</v>
      </c>
      <c r="AB12" s="252">
        <v>125020</v>
      </c>
      <c r="AC12" s="252">
        <v>100211</v>
      </c>
      <c r="AD12" s="322"/>
      <c r="AE12" s="253">
        <f t="shared" si="1"/>
        <v>-1</v>
      </c>
      <c r="AF12" s="256">
        <v>73386</v>
      </c>
      <c r="AG12" s="257">
        <v>70355</v>
      </c>
      <c r="AH12" s="257">
        <v>93038</v>
      </c>
      <c r="AI12" s="257">
        <v>96534</v>
      </c>
      <c r="AJ12" s="325"/>
      <c r="AK12" s="264">
        <f t="shared" si="16"/>
        <v>-1</v>
      </c>
      <c r="AL12" s="256"/>
      <c r="AM12" s="257">
        <v>74768</v>
      </c>
      <c r="AN12" s="257">
        <v>61733</v>
      </c>
      <c r="AO12" s="265">
        <f t="shared" si="17"/>
        <v>-1</v>
      </c>
      <c r="AP12" s="263"/>
      <c r="AQ12" s="252">
        <v>145914</v>
      </c>
      <c r="AR12" s="252">
        <v>161827</v>
      </c>
      <c r="AS12" s="252">
        <v>156674</v>
      </c>
      <c r="AT12" s="322"/>
      <c r="AU12" s="264">
        <f t="shared" si="18"/>
        <v>-1</v>
      </c>
      <c r="AV12" s="263"/>
      <c r="AW12" s="252">
        <v>122015</v>
      </c>
      <c r="AX12" s="252">
        <v>122130</v>
      </c>
      <c r="AY12" s="252">
        <v>117455</v>
      </c>
      <c r="AZ12" s="322"/>
      <c r="BA12" s="253">
        <f t="shared" si="19"/>
        <v>-1</v>
      </c>
      <c r="BB12" s="263">
        <v>173332</v>
      </c>
      <c r="BC12" s="252">
        <v>159046</v>
      </c>
      <c r="BD12" s="252">
        <v>202373</v>
      </c>
      <c r="BE12" s="252">
        <v>186775</v>
      </c>
      <c r="BF12" s="322"/>
      <c r="BG12" s="253">
        <f t="shared" si="2"/>
        <v>-1</v>
      </c>
      <c r="BH12" s="256">
        <v>44709</v>
      </c>
      <c r="BI12" s="257">
        <v>28646</v>
      </c>
      <c r="BJ12" s="257">
        <v>47381</v>
      </c>
      <c r="BK12" s="257">
        <v>41643</v>
      </c>
      <c r="BL12" s="325"/>
      <c r="BM12" s="253">
        <f t="shared" si="20"/>
        <v>-1</v>
      </c>
      <c r="BN12" s="266">
        <f t="shared" si="3"/>
        <v>1274663</v>
      </c>
      <c r="BO12" s="267">
        <f t="shared" si="4"/>
        <v>1470840</v>
      </c>
      <c r="BP12" s="268">
        <f t="shared" si="5"/>
        <v>1579784</v>
      </c>
      <c r="BQ12" s="268">
        <f t="shared" si="6"/>
        <v>1488142</v>
      </c>
      <c r="BR12" s="331">
        <f t="shared" si="7"/>
        <v>0</v>
      </c>
      <c r="BS12" s="269">
        <f t="shared" si="21"/>
        <v>-1</v>
      </c>
      <c r="BU12" s="266">
        <f t="shared" si="8"/>
        <v>1056622</v>
      </c>
      <c r="BV12" s="267">
        <f t="shared" si="9"/>
        <v>1283148</v>
      </c>
      <c r="BW12" s="268">
        <f t="shared" si="10"/>
        <v>1330030</v>
      </c>
      <c r="BX12" s="268">
        <f t="shared" si="11"/>
        <v>1259724</v>
      </c>
      <c r="BY12" s="331">
        <f t="shared" si="12"/>
        <v>0</v>
      </c>
      <c r="BZ12" s="269">
        <f t="shared" si="22"/>
        <v>-1</v>
      </c>
      <c r="CA12" s="270"/>
    </row>
    <row r="13" spans="1:79" ht="15">
      <c r="A13" s="329" t="s">
        <v>16</v>
      </c>
      <c r="B13" s="263">
        <v>268601</v>
      </c>
      <c r="C13" s="252">
        <v>280837</v>
      </c>
      <c r="D13" s="252">
        <v>289022</v>
      </c>
      <c r="E13" s="252">
        <v>297682</v>
      </c>
      <c r="F13" s="322"/>
      <c r="G13" s="264">
        <f t="shared" si="13"/>
        <v>-1</v>
      </c>
      <c r="H13" s="263">
        <v>227211</v>
      </c>
      <c r="I13" s="252">
        <v>221742</v>
      </c>
      <c r="J13" s="252">
        <v>226047</v>
      </c>
      <c r="K13" s="252">
        <v>211282</v>
      </c>
      <c r="L13" s="322"/>
      <c r="M13" s="253">
        <f t="shared" si="14"/>
        <v>-1</v>
      </c>
      <c r="N13" s="263">
        <v>207527</v>
      </c>
      <c r="O13" s="252">
        <v>214397</v>
      </c>
      <c r="P13" s="252">
        <v>218193</v>
      </c>
      <c r="Q13" s="252">
        <v>180835</v>
      </c>
      <c r="R13" s="322"/>
      <c r="S13" s="253">
        <f t="shared" si="15"/>
        <v>-1</v>
      </c>
      <c r="T13" s="256">
        <v>88636</v>
      </c>
      <c r="U13" s="257">
        <v>78306</v>
      </c>
      <c r="V13" s="257">
        <v>80047</v>
      </c>
      <c r="W13" s="257">
        <v>99517</v>
      </c>
      <c r="X13" s="325"/>
      <c r="Y13" s="264">
        <f t="shared" si="0"/>
        <v>-1</v>
      </c>
      <c r="Z13" s="263">
        <v>138096</v>
      </c>
      <c r="AA13" s="252">
        <v>133112</v>
      </c>
      <c r="AB13" s="252">
        <v>125661</v>
      </c>
      <c r="AC13" s="252">
        <v>108424</v>
      </c>
      <c r="AD13" s="322"/>
      <c r="AE13" s="253">
        <f t="shared" si="1"/>
        <v>-1</v>
      </c>
      <c r="AF13" s="256">
        <v>63665</v>
      </c>
      <c r="AG13" s="257">
        <v>77578</v>
      </c>
      <c r="AH13" s="257">
        <v>75406</v>
      </c>
      <c r="AI13" s="257">
        <v>82471</v>
      </c>
      <c r="AJ13" s="325"/>
      <c r="AK13" s="264">
        <f t="shared" si="16"/>
        <v>-1</v>
      </c>
      <c r="AL13" s="256"/>
      <c r="AM13" s="257">
        <v>67200</v>
      </c>
      <c r="AN13" s="257">
        <v>64237</v>
      </c>
      <c r="AO13" s="265">
        <f t="shared" si="17"/>
        <v>-1</v>
      </c>
      <c r="AP13" s="263"/>
      <c r="AQ13" s="252">
        <v>139648</v>
      </c>
      <c r="AR13" s="252">
        <v>153503</v>
      </c>
      <c r="AS13" s="252">
        <v>152531</v>
      </c>
      <c r="AT13" s="322"/>
      <c r="AU13" s="264">
        <f t="shared" si="18"/>
        <v>-1</v>
      </c>
      <c r="AV13" s="263"/>
      <c r="AW13" s="252">
        <v>109314</v>
      </c>
      <c r="AX13" s="252">
        <v>116686</v>
      </c>
      <c r="AY13" s="252">
        <v>113038</v>
      </c>
      <c r="AZ13" s="322"/>
      <c r="BA13" s="253">
        <f t="shared" si="19"/>
        <v>-1</v>
      </c>
      <c r="BB13" s="263">
        <v>185875</v>
      </c>
      <c r="BC13" s="252">
        <v>136480</v>
      </c>
      <c r="BD13" s="252">
        <v>164304</v>
      </c>
      <c r="BE13" s="252">
        <v>190146</v>
      </c>
      <c r="BF13" s="322"/>
      <c r="BG13" s="253">
        <f t="shared" si="2"/>
        <v>-1</v>
      </c>
      <c r="BH13" s="256">
        <v>41951</v>
      </c>
      <c r="BI13" s="257">
        <v>21929</v>
      </c>
      <c r="BJ13" s="257">
        <v>49645</v>
      </c>
      <c r="BK13" s="257">
        <v>49864</v>
      </c>
      <c r="BL13" s="325"/>
      <c r="BM13" s="253">
        <f t="shared" si="20"/>
        <v>-1</v>
      </c>
      <c r="BN13" s="266">
        <f t="shared" si="3"/>
        <v>1221562</v>
      </c>
      <c r="BO13" s="267">
        <f t="shared" si="4"/>
        <v>1413343</v>
      </c>
      <c r="BP13" s="268">
        <f t="shared" si="5"/>
        <v>1498514</v>
      </c>
      <c r="BQ13" s="268">
        <f t="shared" si="6"/>
        <v>1485790</v>
      </c>
      <c r="BR13" s="331">
        <f t="shared" si="7"/>
        <v>0</v>
      </c>
      <c r="BS13" s="269">
        <f t="shared" si="21"/>
        <v>-1</v>
      </c>
      <c r="BU13" s="266">
        <f t="shared" si="8"/>
        <v>993736</v>
      </c>
      <c r="BV13" s="267">
        <f t="shared" si="9"/>
        <v>1254934</v>
      </c>
      <c r="BW13" s="268">
        <f t="shared" si="10"/>
        <v>1284565</v>
      </c>
      <c r="BX13" s="268">
        <f t="shared" si="11"/>
        <v>1245780</v>
      </c>
      <c r="BY13" s="331">
        <f t="shared" si="12"/>
        <v>0</v>
      </c>
      <c r="BZ13" s="269">
        <f t="shared" si="22"/>
        <v>-1</v>
      </c>
      <c r="CA13" s="270"/>
    </row>
    <row r="14" spans="1:79" ht="15">
      <c r="A14" s="329" t="s">
        <v>17</v>
      </c>
      <c r="B14" s="263">
        <v>198116</v>
      </c>
      <c r="C14" s="252">
        <v>263201</v>
      </c>
      <c r="D14" s="252">
        <v>264687</v>
      </c>
      <c r="E14" s="252">
        <v>272481</v>
      </c>
      <c r="F14" s="322"/>
      <c r="G14" s="264">
        <f t="shared" si="13"/>
        <v>-1</v>
      </c>
      <c r="H14" s="263">
        <v>213300</v>
      </c>
      <c r="I14" s="252">
        <v>210212</v>
      </c>
      <c r="J14" s="252">
        <v>203999</v>
      </c>
      <c r="K14" s="252">
        <v>198171</v>
      </c>
      <c r="L14" s="322"/>
      <c r="M14" s="253">
        <f t="shared" si="14"/>
        <v>-1</v>
      </c>
      <c r="N14" s="263">
        <v>209758</v>
      </c>
      <c r="O14" s="252">
        <v>206171</v>
      </c>
      <c r="P14" s="252">
        <v>171688</v>
      </c>
      <c r="Q14" s="252">
        <v>168650</v>
      </c>
      <c r="R14" s="322"/>
      <c r="S14" s="253">
        <f t="shared" si="15"/>
        <v>-1</v>
      </c>
      <c r="T14" s="271">
        <v>89939</v>
      </c>
      <c r="U14" s="272">
        <v>84481</v>
      </c>
      <c r="V14" s="272">
        <v>81208</v>
      </c>
      <c r="W14" s="272">
        <v>95393</v>
      </c>
      <c r="X14" s="326"/>
      <c r="Y14" s="264">
        <f t="shared" si="0"/>
        <v>-1</v>
      </c>
      <c r="Z14" s="263">
        <v>123648</v>
      </c>
      <c r="AA14" s="252">
        <v>125694</v>
      </c>
      <c r="AB14" s="252">
        <v>102955</v>
      </c>
      <c r="AC14" s="252">
        <v>101301</v>
      </c>
      <c r="AD14" s="322"/>
      <c r="AE14" s="253">
        <f t="shared" si="1"/>
        <v>-1</v>
      </c>
      <c r="AF14" s="256">
        <v>59042</v>
      </c>
      <c r="AG14" s="257">
        <v>58348</v>
      </c>
      <c r="AH14" s="257">
        <v>53119</v>
      </c>
      <c r="AI14" s="257">
        <v>77343</v>
      </c>
      <c r="AJ14" s="325"/>
      <c r="AK14" s="264">
        <f t="shared" si="16"/>
        <v>-1</v>
      </c>
      <c r="AL14" s="256"/>
      <c r="AM14" s="257">
        <v>77014</v>
      </c>
      <c r="AN14" s="257">
        <v>66603</v>
      </c>
      <c r="AO14" s="265">
        <f t="shared" si="17"/>
        <v>-1</v>
      </c>
      <c r="AP14" s="263"/>
      <c r="AQ14" s="252">
        <v>139927</v>
      </c>
      <c r="AR14" s="252">
        <v>106528</v>
      </c>
      <c r="AS14" s="252">
        <v>144585</v>
      </c>
      <c r="AT14" s="322"/>
      <c r="AU14" s="264">
        <f t="shared" si="18"/>
        <v>-1</v>
      </c>
      <c r="AV14" s="263">
        <v>101461</v>
      </c>
      <c r="AW14" s="252">
        <v>108072</v>
      </c>
      <c r="AX14" s="252">
        <v>105745</v>
      </c>
      <c r="AY14" s="252">
        <v>108071</v>
      </c>
      <c r="AZ14" s="322"/>
      <c r="BA14" s="253">
        <f t="shared" si="19"/>
        <v>-1</v>
      </c>
      <c r="BB14" s="263">
        <v>164687</v>
      </c>
      <c r="BC14" s="252">
        <v>179123</v>
      </c>
      <c r="BD14" s="252">
        <v>167805</v>
      </c>
      <c r="BE14" s="252">
        <v>171890</v>
      </c>
      <c r="BF14" s="322"/>
      <c r="BG14" s="253">
        <f t="shared" si="2"/>
        <v>-1</v>
      </c>
      <c r="BH14" s="271">
        <v>24618</v>
      </c>
      <c r="BI14" s="272">
        <v>17221</v>
      </c>
      <c r="BJ14" s="272">
        <v>44631</v>
      </c>
      <c r="BK14" s="272">
        <v>48453</v>
      </c>
      <c r="BL14" s="326"/>
      <c r="BM14" s="253">
        <f t="shared" si="20"/>
        <v>-1</v>
      </c>
      <c r="BN14" s="266">
        <f t="shared" si="3"/>
        <v>1184569</v>
      </c>
      <c r="BO14" s="267">
        <f t="shared" si="4"/>
        <v>1392450</v>
      </c>
      <c r="BP14" s="268">
        <f t="shared" si="5"/>
        <v>1302365</v>
      </c>
      <c r="BQ14" s="268">
        <f t="shared" si="6"/>
        <v>1386338</v>
      </c>
      <c r="BR14" s="331">
        <f t="shared" si="7"/>
        <v>0</v>
      </c>
      <c r="BS14" s="269">
        <f t="shared" si="21"/>
        <v>-1</v>
      </c>
      <c r="BU14" s="266">
        <f t="shared" si="8"/>
        <v>995264</v>
      </c>
      <c r="BV14" s="267">
        <f t="shared" si="9"/>
        <v>1196106</v>
      </c>
      <c r="BW14" s="268">
        <f t="shared" si="10"/>
        <v>1089929</v>
      </c>
      <c r="BX14" s="268">
        <f t="shared" si="11"/>
        <v>1165995</v>
      </c>
      <c r="BY14" s="331">
        <f t="shared" si="12"/>
        <v>0</v>
      </c>
      <c r="BZ14" s="269">
        <f t="shared" si="22"/>
        <v>-1</v>
      </c>
      <c r="CA14" s="270"/>
    </row>
    <row r="15" spans="1:79" ht="15">
      <c r="A15" s="329" t="s">
        <v>18</v>
      </c>
      <c r="B15" s="263">
        <v>204138</v>
      </c>
      <c r="C15" s="252">
        <v>275896</v>
      </c>
      <c r="D15" s="252">
        <v>275569</v>
      </c>
      <c r="E15" s="252">
        <v>282408</v>
      </c>
      <c r="F15" s="322"/>
      <c r="G15" s="264">
        <f t="shared" si="13"/>
        <v>-1</v>
      </c>
      <c r="H15" s="263">
        <v>223460</v>
      </c>
      <c r="I15" s="252">
        <v>214226</v>
      </c>
      <c r="J15" s="252">
        <v>203182</v>
      </c>
      <c r="K15" s="252">
        <v>195801</v>
      </c>
      <c r="L15" s="322"/>
      <c r="M15" s="253">
        <f t="shared" si="14"/>
        <v>-1</v>
      </c>
      <c r="N15" s="263">
        <v>217742</v>
      </c>
      <c r="O15" s="252">
        <v>210597</v>
      </c>
      <c r="P15" s="252">
        <v>177975</v>
      </c>
      <c r="Q15" s="252">
        <v>171928</v>
      </c>
      <c r="R15" s="322"/>
      <c r="S15" s="253">
        <f t="shared" si="15"/>
        <v>-1</v>
      </c>
      <c r="T15" s="271">
        <v>90995</v>
      </c>
      <c r="U15" s="272">
        <v>92942</v>
      </c>
      <c r="V15" s="272">
        <v>88071</v>
      </c>
      <c r="W15" s="272">
        <v>96973</v>
      </c>
      <c r="X15" s="326"/>
      <c r="Y15" s="264">
        <f t="shared" si="0"/>
        <v>-1</v>
      </c>
      <c r="Z15" s="263">
        <v>130746</v>
      </c>
      <c r="AA15" s="252">
        <v>127080</v>
      </c>
      <c r="AB15" s="252">
        <v>108164</v>
      </c>
      <c r="AC15" s="252">
        <v>101028</v>
      </c>
      <c r="AD15" s="322"/>
      <c r="AE15" s="253">
        <f t="shared" si="1"/>
        <v>-1</v>
      </c>
      <c r="AF15" s="256">
        <v>62397</v>
      </c>
      <c r="AG15" s="257">
        <v>70291</v>
      </c>
      <c r="AH15" s="257">
        <v>76196</v>
      </c>
      <c r="AI15" s="257">
        <v>78977</v>
      </c>
      <c r="AJ15" s="325"/>
      <c r="AK15" s="264">
        <f t="shared" si="16"/>
        <v>-1</v>
      </c>
      <c r="AL15" s="256"/>
      <c r="AM15" s="257">
        <v>74429</v>
      </c>
      <c r="AN15" s="257">
        <v>72873</v>
      </c>
      <c r="AO15" s="265">
        <f t="shared" si="17"/>
        <v>-1</v>
      </c>
      <c r="AP15" s="263">
        <v>56995</v>
      </c>
      <c r="AQ15" s="252">
        <v>136582</v>
      </c>
      <c r="AR15" s="252">
        <v>134395</v>
      </c>
      <c r="AS15" s="252">
        <v>150176</v>
      </c>
      <c r="AT15" s="322"/>
      <c r="AU15" s="264">
        <f t="shared" si="18"/>
        <v>-1</v>
      </c>
      <c r="AV15" s="263">
        <v>101480</v>
      </c>
      <c r="AW15" s="252">
        <v>107668</v>
      </c>
      <c r="AX15" s="252">
        <v>110135</v>
      </c>
      <c r="AY15" s="252">
        <v>109416</v>
      </c>
      <c r="AZ15" s="322"/>
      <c r="BA15" s="253">
        <f t="shared" si="19"/>
        <v>-1</v>
      </c>
      <c r="BB15" s="263">
        <v>185514</v>
      </c>
      <c r="BC15" s="252">
        <v>201556</v>
      </c>
      <c r="BD15" s="252">
        <v>168817</v>
      </c>
      <c r="BE15" s="252">
        <v>191433</v>
      </c>
      <c r="BF15" s="322"/>
      <c r="BG15" s="253">
        <f t="shared" si="2"/>
        <v>-1</v>
      </c>
      <c r="BH15" s="271">
        <v>25438</v>
      </c>
      <c r="BI15" s="272">
        <v>16920</v>
      </c>
      <c r="BJ15" s="272">
        <v>54060</v>
      </c>
      <c r="BK15" s="272">
        <v>50826</v>
      </c>
      <c r="BL15" s="326"/>
      <c r="BM15" s="253">
        <f t="shared" si="20"/>
        <v>-1</v>
      </c>
      <c r="BN15" s="266">
        <f t="shared" si="3"/>
        <v>1298905</v>
      </c>
      <c r="BO15" s="267">
        <f t="shared" si="4"/>
        <v>1453758</v>
      </c>
      <c r="BP15" s="268">
        <f t="shared" si="5"/>
        <v>1396564</v>
      </c>
      <c r="BQ15" s="268">
        <f t="shared" si="6"/>
        <v>1428966</v>
      </c>
      <c r="BR15" s="331">
        <f t="shared" si="7"/>
        <v>0</v>
      </c>
      <c r="BS15" s="269">
        <f t="shared" si="21"/>
        <v>-1</v>
      </c>
      <c r="BU15" s="266">
        <f t="shared" si="8"/>
        <v>1087953</v>
      </c>
      <c r="BV15" s="267">
        <f t="shared" si="9"/>
        <v>1235282</v>
      </c>
      <c r="BW15" s="268">
        <f t="shared" si="10"/>
        <v>1173687</v>
      </c>
      <c r="BX15" s="268">
        <f t="shared" si="11"/>
        <v>1186707</v>
      </c>
      <c r="BY15" s="331">
        <f t="shared" si="12"/>
        <v>0</v>
      </c>
      <c r="BZ15" s="269">
        <f t="shared" si="22"/>
        <v>-1</v>
      </c>
      <c r="CA15" s="270"/>
    </row>
    <row r="16" spans="1:79" ht="15">
      <c r="A16" s="329" t="s">
        <v>19</v>
      </c>
      <c r="B16" s="263">
        <v>198116</v>
      </c>
      <c r="C16" s="252">
        <v>275811</v>
      </c>
      <c r="D16" s="252">
        <v>288542</v>
      </c>
      <c r="E16" s="252">
        <v>292005</v>
      </c>
      <c r="F16" s="322"/>
      <c r="G16" s="264">
        <f t="shared" si="13"/>
        <v>-1</v>
      </c>
      <c r="H16" s="263">
        <v>216522</v>
      </c>
      <c r="I16" s="252">
        <v>210378</v>
      </c>
      <c r="J16" s="252">
        <v>208874</v>
      </c>
      <c r="K16" s="252">
        <v>202932</v>
      </c>
      <c r="L16" s="322"/>
      <c r="M16" s="253">
        <f t="shared" si="14"/>
        <v>-1</v>
      </c>
      <c r="N16" s="263">
        <v>207263</v>
      </c>
      <c r="O16" s="252">
        <v>207265</v>
      </c>
      <c r="P16" s="252">
        <v>180413</v>
      </c>
      <c r="Q16" s="252">
        <v>178905</v>
      </c>
      <c r="R16" s="322"/>
      <c r="S16" s="253">
        <f t="shared" si="15"/>
        <v>-1</v>
      </c>
      <c r="T16" s="271">
        <v>113671</v>
      </c>
      <c r="U16" s="272">
        <v>85560</v>
      </c>
      <c r="V16" s="272">
        <v>88237</v>
      </c>
      <c r="W16" s="272">
        <v>105206</v>
      </c>
      <c r="X16" s="326"/>
      <c r="Y16" s="264">
        <f t="shared" si="0"/>
        <v>-1</v>
      </c>
      <c r="Z16" s="263">
        <v>122874</v>
      </c>
      <c r="AA16" s="252">
        <v>120826</v>
      </c>
      <c r="AB16" s="252">
        <v>107986</v>
      </c>
      <c r="AC16" s="252">
        <v>102146</v>
      </c>
      <c r="AD16" s="322"/>
      <c r="AE16" s="253">
        <f t="shared" si="1"/>
        <v>-1</v>
      </c>
      <c r="AF16" s="256">
        <v>73627</v>
      </c>
      <c r="AG16" s="257">
        <v>68097</v>
      </c>
      <c r="AH16" s="257">
        <v>65661</v>
      </c>
      <c r="AI16" s="257">
        <v>74175</v>
      </c>
      <c r="AJ16" s="325"/>
      <c r="AK16" s="264">
        <f t="shared" si="16"/>
        <v>-1</v>
      </c>
      <c r="AL16" s="256"/>
      <c r="AM16" s="257">
        <v>69161</v>
      </c>
      <c r="AN16" s="257">
        <v>73500</v>
      </c>
      <c r="AO16" s="265">
        <f t="shared" si="17"/>
        <v>-1</v>
      </c>
      <c r="AP16" s="263">
        <v>131599</v>
      </c>
      <c r="AQ16" s="252">
        <v>145325</v>
      </c>
      <c r="AR16" s="252">
        <v>148086</v>
      </c>
      <c r="AS16" s="252">
        <v>154699</v>
      </c>
      <c r="AT16" s="322"/>
      <c r="AU16" s="264">
        <f t="shared" si="18"/>
        <v>-1</v>
      </c>
      <c r="AV16" s="263">
        <v>99023</v>
      </c>
      <c r="AW16" s="252">
        <v>101710</v>
      </c>
      <c r="AX16" s="252">
        <v>114610</v>
      </c>
      <c r="AY16" s="252">
        <v>101770</v>
      </c>
      <c r="AZ16" s="322"/>
      <c r="BA16" s="253">
        <f t="shared" si="19"/>
        <v>-1</v>
      </c>
      <c r="BB16" s="263">
        <v>238931</v>
      </c>
      <c r="BC16" s="252">
        <v>184252</v>
      </c>
      <c r="BD16" s="252">
        <v>205349</v>
      </c>
      <c r="BE16" s="252">
        <v>206361</v>
      </c>
      <c r="BF16" s="322"/>
      <c r="BG16" s="253">
        <f t="shared" si="2"/>
        <v>-1</v>
      </c>
      <c r="BH16" s="271">
        <v>27128</v>
      </c>
      <c r="BI16" s="272">
        <v>31977</v>
      </c>
      <c r="BJ16" s="272">
        <v>58632</v>
      </c>
      <c r="BK16" s="272">
        <v>50940</v>
      </c>
      <c r="BL16" s="326"/>
      <c r="BM16" s="253">
        <f t="shared" si="20"/>
        <v>-1</v>
      </c>
      <c r="BN16" s="266">
        <f>H16+N16+T16+Z16+AF16+AP16+AV16+BB16+BH16</f>
        <v>1230638</v>
      </c>
      <c r="BO16" s="267">
        <f t="shared" ref="BO16:BR17" si="23">C16+I16+O16+U16+AA16+AG16+AQ16+AW16+BC16+BI16</f>
        <v>1431201</v>
      </c>
      <c r="BP16" s="268">
        <f t="shared" si="23"/>
        <v>1466390</v>
      </c>
      <c r="BQ16" s="268">
        <f t="shared" si="23"/>
        <v>1469139</v>
      </c>
      <c r="BR16" s="331">
        <f t="shared" si="23"/>
        <v>0</v>
      </c>
      <c r="BS16" s="269">
        <f t="shared" si="21"/>
        <v>-1</v>
      </c>
      <c r="BU16" s="266">
        <f t="shared" si="8"/>
        <v>964579</v>
      </c>
      <c r="BV16" s="267">
        <f t="shared" si="9"/>
        <v>1214972</v>
      </c>
      <c r="BW16" s="268">
        <f t="shared" si="10"/>
        <v>1202409</v>
      </c>
      <c r="BX16" s="268">
        <f t="shared" si="11"/>
        <v>1211838</v>
      </c>
      <c r="BY16" s="331">
        <f t="shared" si="12"/>
        <v>0</v>
      </c>
      <c r="BZ16" s="269">
        <f t="shared" si="22"/>
        <v>-1</v>
      </c>
      <c r="CA16" s="270"/>
    </row>
    <row r="17" spans="1:97" ht="15">
      <c r="A17" s="329" t="s">
        <v>20</v>
      </c>
      <c r="B17" s="273">
        <v>295161</v>
      </c>
      <c r="C17" s="274">
        <v>296810</v>
      </c>
      <c r="D17" s="274">
        <v>316050</v>
      </c>
      <c r="E17" s="274">
        <v>287731</v>
      </c>
      <c r="F17" s="323"/>
      <c r="G17" s="275">
        <f t="shared" si="13"/>
        <v>-1</v>
      </c>
      <c r="H17" s="273">
        <v>254191</v>
      </c>
      <c r="I17" s="274">
        <v>238677</v>
      </c>
      <c r="J17" s="274">
        <v>229883</v>
      </c>
      <c r="K17" s="274">
        <v>230734</v>
      </c>
      <c r="L17" s="323"/>
      <c r="M17" s="275">
        <f t="shared" si="14"/>
        <v>-1</v>
      </c>
      <c r="N17" s="273">
        <v>240562</v>
      </c>
      <c r="O17" s="274">
        <v>231180</v>
      </c>
      <c r="P17" s="274">
        <v>200145</v>
      </c>
      <c r="Q17" s="274">
        <v>204171</v>
      </c>
      <c r="R17" s="323"/>
      <c r="S17" s="275">
        <f t="shared" si="15"/>
        <v>-1</v>
      </c>
      <c r="T17" s="276">
        <v>112405</v>
      </c>
      <c r="U17" s="277">
        <v>99104</v>
      </c>
      <c r="V17" s="277">
        <v>101917</v>
      </c>
      <c r="W17" s="277">
        <v>123092</v>
      </c>
      <c r="X17" s="327"/>
      <c r="Y17" s="278">
        <f t="shared" si="0"/>
        <v>-1</v>
      </c>
      <c r="Z17" s="273">
        <v>140521</v>
      </c>
      <c r="AA17" s="274">
        <v>135900</v>
      </c>
      <c r="AB17" s="274">
        <v>117620</v>
      </c>
      <c r="AC17" s="274">
        <v>117873</v>
      </c>
      <c r="AD17" s="323"/>
      <c r="AE17" s="278">
        <f t="shared" si="1"/>
        <v>-1</v>
      </c>
      <c r="AF17" s="279">
        <v>64575</v>
      </c>
      <c r="AG17" s="280">
        <v>64262</v>
      </c>
      <c r="AH17" s="277">
        <v>67686</v>
      </c>
      <c r="AI17" s="280">
        <v>63714</v>
      </c>
      <c r="AJ17" s="328"/>
      <c r="AK17" s="278">
        <f t="shared" si="16"/>
        <v>-1</v>
      </c>
      <c r="AL17" s="279"/>
      <c r="AM17" s="280">
        <v>83327</v>
      </c>
      <c r="AN17" s="280">
        <v>81670</v>
      </c>
      <c r="AO17" s="281">
        <f t="shared" si="17"/>
        <v>-1</v>
      </c>
      <c r="AP17" s="273">
        <v>174030</v>
      </c>
      <c r="AQ17" s="274">
        <v>191174</v>
      </c>
      <c r="AR17" s="274">
        <v>188089</v>
      </c>
      <c r="AS17" s="274">
        <v>192097</v>
      </c>
      <c r="AT17" s="323"/>
      <c r="AU17" s="278">
        <f t="shared" si="18"/>
        <v>-1</v>
      </c>
      <c r="AV17" s="273">
        <v>96129</v>
      </c>
      <c r="AW17" s="274">
        <v>104227</v>
      </c>
      <c r="AX17" s="274">
        <v>116194</v>
      </c>
      <c r="AY17" s="274">
        <v>107292</v>
      </c>
      <c r="AZ17" s="323"/>
      <c r="BA17" s="275">
        <f t="shared" si="19"/>
        <v>-1</v>
      </c>
      <c r="BB17" s="273">
        <v>282266</v>
      </c>
      <c r="BC17" s="274">
        <v>210597</v>
      </c>
      <c r="BD17" s="274">
        <v>215074</v>
      </c>
      <c r="BE17" s="274">
        <v>220787</v>
      </c>
      <c r="BF17" s="323"/>
      <c r="BG17" s="275">
        <f t="shared" si="2"/>
        <v>-1</v>
      </c>
      <c r="BH17" s="276">
        <v>26271</v>
      </c>
      <c r="BI17" s="277">
        <v>54414</v>
      </c>
      <c r="BJ17" s="277">
        <v>56711</v>
      </c>
      <c r="BK17" s="277">
        <v>49348</v>
      </c>
      <c r="BL17" s="327"/>
      <c r="BM17" s="275">
        <f t="shared" si="20"/>
        <v>-1</v>
      </c>
      <c r="BN17" s="282">
        <f>B17+H17+N17+T17+Z17+AF17+AP17+AV17+BB17+BH17</f>
        <v>1686111</v>
      </c>
      <c r="BO17" s="283">
        <f t="shared" si="23"/>
        <v>1626345</v>
      </c>
      <c r="BP17" s="284">
        <f t="shared" si="23"/>
        <v>1609369</v>
      </c>
      <c r="BQ17" s="284">
        <f t="shared" si="23"/>
        <v>1596839</v>
      </c>
      <c r="BR17" s="332">
        <f t="shared" si="23"/>
        <v>0</v>
      </c>
      <c r="BS17" s="285">
        <f t="shared" si="21"/>
        <v>-1</v>
      </c>
      <c r="BU17" s="282">
        <f t="shared" si="8"/>
        <v>1377574</v>
      </c>
      <c r="BV17" s="283">
        <f t="shared" si="9"/>
        <v>1361334</v>
      </c>
      <c r="BW17" s="284">
        <f t="shared" si="10"/>
        <v>1337584</v>
      </c>
      <c r="BX17" s="284">
        <f t="shared" si="11"/>
        <v>1326704</v>
      </c>
      <c r="BY17" s="332">
        <f t="shared" si="12"/>
        <v>0</v>
      </c>
      <c r="BZ17" s="285">
        <f t="shared" si="22"/>
        <v>-1</v>
      </c>
      <c r="CA17" s="270"/>
    </row>
    <row r="18" spans="1:97" ht="8" customHeight="1">
      <c r="A18" s="314"/>
      <c r="B18" s="287"/>
      <c r="C18" s="287"/>
      <c r="D18" s="287"/>
      <c r="E18" s="287"/>
      <c r="F18" s="287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>
        <v>4171</v>
      </c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6"/>
      <c r="AY18" s="286"/>
      <c r="AZ18" s="286"/>
      <c r="BA18" s="286"/>
      <c r="BB18" s="286"/>
      <c r="BC18" s="286"/>
      <c r="BD18" s="286"/>
      <c r="BE18" s="286"/>
      <c r="BF18" s="286"/>
      <c r="BG18" s="286"/>
      <c r="BH18" s="286"/>
      <c r="BI18" s="286"/>
      <c r="BJ18" s="286"/>
      <c r="BK18" s="286"/>
      <c r="BL18" s="286"/>
      <c r="BM18" s="286"/>
      <c r="BN18" s="286"/>
      <c r="BO18" s="286"/>
      <c r="BP18" s="288"/>
      <c r="BQ18" s="288"/>
      <c r="BR18" s="288"/>
      <c r="BU18" s="286"/>
      <c r="BV18" s="286"/>
      <c r="BW18" s="288"/>
      <c r="BX18" s="288"/>
      <c r="BY18" s="288"/>
      <c r="CS18" s="289" t="e">
        <f>CI21/CI20-1</f>
        <v>#VALUE!</v>
      </c>
    </row>
    <row r="19" spans="1:97" s="305" customFormat="1" ht="15">
      <c r="A19" s="315" t="s">
        <v>29</v>
      </c>
      <c r="B19" s="316">
        <f>SUM(B6:B17)</f>
        <v>3055645</v>
      </c>
      <c r="C19" s="316">
        <f>SUM(C6:C17)</f>
        <v>3173276</v>
      </c>
      <c r="D19" s="316">
        <f>SUM(D6:D17)</f>
        <v>3290340</v>
      </c>
      <c r="E19" s="316">
        <f>SUM(E6:E17)</f>
        <v>3324223</v>
      </c>
      <c r="F19" s="316">
        <f>SUM(F6:F17)</f>
        <v>1522722</v>
      </c>
      <c r="G19" s="317">
        <f>F19/(E6+E7+E8+E9+E10+E11)-1</f>
        <v>-5.0230344037813124E-2</v>
      </c>
      <c r="H19" s="316">
        <f>SUM(H6:H17)</f>
        <v>2664158</v>
      </c>
      <c r="I19" s="316">
        <f>SUM(I6:I17)</f>
        <v>2667535</v>
      </c>
      <c r="J19" s="316">
        <f>SUM(J6:J17)</f>
        <v>2543267</v>
      </c>
      <c r="K19" s="316">
        <f>SUM(K6:K17)</f>
        <v>2483629</v>
      </c>
      <c r="L19" s="316">
        <f>SUM(L6:L17)</f>
        <v>1209760</v>
      </c>
      <c r="M19" s="317">
        <f>L19/(K6+K7+K8+K9+K10+K11)-1</f>
        <v>-1.2479511006915689E-2</v>
      </c>
      <c r="N19" s="316">
        <f>SUM(N6:N17)</f>
        <v>2573727</v>
      </c>
      <c r="O19" s="316">
        <f>SUM(O6:O17)</f>
        <v>2550017</v>
      </c>
      <c r="P19" s="316">
        <f>SUM(P6:P17)</f>
        <v>2388270</v>
      </c>
      <c r="Q19" s="316">
        <f>SUM(Q6:Q17)</f>
        <v>2099093</v>
      </c>
      <c r="R19" s="316">
        <f>SUM(R6:R17)</f>
        <v>993056</v>
      </c>
      <c r="S19" s="317">
        <f>R19/(Q6+Q7+Q8+Q9+Q10+Q11)-1</f>
        <v>-1.1653471209685851E-2</v>
      </c>
      <c r="T19" s="316">
        <f>SUM(T6:T17)</f>
        <v>1103469</v>
      </c>
      <c r="U19" s="316">
        <f>SUM(U6:U17)</f>
        <v>988710</v>
      </c>
      <c r="V19" s="316">
        <f>SUM(V6:V17)</f>
        <v>1059374</v>
      </c>
      <c r="W19" s="316">
        <f>SUM(W6:W17)</f>
        <v>1139551</v>
      </c>
      <c r="X19" s="316">
        <f>SUM(X6:X17)</f>
        <v>765842</v>
      </c>
      <c r="Y19" s="317">
        <f>X19/(W6+W7+W8+W9+W10+W11)-1</f>
        <v>0.44858724147975537</v>
      </c>
      <c r="Z19" s="316">
        <f>SUM(Z6:Z17)</f>
        <v>1543429</v>
      </c>
      <c r="AA19" s="316">
        <f>SUM(AA6:AA17)</f>
        <v>1485222</v>
      </c>
      <c r="AB19" s="316">
        <f>SUM(AB6:AB17)</f>
        <v>1391118</v>
      </c>
      <c r="AC19" s="316">
        <f>SUM(AC6:AC17)</f>
        <v>1230256</v>
      </c>
      <c r="AD19" s="316">
        <f>SUM(AD6:AD17)</f>
        <v>567850</v>
      </c>
      <c r="AE19" s="317">
        <f>AD19/(AC6+AC7+AC8+AC9+AC10+AC11)-1</f>
        <v>-5.2435200651456015E-2</v>
      </c>
      <c r="AF19" s="316">
        <f>SUM(AF6:AF17)</f>
        <v>774578</v>
      </c>
      <c r="AG19" s="316">
        <f>SUM(AG6:AG17)</f>
        <v>801053</v>
      </c>
      <c r="AH19" s="316">
        <f>SUM(AH6:AH17)</f>
        <v>900089</v>
      </c>
      <c r="AI19" s="316">
        <f>SUM(AI6:AI17)</f>
        <v>914873</v>
      </c>
      <c r="AJ19" s="316">
        <f>SUM(AJ6:AJ17)</f>
        <v>473399</v>
      </c>
      <c r="AK19" s="317">
        <f>AJ19/(AI6+AI7+AI8+AI9+AI10+AI11)-1</f>
        <v>7.1865398418236692E-2</v>
      </c>
      <c r="AL19" s="318">
        <f>SUM(AL6:AL17)</f>
        <v>75405</v>
      </c>
      <c r="AM19" s="318">
        <f>SUM(AM6:AM17)</f>
        <v>887329</v>
      </c>
      <c r="AN19" s="318">
        <f>SUM(AN6:AN17)</f>
        <v>781657</v>
      </c>
      <c r="AO19" s="318"/>
      <c r="AP19" s="316">
        <f>SUM(AP6:AP17)</f>
        <v>362624</v>
      </c>
      <c r="AQ19" s="316">
        <f>SUM(AQ6:AQ17)</f>
        <v>1691863</v>
      </c>
      <c r="AR19" s="316">
        <f>SUM(AR6:AR17)</f>
        <v>1759825</v>
      </c>
      <c r="AS19" s="316">
        <f>SUM(AS6:AS17)</f>
        <v>1833647</v>
      </c>
      <c r="AT19" s="316">
        <f>SUM(AT6:AT17)</f>
        <v>875994</v>
      </c>
      <c r="AU19" s="317">
        <f>AT19/(AS6+AS7+AS8+AS9+AS10+AS11)-1</f>
        <v>-7.8050935286022582E-3</v>
      </c>
      <c r="AV19" s="316">
        <f>SUM(AV6:AV17)</f>
        <v>398093</v>
      </c>
      <c r="AW19" s="316">
        <f>SUM(AW6:AW17)</f>
        <v>1322153</v>
      </c>
      <c r="AX19" s="316">
        <f>SUM(AX6:AX17)</f>
        <v>1359450</v>
      </c>
      <c r="AY19" s="316">
        <f>SUM(AY6:AY17)</f>
        <v>1341894</v>
      </c>
      <c r="AZ19" s="316">
        <f>SUM(AZ6:AZ17)</f>
        <v>669051</v>
      </c>
      <c r="BA19" s="317">
        <f>AZ19/(AY6+AY7+AY8+AY9+AY10+AY11)-1</f>
        <v>-2.3072138213803828E-2</v>
      </c>
      <c r="BB19" s="316">
        <f>SUM(BB6:BB17)</f>
        <v>2267900</v>
      </c>
      <c r="BC19" s="316">
        <f>SUM(BC6:BC17)</f>
        <v>2031993</v>
      </c>
      <c r="BD19" s="316">
        <f>SUM(BD6:BD17)</f>
        <v>2030186</v>
      </c>
      <c r="BE19" s="316">
        <f>SUM(BE6:BE17)</f>
        <v>2216148</v>
      </c>
      <c r="BF19" s="316">
        <f>SUM(BF6:BF17)</f>
        <v>1093599</v>
      </c>
      <c r="BG19" s="317">
        <f>BF19/(BE6+BE7+BE8+BE9+BE10+BE11)-1</f>
        <v>4.2758277425826385E-2</v>
      </c>
      <c r="BH19" s="316">
        <f>SUM(BH6:BH17)</f>
        <v>231074</v>
      </c>
      <c r="BI19" s="316">
        <f>SUM(BI6:BI17)</f>
        <v>424029</v>
      </c>
      <c r="BJ19" s="316">
        <f>SUM(BJ6:BJ17)</f>
        <v>606853</v>
      </c>
      <c r="BK19" s="316">
        <f>SUM(BK6:BK17)</f>
        <v>549052</v>
      </c>
      <c r="BL19" s="316">
        <f>SUM(BL6:BL17)</f>
        <v>0</v>
      </c>
      <c r="BM19" s="317">
        <f>BL19/(BK6+BK7)-1</f>
        <v>-1</v>
      </c>
      <c r="BN19" s="316">
        <f>SUM(BN6:BN17)</f>
        <v>14776581</v>
      </c>
      <c r="BO19" s="316">
        <f>SUM(BO6:BO17)</f>
        <v>17135851</v>
      </c>
      <c r="BP19" s="316">
        <f>SUM(BP6:BP17)</f>
        <v>17328772</v>
      </c>
      <c r="BQ19" s="316">
        <f>SUM(BQ6:BQ17)</f>
        <v>17132366</v>
      </c>
      <c r="BR19" s="316">
        <f>SUM(BR6:BR17)</f>
        <v>8171855</v>
      </c>
      <c r="BS19" s="317">
        <f>BR19/(BQ6+BQ7+BQ8+BQ9+BQ10+BQ11)-1</f>
        <v>-1.2721404657060731E-2</v>
      </c>
      <c r="BU19" s="316">
        <f>SUM(BU6:BU17)</f>
        <v>12277607</v>
      </c>
      <c r="BV19" s="316">
        <f>SUM(BV6:BV17)</f>
        <v>14679829</v>
      </c>
      <c r="BW19" s="316">
        <f>SUM(BW6:BW17)</f>
        <v>14691733</v>
      </c>
      <c r="BX19" s="316">
        <f>SUM(BX6:BX17)</f>
        <v>14367166</v>
      </c>
      <c r="BY19" s="316">
        <f>SUM(BY6:BY17)</f>
        <v>7078256</v>
      </c>
      <c r="BZ19" s="317">
        <f>BY19/(BX6+BX7+BX8+BX9+BX10+BX11)-1</f>
        <v>1.5470808206911046E-2</v>
      </c>
      <c r="CM19" s="319" t="s">
        <v>1</v>
      </c>
      <c r="CN19" s="320">
        <f>CD22/CD21-1</f>
        <v>-6.1375267225270536E-2</v>
      </c>
      <c r="CO19" s="320">
        <f>CD23/CD22-1</f>
        <v>4.4738800793921785E-2</v>
      </c>
      <c r="CP19" s="320">
        <f>CD24/CD23-1</f>
        <v>2.3480136587097356E-2</v>
      </c>
    </row>
    <row r="20" spans="1:97" ht="15">
      <c r="BR20" s="244">
        <f>BQ19*1.03</f>
        <v>17646336.98</v>
      </c>
      <c r="CD20" s="245" t="s">
        <v>1</v>
      </c>
      <c r="CE20" s="245" t="s">
        <v>2</v>
      </c>
      <c r="CF20" s="245" t="s">
        <v>3</v>
      </c>
      <c r="CG20" s="252" t="s">
        <v>59</v>
      </c>
      <c r="CH20" s="245" t="s">
        <v>4</v>
      </c>
      <c r="CI20" s="245" t="s">
        <v>60</v>
      </c>
      <c r="CJ20" s="245" t="s">
        <v>5</v>
      </c>
      <c r="CK20" s="245" t="s">
        <v>6</v>
      </c>
      <c r="CM20" s="290" t="s">
        <v>2</v>
      </c>
      <c r="CN20" s="289">
        <f>CE22/CE21-1</f>
        <v>3.7577348642681141E-2</v>
      </c>
      <c r="CO20" s="289">
        <f>CE23/CE22-1</f>
        <v>-6.3148772050933832E-2</v>
      </c>
      <c r="CP20" s="289">
        <f>CE24/CE23-1</f>
        <v>-1.8824221037026079E-2</v>
      </c>
    </row>
    <row r="21" spans="1:97" ht="15">
      <c r="C21" s="291"/>
      <c r="F21" s="270">
        <f>SUM(E6:E11)</f>
        <v>1603254</v>
      </c>
      <c r="I21" s="291"/>
      <c r="O21" s="291"/>
      <c r="AC21" s="270">
        <f>SUM(AB6:AB10)</f>
        <v>579303</v>
      </c>
      <c r="AD21" s="270">
        <f>SUM(AC6:AC11)</f>
        <v>599273</v>
      </c>
      <c r="AR21" s="270"/>
      <c r="AS21" s="270">
        <f>SUM(AR6:AR10)</f>
        <v>712679</v>
      </c>
      <c r="AT21" s="270">
        <f>SUM(AS6:AS11)</f>
        <v>882885</v>
      </c>
      <c r="AX21" s="244">
        <f>AX16*1.025</f>
        <v>117475.24999999999</v>
      </c>
      <c r="BP21" s="244">
        <v>46.25</v>
      </c>
      <c r="BQ21" s="244">
        <v>46.25</v>
      </c>
      <c r="BR21" s="244">
        <v>47.5</v>
      </c>
      <c r="CC21" s="244">
        <v>2022</v>
      </c>
      <c r="CD21" s="270">
        <f>SUM(B6:B11)</f>
        <v>1597435</v>
      </c>
      <c r="CE21" s="270">
        <f>SUM(H6:H11)</f>
        <v>1284444</v>
      </c>
      <c r="CF21" s="270">
        <f>SUM(N6:N11)</f>
        <v>1278268</v>
      </c>
      <c r="CG21" s="252">
        <f>SUM(T6:T11)</f>
        <v>517310</v>
      </c>
      <c r="CH21" s="270">
        <f>SUM(Z6:Z11)</f>
        <v>746536</v>
      </c>
      <c r="CI21" s="270">
        <f>SUM(AF6:AF11)</f>
        <v>377886</v>
      </c>
      <c r="CJ21" s="270"/>
      <c r="CK21" s="270"/>
      <c r="CM21" s="290" t="s">
        <v>3</v>
      </c>
      <c r="CN21" s="289">
        <f>CF22/CF21-1</f>
        <v>-1.3601998954835715E-2</v>
      </c>
      <c r="CO21" s="289">
        <f>CF23/CF22-1</f>
        <v>-4.0579563019825016E-2</v>
      </c>
      <c r="CP21" s="289">
        <f>CF24/CF23-1</f>
        <v>-0.16942007001649151</v>
      </c>
    </row>
    <row r="22" spans="1:97" ht="15">
      <c r="D22" s="292">
        <f>+D7/29</f>
        <v>8361.4827586206902</v>
      </c>
      <c r="E22" s="292">
        <f>+E7/28</f>
        <v>8731.7142857142862</v>
      </c>
      <c r="F22" s="612">
        <f>F19-F21</f>
        <v>-80532</v>
      </c>
      <c r="J22" s="244">
        <f>+J7/29</f>
        <v>6756.7931034482763</v>
      </c>
      <c r="K22" s="244">
        <f>+K7/28</f>
        <v>6623.25</v>
      </c>
      <c r="O22" s="293"/>
      <c r="AA22" s="294"/>
      <c r="AB22" s="295">
        <f>AB17/AA17-1</f>
        <v>-0.13451066961000735</v>
      </c>
      <c r="AC22" s="270">
        <f>AC19-AC21</f>
        <v>650953</v>
      </c>
      <c r="AD22" s="270">
        <f>AD19-AD21</f>
        <v>-31423</v>
      </c>
      <c r="AS22" s="270">
        <f>AS19-AS21</f>
        <v>1120968</v>
      </c>
      <c r="AT22" s="270">
        <f>AT19-AT21</f>
        <v>-6891</v>
      </c>
      <c r="AX22" s="244">
        <f>AX17*1.025</f>
        <v>119098.84999999999</v>
      </c>
      <c r="BP22" s="296">
        <f>BP19*BP21/1000</f>
        <v>801455.70499999996</v>
      </c>
      <c r="BQ22" s="296">
        <f>BQ19*BQ21/1000</f>
        <v>792371.92749999999</v>
      </c>
      <c r="BR22" s="296">
        <f>BR20*BR21/1000</f>
        <v>838201.00655000005</v>
      </c>
      <c r="BZ22" s="295">
        <f>(BX6+BX7+BX8)/(BW6+BW7+BW8)-1</f>
        <v>-5.0495598009495213E-2</v>
      </c>
      <c r="CC22" s="244">
        <v>2023</v>
      </c>
      <c r="CD22" s="270">
        <f>SUM(C6:C11)</f>
        <v>1499392</v>
      </c>
      <c r="CE22" s="270">
        <f>SUM(I6:I11)</f>
        <v>1332710</v>
      </c>
      <c r="CF22" s="270">
        <f>SUM(O6:O11)</f>
        <v>1260881</v>
      </c>
      <c r="CG22" s="252">
        <f>SUM(U6:U11)</f>
        <v>475151</v>
      </c>
      <c r="CH22" s="270">
        <f>SUM(AA6:AA11)</f>
        <v>711357</v>
      </c>
      <c r="CI22" s="270">
        <f>SUM(AG6:AG11)</f>
        <v>392122</v>
      </c>
      <c r="CJ22" s="270">
        <f>SUM(AQ6:AQ11)</f>
        <v>793293</v>
      </c>
      <c r="CK22" s="270">
        <f>SUM(AW6:AW11)</f>
        <v>669147</v>
      </c>
      <c r="CM22" s="290" t="s">
        <v>59</v>
      </c>
      <c r="CN22" s="289">
        <f>CG22/CG21-1</f>
        <v>-8.1496588119309488E-2</v>
      </c>
      <c r="CO22" s="289">
        <f>CG23/CG22-1</f>
        <v>0.12542749568032052</v>
      </c>
      <c r="CP22" s="289">
        <f>CG24/CG23-1</f>
        <v>-1.1343660939358347E-2</v>
      </c>
    </row>
    <row r="23" spans="1:97" ht="15">
      <c r="B23" s="270"/>
      <c r="C23" s="270"/>
      <c r="AC23" s="244">
        <f>AC22/5</f>
        <v>130190.6</v>
      </c>
      <c r="AF23" s="245"/>
      <c r="AG23" s="245"/>
      <c r="AH23" s="245"/>
      <c r="AP23" s="245"/>
      <c r="AQ23" s="245"/>
      <c r="AR23" s="245"/>
      <c r="AS23" s="244">
        <f>AS22/5</f>
        <v>224193.6</v>
      </c>
      <c r="AV23" s="245"/>
      <c r="AW23" s="245"/>
      <c r="AX23" s="297"/>
      <c r="BB23" s="245"/>
      <c r="BC23" s="245"/>
      <c r="BD23" s="245"/>
      <c r="BH23" s="245"/>
      <c r="BI23" s="245"/>
      <c r="BJ23" s="245"/>
      <c r="CC23" s="244">
        <v>2024</v>
      </c>
      <c r="CD23" s="270">
        <f>SUM(D6:D11)</f>
        <v>1566473</v>
      </c>
      <c r="CE23" s="270">
        <f>SUM(J6:J11)</f>
        <v>1248551</v>
      </c>
      <c r="CF23" s="270">
        <f>SUM(P6:P11)</f>
        <v>1209715</v>
      </c>
      <c r="CG23" s="252">
        <f>SUM(V6:V11)</f>
        <v>534748</v>
      </c>
      <c r="CH23" s="270">
        <f>SUM(AB6:AB11)</f>
        <v>703712</v>
      </c>
      <c r="CI23" s="270">
        <f>SUM(AH6:AH11)</f>
        <v>468983</v>
      </c>
      <c r="CJ23" s="270">
        <f>SUM(AR6:AR11)</f>
        <v>867397</v>
      </c>
      <c r="CK23" s="270">
        <f>SUM(AX6:AX11)</f>
        <v>673950</v>
      </c>
      <c r="CM23" s="290" t="s">
        <v>4</v>
      </c>
      <c r="CN23" s="289">
        <f>CH22/CH21-1</f>
        <v>-4.7122978664123405E-2</v>
      </c>
      <c r="CO23" s="289">
        <f>CH23/CH22-1</f>
        <v>-1.0747065116390231E-2</v>
      </c>
      <c r="CP23" s="289">
        <f>CH24/CH23-1</f>
        <v>-0.14841156609522077</v>
      </c>
    </row>
    <row r="24" spans="1:97" ht="15">
      <c r="E24" s="252"/>
      <c r="F24" s="252"/>
      <c r="BO24" s="270"/>
      <c r="BP24" s="270">
        <v>185</v>
      </c>
      <c r="BQ24" s="270">
        <v>185</v>
      </c>
      <c r="BR24" s="270">
        <v>190</v>
      </c>
      <c r="BS24" s="270"/>
      <c r="BT24" s="270"/>
      <c r="CC24" s="244">
        <v>2025</v>
      </c>
      <c r="CD24" s="270">
        <f>SUM(E6:E11)</f>
        <v>1603254</v>
      </c>
      <c r="CE24" s="270">
        <f>SUM(K6:K11)</f>
        <v>1225048</v>
      </c>
      <c r="CF24" s="270">
        <f>SUM(Q6:Q11)</f>
        <v>1004765</v>
      </c>
      <c r="CG24" s="252">
        <f>SUM(W6:W11)</f>
        <v>528682</v>
      </c>
      <c r="CH24" s="270">
        <f>SUM(AC6:AC11)</f>
        <v>599273</v>
      </c>
      <c r="CI24" s="270">
        <f>SUM(AI6:AI11)</f>
        <v>441659</v>
      </c>
      <c r="CJ24" s="270">
        <f>SUM(AS6:AS11)</f>
        <v>882885</v>
      </c>
      <c r="CK24" s="270">
        <f>SUM(AY6:AY11)</f>
        <v>684852</v>
      </c>
      <c r="CM24" s="290" t="s">
        <v>60</v>
      </c>
      <c r="CN24" s="289">
        <f>CI22/CI21-1</f>
        <v>3.7672737280555424E-2</v>
      </c>
      <c r="CO24" s="289">
        <f>CI23/CI22-1</f>
        <v>0.1960129755535267</v>
      </c>
      <c r="CP24" s="289">
        <f>CI24/CI23-1</f>
        <v>-5.8262239782678638E-2</v>
      </c>
    </row>
    <row r="25" spans="1:97" ht="15">
      <c r="E25" s="252"/>
      <c r="F25" s="252"/>
      <c r="I25" s="292"/>
      <c r="P25" s="244" t="s">
        <v>14</v>
      </c>
      <c r="Q25" s="270">
        <f>32313+Q11</f>
        <v>210138</v>
      </c>
      <c r="R25" s="270"/>
      <c r="Z25" s="245"/>
      <c r="AA25" s="252">
        <f>SUM(AA14:AA17)</f>
        <v>509500</v>
      </c>
      <c r="AB25" s="252">
        <f>SUM(AB14:AB17)</f>
        <v>436725</v>
      </c>
      <c r="AC25" s="295">
        <f>AB25/AA25-1</f>
        <v>-0.14283611383709516</v>
      </c>
      <c r="AD25" s="295"/>
      <c r="AG25" s="257"/>
      <c r="AQ25" s="252"/>
      <c r="AW25" s="298">
        <v>2022</v>
      </c>
      <c r="AX25" s="298">
        <v>2023</v>
      </c>
      <c r="AY25" s="298">
        <v>2024</v>
      </c>
      <c r="AZ25" s="298">
        <v>2025</v>
      </c>
      <c r="BA25" s="244">
        <v>2026</v>
      </c>
      <c r="BC25" s="252"/>
      <c r="BG25" s="299" t="s">
        <v>64</v>
      </c>
      <c r="BH25" s="270">
        <f>AY19</f>
        <v>1341894</v>
      </c>
      <c r="BI25" s="257"/>
      <c r="BP25" s="296">
        <f>BP19*BP24/1000</f>
        <v>3205822.82</v>
      </c>
      <c r="BQ25" s="296">
        <f t="shared" ref="BQ25" si="24">BQ19*BQ24/1000</f>
        <v>3169487.71</v>
      </c>
      <c r="BR25" s="296">
        <f>BR20*BR24/1000</f>
        <v>3352804.0262000002</v>
      </c>
      <c r="CM25" s="290" t="s">
        <v>5</v>
      </c>
      <c r="CN25" s="289">
        <f>CJ23/CJ22-1</f>
        <v>9.3413152517417997E-2</v>
      </c>
      <c r="CO25" s="289">
        <f>CJ24/CJ23-1</f>
        <v>1.7855722350895942E-2</v>
      </c>
      <c r="CP25" s="289"/>
    </row>
    <row r="26" spans="1:97" ht="15">
      <c r="E26" s="252"/>
      <c r="F26" s="252"/>
      <c r="H26" s="245"/>
      <c r="I26" s="245"/>
      <c r="J26" s="245"/>
      <c r="K26" s="245"/>
      <c r="L26" s="245"/>
      <c r="N26" s="245"/>
      <c r="O26" s="245"/>
      <c r="P26" s="245" t="s">
        <v>15</v>
      </c>
      <c r="Q26" s="270">
        <f>40389+Q12</f>
        <v>230228</v>
      </c>
      <c r="R26" s="270"/>
      <c r="T26" s="245"/>
      <c r="U26" s="245"/>
      <c r="V26" s="245"/>
      <c r="AG26" s="257"/>
      <c r="AQ26" s="252"/>
      <c r="AV26" s="244" t="s">
        <v>41</v>
      </c>
      <c r="AW26" s="252"/>
      <c r="AX26" s="270">
        <f>AW6</f>
        <v>106554</v>
      </c>
      <c r="AY26" s="270">
        <f t="shared" ref="AY26" si="25">AX6</f>
        <v>110591</v>
      </c>
      <c r="AZ26" s="270">
        <f t="shared" ref="AZ26:BA35" si="26">AY6</f>
        <v>114146</v>
      </c>
      <c r="BA26" s="270">
        <f t="shared" si="26"/>
        <v>102376</v>
      </c>
      <c r="BC26" s="300">
        <v>2022</v>
      </c>
      <c r="BD26" s="270">
        <f>SUM(AV6:AV17)</f>
        <v>398093</v>
      </c>
      <c r="BI26" s="257"/>
      <c r="BS26" s="301"/>
      <c r="CM26" s="290" t="s">
        <v>6</v>
      </c>
      <c r="CN26" s="289">
        <f>CK23/CK22-1</f>
        <v>7.1777950136517887E-3</v>
      </c>
      <c r="CO26" s="289">
        <f>CK24/CK23-1</f>
        <v>1.6176274204317886E-2</v>
      </c>
      <c r="CP26" s="289"/>
    </row>
    <row r="27" spans="1:97" ht="15">
      <c r="E27" s="252"/>
      <c r="F27" s="252"/>
      <c r="AA27" s="252"/>
      <c r="AG27" s="257"/>
      <c r="AQ27" s="252"/>
      <c r="AV27" s="244" t="s">
        <v>42</v>
      </c>
      <c r="AW27" s="252"/>
      <c r="AX27" s="270">
        <f t="shared" ref="AX27:AY35" si="27">AW7</f>
        <v>100481</v>
      </c>
      <c r="AY27" s="270">
        <f t="shared" si="27"/>
        <v>105337</v>
      </c>
      <c r="AZ27" s="270">
        <f t="shared" si="26"/>
        <v>107505</v>
      </c>
      <c r="BA27" s="270">
        <f t="shared" si="26"/>
        <v>102429</v>
      </c>
      <c r="BC27" s="300">
        <v>2023</v>
      </c>
      <c r="BD27" s="270">
        <f>SUM(AW6:AW17)</f>
        <v>1322153</v>
      </c>
      <c r="BI27" s="257"/>
    </row>
    <row r="28" spans="1:97" ht="15">
      <c r="E28" s="252"/>
      <c r="F28" s="252"/>
      <c r="K28" s="252"/>
      <c r="L28" s="252"/>
      <c r="U28" s="257"/>
      <c r="AA28" s="252" t="s">
        <v>4</v>
      </c>
      <c r="AB28" s="270">
        <f>SUM(AB6:AB10)</f>
        <v>579303</v>
      </c>
      <c r="AC28" s="270">
        <f>AC19</f>
        <v>1230256</v>
      </c>
      <c r="AD28" s="270"/>
      <c r="AG28" s="257">
        <f>+AB6-AC6</f>
        <v>19202</v>
      </c>
      <c r="AH28" s="302">
        <f>+AA14-AB14</f>
        <v>22739</v>
      </c>
      <c r="AI28" s="302"/>
      <c r="AJ28" s="302"/>
      <c r="AQ28" s="252"/>
      <c r="AV28" s="244" t="s">
        <v>43</v>
      </c>
      <c r="AW28" s="252"/>
      <c r="AX28" s="270">
        <f t="shared" si="27"/>
        <v>112578</v>
      </c>
      <c r="AY28" s="270">
        <f t="shared" si="27"/>
        <v>110910</v>
      </c>
      <c r="AZ28" s="270">
        <f t="shared" si="26"/>
        <v>115173</v>
      </c>
      <c r="BA28" s="270">
        <f t="shared" si="26"/>
        <v>110072</v>
      </c>
      <c r="BC28" s="300">
        <v>2024</v>
      </c>
      <c r="BD28" s="270">
        <f>SUM(AX6:AX17)</f>
        <v>1359450</v>
      </c>
      <c r="BE28" s="303">
        <f>BD28/BD27-1</f>
        <v>2.8209291965453298E-2</v>
      </c>
      <c r="BF28" s="303"/>
      <c r="BI28" s="257"/>
    </row>
    <row r="29" spans="1:97" ht="15">
      <c r="E29" s="252"/>
      <c r="F29" s="252"/>
      <c r="U29" s="257"/>
      <c r="AA29" s="252" t="s">
        <v>60</v>
      </c>
      <c r="AB29" s="270">
        <f>SUM(AH6:AH10)</f>
        <v>385590</v>
      </c>
      <c r="AC29" s="270">
        <f>AI19</f>
        <v>914873</v>
      </c>
      <c r="AD29" s="270"/>
      <c r="AG29" s="257">
        <f>+AB7-AC7</f>
        <v>19597</v>
      </c>
      <c r="AH29" s="302">
        <f>+AA15-AB15</f>
        <v>18916</v>
      </c>
      <c r="AQ29" s="252"/>
      <c r="AV29" s="244" t="s">
        <v>44</v>
      </c>
      <c r="AW29" s="252"/>
      <c r="AX29" s="270">
        <f t="shared" si="27"/>
        <v>113104</v>
      </c>
      <c r="AY29" s="270">
        <f t="shared" si="27"/>
        <v>108717</v>
      </c>
      <c r="AZ29" s="270">
        <f t="shared" si="26"/>
        <v>109523</v>
      </c>
      <c r="BA29" s="270">
        <f t="shared" si="26"/>
        <v>111602</v>
      </c>
      <c r="BC29" s="300">
        <v>2025</v>
      </c>
      <c r="BD29" s="270">
        <f>SUM(AY6:AY17)</f>
        <v>1341894</v>
      </c>
      <c r="BE29" s="303">
        <f>BD29/BD28-1</f>
        <v>-1.2914046121593303E-2</v>
      </c>
      <c r="BF29" s="303"/>
      <c r="BI29" s="257"/>
    </row>
    <row r="30" spans="1:97" ht="15">
      <c r="E30" s="304"/>
      <c r="F30" s="304"/>
      <c r="U30" s="257"/>
      <c r="AA30" s="252" t="s">
        <v>5</v>
      </c>
      <c r="AB30" s="270">
        <f>SUM(AR6:AR10)</f>
        <v>712679</v>
      </c>
      <c r="AC30" s="270">
        <f>AS19</f>
        <v>1833647</v>
      </c>
      <c r="AD30" s="270"/>
      <c r="AG30" s="257">
        <f>+AB8-AC8</f>
        <v>17029</v>
      </c>
      <c r="AH30" s="302">
        <f>+AA16-AB16</f>
        <v>12840</v>
      </c>
      <c r="AQ30" s="252"/>
      <c r="AV30" s="244" t="s">
        <v>45</v>
      </c>
      <c r="AW30" s="252"/>
      <c r="AX30" s="270">
        <f t="shared" si="27"/>
        <v>116216</v>
      </c>
      <c r="AY30" s="270">
        <f t="shared" si="27"/>
        <v>112574</v>
      </c>
      <c r="AZ30" s="270">
        <f t="shared" si="26"/>
        <v>122805</v>
      </c>
      <c r="BA30" s="270">
        <f t="shared" si="26"/>
        <v>120308</v>
      </c>
      <c r="BC30" s="252"/>
      <c r="BI30" s="257"/>
    </row>
    <row r="31" spans="1:97" ht="15">
      <c r="E31" s="252"/>
      <c r="F31" s="252"/>
      <c r="U31" s="257"/>
      <c r="AA31" s="252" t="s">
        <v>65</v>
      </c>
      <c r="AB31" s="270">
        <f>SUM(AB28:AB30)</f>
        <v>1677572</v>
      </c>
      <c r="AC31" s="270">
        <f>SUM(AC28:AC30)</f>
        <v>3978776</v>
      </c>
      <c r="AD31" s="270"/>
      <c r="AE31" s="303">
        <f>AC31/AB31-1</f>
        <v>1.3717467864270505</v>
      </c>
      <c r="AG31" s="257"/>
      <c r="AH31" s="302">
        <f>+AA17-AB17</f>
        <v>18280</v>
      </c>
      <c r="AQ31" s="252"/>
      <c r="AV31" s="244" t="s">
        <v>46</v>
      </c>
      <c r="AW31" s="252"/>
      <c r="AX31" s="270">
        <f t="shared" si="27"/>
        <v>120214</v>
      </c>
      <c r="AY31" s="270">
        <f t="shared" si="27"/>
        <v>125821</v>
      </c>
      <c r="AZ31" s="270">
        <f t="shared" si="26"/>
        <v>115700</v>
      </c>
      <c r="BA31" s="270">
        <f t="shared" si="26"/>
        <v>122264</v>
      </c>
      <c r="BC31" s="252"/>
      <c r="BI31" s="257"/>
    </row>
    <row r="32" spans="1:97" ht="15">
      <c r="E32" s="252"/>
      <c r="F32" s="252"/>
      <c r="U32" s="257"/>
      <c r="AA32" s="252"/>
      <c r="AG32" s="257"/>
      <c r="AQ32" s="252"/>
      <c r="AV32" s="244" t="s">
        <v>47</v>
      </c>
      <c r="AW32" s="252"/>
      <c r="AX32" s="270">
        <f t="shared" si="27"/>
        <v>122015</v>
      </c>
      <c r="AY32" s="270">
        <f t="shared" si="27"/>
        <v>122130</v>
      </c>
      <c r="AZ32" s="270">
        <f t="shared" si="26"/>
        <v>117455</v>
      </c>
      <c r="BA32" s="270">
        <f t="shared" si="26"/>
        <v>0</v>
      </c>
      <c r="BC32" s="252"/>
      <c r="BI32" s="257"/>
    </row>
    <row r="33" spans="5:61" ht="15">
      <c r="E33" s="252"/>
      <c r="F33" s="252"/>
      <c r="U33" s="257"/>
      <c r="AA33" s="252"/>
      <c r="AG33" s="257"/>
      <c r="AQ33" s="252"/>
      <c r="AV33" s="244" t="s">
        <v>48</v>
      </c>
      <c r="AW33" s="252"/>
      <c r="AX33" s="270">
        <f t="shared" si="27"/>
        <v>109314</v>
      </c>
      <c r="AY33" s="270">
        <f t="shared" si="27"/>
        <v>116686</v>
      </c>
      <c r="AZ33" s="270">
        <f t="shared" si="26"/>
        <v>113038</v>
      </c>
      <c r="BA33" s="270">
        <f t="shared" si="26"/>
        <v>0</v>
      </c>
      <c r="BC33" s="252"/>
      <c r="BI33" s="257"/>
    </row>
    <row r="34" spans="5:61" ht="15">
      <c r="E34" s="252"/>
      <c r="F34" s="252"/>
      <c r="K34" s="252"/>
      <c r="L34" s="252"/>
      <c r="U34" s="257"/>
      <c r="AA34" s="252"/>
      <c r="AG34" s="257"/>
      <c r="AQ34" s="252"/>
      <c r="AV34" s="244" t="s">
        <v>49</v>
      </c>
      <c r="AW34" s="252">
        <f>AV14</f>
        <v>101461</v>
      </c>
      <c r="AX34" s="270">
        <f t="shared" si="27"/>
        <v>108072</v>
      </c>
      <c r="AY34" s="270">
        <f t="shared" si="27"/>
        <v>105745</v>
      </c>
      <c r="AZ34" s="270">
        <f t="shared" si="26"/>
        <v>108071</v>
      </c>
      <c r="BA34" s="270">
        <f t="shared" si="26"/>
        <v>0</v>
      </c>
      <c r="BC34" s="252"/>
      <c r="BI34" s="257"/>
    </row>
    <row r="35" spans="5:61" ht="15">
      <c r="E35" s="252"/>
      <c r="F35" s="252"/>
      <c r="K35" s="252"/>
      <c r="L35" s="252"/>
      <c r="U35" s="257"/>
      <c r="AA35" s="252"/>
      <c r="AG35" s="257"/>
      <c r="AQ35" s="252"/>
      <c r="AV35" s="244" t="s">
        <v>50</v>
      </c>
      <c r="AW35" s="252">
        <f>AV15</f>
        <v>101480</v>
      </c>
      <c r="AX35" s="270">
        <f t="shared" si="27"/>
        <v>107668</v>
      </c>
      <c r="AY35" s="270">
        <f t="shared" si="27"/>
        <v>110135</v>
      </c>
      <c r="AZ35" s="270">
        <f t="shared" si="26"/>
        <v>109416</v>
      </c>
      <c r="BA35" s="270">
        <f t="shared" si="26"/>
        <v>0</v>
      </c>
      <c r="BC35" s="252"/>
      <c r="BI35" s="257"/>
    </row>
    <row r="36" spans="5:61" ht="15">
      <c r="K36" s="252"/>
      <c r="L36" s="252"/>
      <c r="U36" s="257"/>
      <c r="AA36" s="252"/>
      <c r="AG36" s="257"/>
      <c r="AQ36" s="252"/>
      <c r="AV36" s="244" t="s">
        <v>51</v>
      </c>
      <c r="AW36" s="252">
        <f t="shared" ref="AW36:AW37" si="28">AV16</f>
        <v>99023</v>
      </c>
      <c r="AX36" s="270">
        <f t="shared" ref="AX36:AX37" si="29">AW16</f>
        <v>101710</v>
      </c>
      <c r="AY36" s="270">
        <f t="shared" ref="AY36:AY37" si="30">AX16</f>
        <v>114610</v>
      </c>
      <c r="AZ36" s="270">
        <f t="shared" ref="AZ36:BA37" si="31">AY16</f>
        <v>101770</v>
      </c>
      <c r="BA36" s="270">
        <f t="shared" si="31"/>
        <v>0</v>
      </c>
      <c r="BC36" s="252"/>
      <c r="BI36" s="257"/>
    </row>
    <row r="37" spans="5:61" ht="15">
      <c r="K37" s="252"/>
      <c r="L37" s="252"/>
      <c r="U37" s="257"/>
      <c r="AA37" s="252"/>
      <c r="AV37" s="244" t="s">
        <v>52</v>
      </c>
      <c r="AW37" s="252">
        <f t="shared" si="28"/>
        <v>96129</v>
      </c>
      <c r="AX37" s="270">
        <f t="shared" si="29"/>
        <v>104227</v>
      </c>
      <c r="AY37" s="270">
        <f t="shared" si="30"/>
        <v>116194</v>
      </c>
      <c r="AZ37" s="270">
        <f t="shared" si="31"/>
        <v>107292</v>
      </c>
      <c r="BA37" s="270">
        <f t="shared" si="31"/>
        <v>0</v>
      </c>
    </row>
    <row r="38" spans="5:61" ht="15">
      <c r="K38" s="252"/>
      <c r="L38" s="252"/>
      <c r="U38" s="257"/>
      <c r="AA38" s="252"/>
    </row>
    <row r="39" spans="5:61" ht="15">
      <c r="K39" s="252"/>
      <c r="L39" s="252"/>
      <c r="U39" s="257"/>
    </row>
  </sheetData>
  <mergeCells count="13">
    <mergeCell ref="AF3:AK3"/>
    <mergeCell ref="B3:G3"/>
    <mergeCell ref="H3:M3"/>
    <mergeCell ref="N3:S3"/>
    <mergeCell ref="T3:Y3"/>
    <mergeCell ref="Z3:AE3"/>
    <mergeCell ref="BU3:BZ3"/>
    <mergeCell ref="AL3:AO3"/>
    <mergeCell ref="AP3:AU3"/>
    <mergeCell ref="AV3:BA3"/>
    <mergeCell ref="BB3:BG3"/>
    <mergeCell ref="BH3:BM3"/>
    <mergeCell ref="BN3:BS3"/>
  </mergeCells>
  <phoneticPr fontId="1" type="noConversion"/>
  <pageMargins left="0.7" right="0.7" top="0.75" bottom="0.75" header="0.3" footer="0.3"/>
  <ignoredErrors>
    <ignoredError sqref="H19:I19 BN16 BT19:BX19 T19:W19 N19:Q19 AL19:AS19 Z19:AC19 BN19:BQ19 AV19:AY19 BB19:BE19 AF19:AI19 BH19:BK19 K19" formula="1"/>
    <ignoredError sqref="AB28:AB30 AA25:AB25 CD21:CK24" formulaRange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890FAC22-8A45-0A40-A96F-0C615344BD3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G6:G16</xm:sqref>
        </x14:conditionalFormatting>
        <x14:conditionalFormatting xmlns:xm="http://schemas.microsoft.com/office/excel/2006/main">
          <x14:cfRule type="iconSet" priority="3" id="{771A6CDB-9C24-4C23-8D29-B812692A0EA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G17</xm:sqref>
        </x14:conditionalFormatting>
        <x14:conditionalFormatting xmlns:xm="http://schemas.microsoft.com/office/excel/2006/main">
          <x14:cfRule type="iconSet" priority="4" id="{1DAAA50C-8EC1-144D-A5A9-CF15B85BBB4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G19 M19 S19 Y19 AE19 AK19 AU19 BA19 BG19 BM19 BS19 BZ19</xm:sqref>
        </x14:conditionalFormatting>
        <x14:conditionalFormatting xmlns:xm="http://schemas.microsoft.com/office/excel/2006/main">
          <x14:cfRule type="iconSet" priority="17" id="{C44FD493-23FD-AE40-A4E3-34A1D27D575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M6:M17</xm:sqref>
        </x14:conditionalFormatting>
        <x14:conditionalFormatting xmlns:xm="http://schemas.microsoft.com/office/excel/2006/main">
          <x14:cfRule type="iconSet" priority="16" id="{A2C68DCE-0A6D-2847-90F5-FF297500C05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S6:S16</xm:sqref>
        </x14:conditionalFormatting>
        <x14:conditionalFormatting xmlns:xm="http://schemas.microsoft.com/office/excel/2006/main">
          <x14:cfRule type="iconSet" priority="2" id="{E79EF319-8F5A-4201-AD2F-0D70B3CFA2C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S17</xm:sqref>
        </x14:conditionalFormatting>
        <x14:conditionalFormatting xmlns:xm="http://schemas.microsoft.com/office/excel/2006/main">
          <x14:cfRule type="iconSet" priority="15" id="{C4DF1468-E60D-8240-AB3F-73202FC03EC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Y6:Y17</xm:sqref>
        </x14:conditionalFormatting>
        <x14:conditionalFormatting xmlns:xm="http://schemas.microsoft.com/office/excel/2006/main">
          <x14:cfRule type="iconSet" priority="14" id="{AC82714E-D869-B04F-9A2F-6F8BB5DF651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AE6:AE16</xm:sqref>
        </x14:conditionalFormatting>
        <x14:conditionalFormatting xmlns:xm="http://schemas.microsoft.com/office/excel/2006/main">
          <x14:cfRule type="iconSet" priority="1" id="{FF4D4748-12AA-4E9A-BC15-6F13FA3807C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AE17</xm:sqref>
        </x14:conditionalFormatting>
        <x14:conditionalFormatting xmlns:xm="http://schemas.microsoft.com/office/excel/2006/main">
          <x14:cfRule type="iconSet" priority="13" id="{6E258035-32F9-1B4B-97BF-99499D2CB2C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AK6:AK17</xm:sqref>
        </x14:conditionalFormatting>
        <x14:conditionalFormatting xmlns:xm="http://schemas.microsoft.com/office/excel/2006/main">
          <x14:cfRule type="iconSet" priority="12" id="{1DFAA684-CCF7-CC42-9240-0ED8AB36A3B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AU6:AU17</xm:sqref>
        </x14:conditionalFormatting>
        <x14:conditionalFormatting xmlns:xm="http://schemas.microsoft.com/office/excel/2006/main">
          <x14:cfRule type="iconSet" priority="11" id="{EA9A9076-3E5D-9B4F-B170-CEDE4E15F58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BA6:BA17</xm:sqref>
        </x14:conditionalFormatting>
        <x14:conditionalFormatting xmlns:xm="http://schemas.microsoft.com/office/excel/2006/main">
          <x14:cfRule type="iconSet" priority="10" id="{60DDB46C-BE16-244D-B838-60367FB2399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BG6:BG17</xm:sqref>
        </x14:conditionalFormatting>
        <x14:conditionalFormatting xmlns:xm="http://schemas.microsoft.com/office/excel/2006/main">
          <x14:cfRule type="iconSet" priority="9" id="{2628E962-BA90-AF49-B6D9-A9E5681A29C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BM6:BM17</xm:sqref>
        </x14:conditionalFormatting>
        <x14:conditionalFormatting xmlns:xm="http://schemas.microsoft.com/office/excel/2006/main">
          <x14:cfRule type="iconSet" priority="8" id="{8475F09F-E73B-4F4C-A7FF-0E98F3D0A0E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BP18:BR18</xm:sqref>
        </x14:conditionalFormatting>
        <x14:conditionalFormatting xmlns:xm="http://schemas.microsoft.com/office/excel/2006/main">
          <x14:cfRule type="iconSet" priority="7" id="{73CE7757-7843-ED45-A8EC-41FA282A415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BS6:BS17</xm:sqref>
        </x14:conditionalFormatting>
        <x14:conditionalFormatting xmlns:xm="http://schemas.microsoft.com/office/excel/2006/main">
          <x14:cfRule type="iconSet" priority="6" id="{C14E3590-FF10-5C4D-9AF5-1E88ACFD168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BW18:BY18</xm:sqref>
        </x14:conditionalFormatting>
        <x14:conditionalFormatting xmlns:xm="http://schemas.microsoft.com/office/excel/2006/main">
          <x14:cfRule type="iconSet" priority="5" id="{AB335FB6-FEA1-6E4D-81E8-005A18464BC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BZ6:BZ17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7850-F000-7743-8542-B0873FA03B19}">
  <dimension ref="A1:AD27"/>
  <sheetViews>
    <sheetView showGridLines="0" zoomScale="150" zoomScaleNormal="15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A31" sqref="AA31"/>
    </sheetView>
  </sheetViews>
  <sheetFormatPr baseColWidth="10" defaultColWidth="10.83203125" defaultRowHeight="15"/>
  <cols>
    <col min="1" max="1" width="10.83203125" style="244"/>
    <col min="2" max="2" width="6.83203125" style="244" customWidth="1"/>
    <col min="3" max="3" width="1.6640625" style="244" customWidth="1"/>
    <col min="4" max="5" width="8.83203125" style="244" customWidth="1"/>
    <col min="6" max="6" width="9.83203125" style="244" customWidth="1"/>
    <col min="7" max="7" width="2.33203125" style="244" customWidth="1"/>
    <col min="8" max="9" width="8.6640625" style="244" customWidth="1"/>
    <col min="10" max="10" width="9.83203125" style="244" customWidth="1"/>
    <col min="11" max="11" width="2.33203125" style="244" customWidth="1"/>
    <col min="12" max="13" width="8.6640625" style="244" customWidth="1"/>
    <col min="14" max="14" width="9.83203125" style="244" customWidth="1"/>
    <col min="15" max="15" width="2.33203125" style="244" customWidth="1"/>
    <col min="16" max="17" width="8.83203125" style="244" customWidth="1"/>
    <col min="18" max="18" width="9.83203125" style="244" customWidth="1"/>
    <col min="19" max="19" width="2.33203125" style="244" customWidth="1"/>
    <col min="20" max="22" width="10.83203125" style="244"/>
    <col min="23" max="23" width="2.33203125" style="244" customWidth="1"/>
    <col min="24" max="26" width="10.83203125" style="244"/>
    <col min="27" max="27" width="2.33203125" style="244" customWidth="1"/>
    <col min="28" max="29" width="10.83203125" style="244"/>
    <col min="30" max="30" width="8.6640625" style="244" customWidth="1"/>
    <col min="31" max="16384" width="10.83203125" style="244"/>
  </cols>
  <sheetData>
    <row r="1" spans="1:30">
      <c r="A1" s="305" t="s">
        <v>66</v>
      </c>
    </row>
    <row r="3" spans="1:30">
      <c r="B3" s="575" t="s">
        <v>67</v>
      </c>
      <c r="C3" s="538"/>
      <c r="D3" s="574" t="s">
        <v>68</v>
      </c>
      <c r="E3" s="574"/>
      <c r="F3" s="574"/>
      <c r="H3" s="574" t="s">
        <v>69</v>
      </c>
      <c r="I3" s="574"/>
      <c r="J3" s="574"/>
      <c r="L3" s="574" t="s">
        <v>70</v>
      </c>
      <c r="M3" s="574"/>
      <c r="N3" s="574"/>
      <c r="P3" s="574" t="s">
        <v>99</v>
      </c>
      <c r="Q3" s="574"/>
      <c r="R3" s="574"/>
      <c r="T3" s="574" t="s">
        <v>100</v>
      </c>
      <c r="U3" s="574"/>
      <c r="V3" s="574"/>
      <c r="W3" s="305"/>
      <c r="X3" s="574" t="s">
        <v>102</v>
      </c>
      <c r="Y3" s="574"/>
      <c r="Z3" s="574"/>
      <c r="AA3" s="606"/>
      <c r="AB3" s="574" t="s">
        <v>104</v>
      </c>
      <c r="AC3" s="574"/>
      <c r="AD3" s="574"/>
    </row>
    <row r="4" spans="1:30">
      <c r="B4" s="576"/>
      <c r="C4" s="538"/>
      <c r="D4" s="573" t="s">
        <v>71</v>
      </c>
      <c r="E4" s="573"/>
      <c r="F4" s="573"/>
      <c r="H4" s="573" t="s">
        <v>72</v>
      </c>
      <c r="I4" s="573"/>
      <c r="J4" s="573"/>
      <c r="L4" s="573" t="s">
        <v>73</v>
      </c>
      <c r="M4" s="573"/>
      <c r="N4" s="573"/>
      <c r="P4" s="573" t="s">
        <v>74</v>
      </c>
      <c r="Q4" s="573"/>
      <c r="R4" s="573"/>
      <c r="T4" s="573" t="s">
        <v>101</v>
      </c>
      <c r="U4" s="573"/>
      <c r="V4" s="573"/>
      <c r="W4" s="306"/>
      <c r="X4" s="573" t="s">
        <v>103</v>
      </c>
      <c r="Y4" s="573"/>
      <c r="Z4" s="573"/>
      <c r="AA4" s="306"/>
      <c r="AB4" s="611" t="s">
        <v>29</v>
      </c>
      <c r="AC4" s="611"/>
      <c r="AD4" s="611"/>
    </row>
    <row r="5" spans="1:30" ht="16" thickBot="1">
      <c r="B5" s="577"/>
      <c r="C5" s="538"/>
      <c r="D5" s="504">
        <v>2025</v>
      </c>
      <c r="E5" s="504">
        <v>2026</v>
      </c>
      <c r="F5" s="504" t="s">
        <v>75</v>
      </c>
      <c r="H5" s="504">
        <v>2025</v>
      </c>
      <c r="I5" s="504">
        <v>2026</v>
      </c>
      <c r="J5" s="504" t="s">
        <v>75</v>
      </c>
      <c r="L5" s="504">
        <v>2025</v>
      </c>
      <c r="M5" s="504">
        <v>2026</v>
      </c>
      <c r="N5" s="504" t="s">
        <v>75</v>
      </c>
      <c r="P5" s="504">
        <v>2025</v>
      </c>
      <c r="Q5" s="504">
        <v>2026</v>
      </c>
      <c r="R5" s="504" t="s">
        <v>75</v>
      </c>
      <c r="T5" s="504">
        <v>2025</v>
      </c>
      <c r="U5" s="504">
        <v>2026</v>
      </c>
      <c r="V5" s="504" t="s">
        <v>75</v>
      </c>
      <c r="W5" s="306"/>
      <c r="X5" s="504">
        <v>2025</v>
      </c>
      <c r="Y5" s="504">
        <v>2026</v>
      </c>
      <c r="Z5" s="504" t="s">
        <v>75</v>
      </c>
      <c r="AA5" s="607"/>
      <c r="AB5" s="504">
        <v>2025</v>
      </c>
      <c r="AC5" s="504">
        <v>2026</v>
      </c>
      <c r="AD5" s="504" t="s">
        <v>75</v>
      </c>
    </row>
    <row r="6" spans="1:30" ht="10" customHeight="1">
      <c r="D6" s="245"/>
      <c r="E6" s="245"/>
      <c r="F6" s="245"/>
      <c r="H6" s="245"/>
      <c r="I6" s="245"/>
      <c r="J6" s="245"/>
      <c r="L6" s="245"/>
      <c r="M6" s="245"/>
      <c r="N6" s="245"/>
      <c r="P6" s="245"/>
      <c r="Q6" s="245"/>
      <c r="R6" s="245"/>
    </row>
    <row r="7" spans="1:30">
      <c r="B7" s="505" t="s">
        <v>1</v>
      </c>
      <c r="C7" s="305"/>
      <c r="D7" s="537">
        <v>25132</v>
      </c>
      <c r="E7" s="537">
        <v>22270</v>
      </c>
      <c r="F7" s="506">
        <f>E7/D7-1</f>
        <v>-0.11387872035651758</v>
      </c>
      <c r="H7" s="537">
        <v>23092</v>
      </c>
      <c r="I7" s="537">
        <v>23577</v>
      </c>
      <c r="J7" s="506">
        <f>I7/H7-1</f>
        <v>2.1002944742767982E-2</v>
      </c>
      <c r="L7" s="537">
        <v>21777</v>
      </c>
      <c r="M7" s="537">
        <v>21038</v>
      </c>
      <c r="N7" s="506">
        <f>M7/L7-1</f>
        <v>-3.3934885429581674E-2</v>
      </c>
      <c r="P7" s="537">
        <v>24139</v>
      </c>
      <c r="Q7" s="537">
        <v>23991</v>
      </c>
      <c r="R7" s="506">
        <f>Q7/P7-1</f>
        <v>-6.1311570487592171E-3</v>
      </c>
      <c r="T7" s="537">
        <v>34078</v>
      </c>
      <c r="U7" s="537">
        <v>25773</v>
      </c>
      <c r="V7" s="506">
        <f>U7/T7-1</f>
        <v>-0.24370561652679146</v>
      </c>
      <c r="W7" s="252"/>
      <c r="X7" s="537">
        <v>30967</v>
      </c>
      <c r="Y7" s="537">
        <v>26966</v>
      </c>
      <c r="Z7" s="506">
        <f>Y7/X7-1</f>
        <v>-0.12920205379920557</v>
      </c>
      <c r="AA7" s="608"/>
      <c r="AB7" s="537">
        <f>D7+H7+L7+P7+T7+X7</f>
        <v>159185</v>
      </c>
      <c r="AC7" s="537">
        <f>E7+I7+M7+Q7+U7+Y7</f>
        <v>143615</v>
      </c>
      <c r="AD7" s="506">
        <f>AC7/AB7-1</f>
        <v>-9.7810723372177E-2</v>
      </c>
    </row>
    <row r="8" spans="1:30">
      <c r="B8" s="305" t="s">
        <v>2</v>
      </c>
      <c r="C8" s="305"/>
      <c r="D8" s="252">
        <v>7867</v>
      </c>
      <c r="E8" s="252">
        <v>8329</v>
      </c>
      <c r="F8" s="507">
        <f t="shared" ref="F8:F15" si="0">E8/D8-1</f>
        <v>5.8726325155713743E-2</v>
      </c>
      <c r="H8" s="252">
        <v>7314</v>
      </c>
      <c r="I8" s="252">
        <v>8890</v>
      </c>
      <c r="J8" s="507">
        <f t="shared" ref="J8:J13" si="1">I8/H8-1</f>
        <v>0.21547716707683895</v>
      </c>
      <c r="L8" s="252">
        <v>6990</v>
      </c>
      <c r="M8" s="252">
        <v>7759</v>
      </c>
      <c r="N8" s="507">
        <f t="shared" ref="N8:N13" si="2">M8/L8-1</f>
        <v>0.1100143061516452</v>
      </c>
      <c r="P8" s="252">
        <v>8525</v>
      </c>
      <c r="Q8" s="252">
        <v>7060</v>
      </c>
      <c r="R8" s="507">
        <f t="shared" ref="R8:R13" si="3">Q8/P8-1</f>
        <v>-0.17184750733137832</v>
      </c>
      <c r="T8" s="252">
        <v>13197</v>
      </c>
      <c r="U8" s="252">
        <v>8091</v>
      </c>
      <c r="V8" s="507">
        <f t="shared" ref="V8:V15" si="4">U8/T8-1</f>
        <v>-0.38690611502614225</v>
      </c>
      <c r="W8" s="252"/>
      <c r="X8" s="252">
        <v>11866</v>
      </c>
      <c r="Y8" s="252">
        <v>10843</v>
      </c>
      <c r="Z8" s="507">
        <f t="shared" ref="Z8:Z15" si="5">Y8/X8-1</f>
        <v>-8.6212708579133657E-2</v>
      </c>
      <c r="AA8" s="252"/>
      <c r="AB8" s="608">
        <f t="shared" ref="AB8:AB15" si="6">D8+H8+L8+P8+T8+X8</f>
        <v>55759</v>
      </c>
      <c r="AC8" s="608">
        <f t="shared" ref="AC8:AC15" si="7">E8+I8+M8+Q8+U8+Y8</f>
        <v>50972</v>
      </c>
      <c r="AD8" s="507">
        <f t="shared" ref="AD8:AD15" si="8">AC8/AB8-1</f>
        <v>-8.5851611399056615E-2</v>
      </c>
    </row>
    <row r="9" spans="1:30">
      <c r="B9" s="305" t="s">
        <v>3</v>
      </c>
      <c r="C9" s="305"/>
      <c r="D9" s="252">
        <v>8018</v>
      </c>
      <c r="E9" s="252">
        <v>8774</v>
      </c>
      <c r="F9" s="507">
        <f t="shared" si="0"/>
        <v>9.4287852332252342E-2</v>
      </c>
      <c r="H9" s="252">
        <v>7900</v>
      </c>
      <c r="I9" s="252">
        <v>9424</v>
      </c>
      <c r="J9" s="507">
        <f t="shared" si="1"/>
        <v>0.19291139240506339</v>
      </c>
      <c r="L9" s="252">
        <v>7405</v>
      </c>
      <c r="M9" s="252">
        <v>8945</v>
      </c>
      <c r="N9" s="507">
        <f t="shared" si="2"/>
        <v>0.20796758946657667</v>
      </c>
      <c r="P9" s="252">
        <v>8338</v>
      </c>
      <c r="Q9" s="252">
        <v>8827</v>
      </c>
      <c r="R9" s="507">
        <f t="shared" si="3"/>
        <v>5.8647157591748655E-2</v>
      </c>
      <c r="T9" s="252">
        <v>13685</v>
      </c>
      <c r="U9" s="252">
        <v>11727</v>
      </c>
      <c r="V9" s="507">
        <f t="shared" si="4"/>
        <v>-0.14307636097917431</v>
      </c>
      <c r="W9" s="252"/>
      <c r="X9" s="252">
        <v>12610</v>
      </c>
      <c r="Y9" s="252">
        <v>11997</v>
      </c>
      <c r="Z9" s="507">
        <f t="shared" si="5"/>
        <v>-4.8612212529738352E-2</v>
      </c>
      <c r="AA9" s="252"/>
      <c r="AB9" s="608">
        <f t="shared" si="6"/>
        <v>57956</v>
      </c>
      <c r="AC9" s="608">
        <f t="shared" si="7"/>
        <v>59694</v>
      </c>
      <c r="AD9" s="507">
        <f t="shared" si="8"/>
        <v>2.9988266961142873E-2</v>
      </c>
    </row>
    <row r="10" spans="1:30">
      <c r="B10" s="305" t="s">
        <v>4</v>
      </c>
      <c r="C10" s="305"/>
      <c r="D10" s="252">
        <v>6314</v>
      </c>
      <c r="E10" s="252">
        <v>5669</v>
      </c>
      <c r="F10" s="507">
        <f t="shared" si="0"/>
        <v>-0.1021539436173583</v>
      </c>
      <c r="H10" s="252">
        <v>5803</v>
      </c>
      <c r="I10" s="252">
        <v>6390</v>
      </c>
      <c r="J10" s="507">
        <f t="shared" si="1"/>
        <v>0.10115457521971405</v>
      </c>
      <c r="L10" s="252">
        <v>5972</v>
      </c>
      <c r="M10" s="252">
        <v>5739</v>
      </c>
      <c r="N10" s="507">
        <f t="shared" si="2"/>
        <v>-3.9015405224380406E-2</v>
      </c>
      <c r="P10" s="252">
        <v>8616</v>
      </c>
      <c r="Q10" s="252">
        <v>7563</v>
      </c>
      <c r="R10" s="507">
        <f t="shared" si="3"/>
        <v>-0.12221448467966578</v>
      </c>
      <c r="T10" s="252">
        <v>9399</v>
      </c>
      <c r="U10" s="252">
        <v>8363</v>
      </c>
      <c r="V10" s="507">
        <f t="shared" si="4"/>
        <v>-0.11022449196723061</v>
      </c>
      <c r="W10" s="252"/>
      <c r="X10" s="252">
        <v>9926</v>
      </c>
      <c r="Y10" s="252">
        <v>8516</v>
      </c>
      <c r="Z10" s="507">
        <f t="shared" si="5"/>
        <v>-0.1420511787225468</v>
      </c>
      <c r="AA10" s="252"/>
      <c r="AB10" s="608">
        <f t="shared" si="6"/>
        <v>46030</v>
      </c>
      <c r="AC10" s="608">
        <f t="shared" si="7"/>
        <v>42240</v>
      </c>
      <c r="AD10" s="507">
        <f t="shared" si="8"/>
        <v>-8.2337605909189704E-2</v>
      </c>
    </row>
    <row r="11" spans="1:30">
      <c r="B11" s="305" t="s">
        <v>5</v>
      </c>
      <c r="C11" s="305"/>
      <c r="D11" s="252">
        <v>16602</v>
      </c>
      <c r="E11" s="252">
        <v>15705</v>
      </c>
      <c r="F11" s="507">
        <f t="shared" si="0"/>
        <v>-5.4029634983736918E-2</v>
      </c>
      <c r="H11" s="252">
        <v>15421</v>
      </c>
      <c r="I11" s="252">
        <v>17524</v>
      </c>
      <c r="J11" s="507">
        <f t="shared" si="1"/>
        <v>0.13637247908695938</v>
      </c>
      <c r="L11" s="252">
        <v>15295</v>
      </c>
      <c r="M11" s="252">
        <v>15916</v>
      </c>
      <c r="N11" s="507">
        <f t="shared" si="2"/>
        <v>4.0601503759398527E-2</v>
      </c>
      <c r="P11" s="252">
        <v>16921</v>
      </c>
      <c r="Q11" s="252">
        <v>17582</v>
      </c>
      <c r="R11" s="507">
        <f t="shared" si="3"/>
        <v>3.9063885113173047E-2</v>
      </c>
      <c r="T11" s="252">
        <v>23851</v>
      </c>
      <c r="U11" s="252">
        <v>15693</v>
      </c>
      <c r="V11" s="507">
        <f t="shared" si="4"/>
        <v>-0.34204016603077436</v>
      </c>
      <c r="W11" s="252"/>
      <c r="X11" s="252">
        <v>22742</v>
      </c>
      <c r="Y11" s="252">
        <v>19382</v>
      </c>
      <c r="Z11" s="507">
        <f t="shared" si="5"/>
        <v>-0.14774426171840649</v>
      </c>
      <c r="AA11" s="252"/>
      <c r="AB11" s="608">
        <f t="shared" si="6"/>
        <v>110832</v>
      </c>
      <c r="AC11" s="608">
        <f t="shared" si="7"/>
        <v>101802</v>
      </c>
      <c r="AD11" s="507">
        <f t="shared" si="8"/>
        <v>-8.1474664356864457E-2</v>
      </c>
    </row>
    <row r="12" spans="1:30">
      <c r="B12" s="305" t="s">
        <v>6</v>
      </c>
      <c r="C12" s="305"/>
      <c r="D12" s="252">
        <v>7411</v>
      </c>
      <c r="E12" s="252">
        <v>8472</v>
      </c>
      <c r="F12" s="507">
        <f t="shared" si="0"/>
        <v>0.14316556470111985</v>
      </c>
      <c r="H12" s="252">
        <v>7170</v>
      </c>
      <c r="I12" s="252">
        <v>8204</v>
      </c>
      <c r="J12" s="507">
        <f t="shared" si="1"/>
        <v>0.14421199442119947</v>
      </c>
      <c r="L12" s="252">
        <v>7075</v>
      </c>
      <c r="M12" s="252">
        <v>8112</v>
      </c>
      <c r="N12" s="507">
        <f t="shared" si="2"/>
        <v>0.14657243816254417</v>
      </c>
      <c r="P12" s="252">
        <v>7304</v>
      </c>
      <c r="Q12" s="252">
        <v>7750</v>
      </c>
      <c r="R12" s="507">
        <f t="shared" si="3"/>
        <v>6.1062431544359308E-2</v>
      </c>
      <c r="T12" s="252">
        <v>7175</v>
      </c>
      <c r="U12" s="252">
        <v>6725</v>
      </c>
      <c r="V12" s="507">
        <f t="shared" si="4"/>
        <v>-6.2717770034843245E-2</v>
      </c>
      <c r="W12" s="252"/>
      <c r="X12" s="252">
        <v>7157</v>
      </c>
      <c r="Y12" s="252">
        <v>7568</v>
      </c>
      <c r="Z12" s="507">
        <f t="shared" si="5"/>
        <v>5.7426295934050575E-2</v>
      </c>
      <c r="AA12" s="252"/>
      <c r="AB12" s="608">
        <f t="shared" si="6"/>
        <v>43292</v>
      </c>
      <c r="AC12" s="608">
        <f t="shared" si="7"/>
        <v>46831</v>
      </c>
      <c r="AD12" s="507">
        <f t="shared" si="8"/>
        <v>8.1747205026332814E-2</v>
      </c>
    </row>
    <row r="13" spans="1:30" ht="16" thickBot="1">
      <c r="B13" s="508" t="s">
        <v>7</v>
      </c>
      <c r="C13" s="305"/>
      <c r="D13" s="274">
        <v>5711</v>
      </c>
      <c r="E13" s="274">
        <v>4925</v>
      </c>
      <c r="F13" s="509">
        <f t="shared" si="0"/>
        <v>-0.13762913675363331</v>
      </c>
      <c r="H13" s="274">
        <v>5513</v>
      </c>
      <c r="I13" s="274">
        <v>5491</v>
      </c>
      <c r="J13" s="509">
        <f t="shared" si="1"/>
        <v>-3.9905677489570079E-3</v>
      </c>
      <c r="L13" s="274">
        <v>4917</v>
      </c>
      <c r="M13" s="274">
        <v>4926</v>
      </c>
      <c r="N13" s="509">
        <f t="shared" si="2"/>
        <v>1.8303843807199183E-3</v>
      </c>
      <c r="P13" s="274">
        <v>6620</v>
      </c>
      <c r="Q13" s="274">
        <v>5454</v>
      </c>
      <c r="R13" s="509">
        <f t="shared" si="3"/>
        <v>-0.17613293051359513</v>
      </c>
      <c r="T13" s="274">
        <v>5842</v>
      </c>
      <c r="U13" s="274">
        <v>5800</v>
      </c>
      <c r="V13" s="509">
        <f t="shared" si="4"/>
        <v>-7.1893187264635561E-3</v>
      </c>
      <c r="W13" s="252"/>
      <c r="X13" s="274">
        <v>6015</v>
      </c>
      <c r="Y13" s="274">
        <v>4936</v>
      </c>
      <c r="Z13" s="509">
        <f t="shared" si="5"/>
        <v>-0.17938487115544477</v>
      </c>
      <c r="AA13" s="608"/>
      <c r="AB13" s="274">
        <f t="shared" si="6"/>
        <v>34618</v>
      </c>
      <c r="AC13" s="274">
        <f t="shared" si="7"/>
        <v>31532</v>
      </c>
      <c r="AD13" s="509">
        <f t="shared" si="8"/>
        <v>-8.9144375758276051E-2</v>
      </c>
    </row>
    <row r="14" spans="1:30" ht="10" customHeight="1">
      <c r="B14" s="305"/>
      <c r="C14" s="305"/>
      <c r="F14" s="303"/>
      <c r="J14" s="303"/>
      <c r="N14" s="303"/>
      <c r="R14" s="303"/>
      <c r="T14" s="252"/>
      <c r="U14" s="252"/>
      <c r="V14" s="539"/>
      <c r="W14" s="252"/>
      <c r="X14" s="252"/>
      <c r="Y14" s="252"/>
      <c r="Z14" s="539"/>
      <c r="AA14" s="252"/>
      <c r="AB14" s="608"/>
      <c r="AC14" s="608"/>
      <c r="AD14" s="303"/>
    </row>
    <row r="15" spans="1:30" ht="16" thickBot="1">
      <c r="B15" s="315" t="s">
        <v>29</v>
      </c>
      <c r="C15" s="305"/>
      <c r="D15" s="316">
        <f>SUM(D7:D13)</f>
        <v>77055</v>
      </c>
      <c r="E15" s="316">
        <f>SUM(E7:E13)</f>
        <v>74144</v>
      </c>
      <c r="F15" s="510">
        <f t="shared" si="0"/>
        <v>-3.7778210369216803E-2</v>
      </c>
      <c r="G15" s="245"/>
      <c r="H15" s="316">
        <f>SUM(H7:H13)</f>
        <v>72213</v>
      </c>
      <c r="I15" s="316">
        <f>SUM(I7:I13)</f>
        <v>79500</v>
      </c>
      <c r="J15" s="510">
        <f t="shared" ref="J15" si="9">I15/H15-1</f>
        <v>0.10090980848323716</v>
      </c>
      <c r="K15" s="245"/>
      <c r="L15" s="316">
        <f>SUM(L7:L13)</f>
        <v>69431</v>
      </c>
      <c r="M15" s="316">
        <f>SUM(M7:M13)</f>
        <v>72435</v>
      </c>
      <c r="N15" s="510">
        <f t="shared" ref="N15" si="10">M15/L15-1</f>
        <v>4.3265976293010322E-2</v>
      </c>
      <c r="P15" s="316">
        <f>SUM(P7:P13)</f>
        <v>80463</v>
      </c>
      <c r="Q15" s="316">
        <f>SUM(Q7:Q13)</f>
        <v>78227</v>
      </c>
      <c r="R15" s="510">
        <f t="shared" ref="R15" si="11">Q15/P15-1</f>
        <v>-2.7789170177597189E-2</v>
      </c>
      <c r="T15" s="316">
        <f>SUM(T7:T13)</f>
        <v>107227</v>
      </c>
      <c r="U15" s="316">
        <f>SUM(U7:U13)</f>
        <v>82172</v>
      </c>
      <c r="V15" s="510">
        <f t="shared" si="4"/>
        <v>-0.23366316319583691</v>
      </c>
      <c r="W15" s="322"/>
      <c r="X15" s="316">
        <f>SUM(X7:X13)</f>
        <v>101283</v>
      </c>
      <c r="Y15" s="316">
        <f>SUM(Y7:Y13)</f>
        <v>90208</v>
      </c>
      <c r="Z15" s="510">
        <f t="shared" ref="Z15" si="12">Y15/X15-1</f>
        <v>-0.10934707700206348</v>
      </c>
      <c r="AA15" s="609"/>
      <c r="AB15" s="316">
        <f t="shared" si="6"/>
        <v>507672</v>
      </c>
      <c r="AC15" s="316">
        <f t="shared" si="7"/>
        <v>476686</v>
      </c>
      <c r="AD15" s="510">
        <f t="shared" si="8"/>
        <v>-6.1035471721899159E-2</v>
      </c>
    </row>
    <row r="19" spans="23:25">
      <c r="W19" s="610"/>
      <c r="X19" s="610"/>
      <c r="Y19" s="610"/>
    </row>
    <row r="20" spans="23:25">
      <c r="W20" s="610"/>
      <c r="X20" s="608"/>
      <c r="Y20" s="608"/>
    </row>
    <row r="21" spans="23:25">
      <c r="W21" s="610"/>
      <c r="X21" s="608"/>
      <c r="Y21" s="608"/>
    </row>
    <row r="22" spans="23:25">
      <c r="W22" s="610"/>
      <c r="X22" s="608"/>
      <c r="Y22" s="608"/>
    </row>
    <row r="23" spans="23:25">
      <c r="W23" s="610"/>
      <c r="X23" s="608"/>
      <c r="Y23" s="608"/>
    </row>
    <row r="24" spans="23:25">
      <c r="W24" s="610"/>
      <c r="X24" s="608"/>
      <c r="Y24" s="608"/>
    </row>
    <row r="25" spans="23:25">
      <c r="W25" s="610"/>
      <c r="X25" s="608"/>
      <c r="Y25" s="608"/>
    </row>
    <row r="26" spans="23:25">
      <c r="W26" s="610"/>
      <c r="X26" s="608"/>
      <c r="Y26" s="608"/>
    </row>
    <row r="27" spans="23:25">
      <c r="W27" s="610"/>
      <c r="X27" s="610"/>
      <c r="Y27" s="610"/>
    </row>
  </sheetData>
  <mergeCells count="15">
    <mergeCell ref="AB4:AD4"/>
    <mergeCell ref="T4:V4"/>
    <mergeCell ref="T3:V3"/>
    <mergeCell ref="B3:B5"/>
    <mergeCell ref="H3:J3"/>
    <mergeCell ref="H4:J4"/>
    <mergeCell ref="P3:R3"/>
    <mergeCell ref="P4:R4"/>
    <mergeCell ref="L3:N3"/>
    <mergeCell ref="L4:N4"/>
    <mergeCell ref="D4:F4"/>
    <mergeCell ref="D3:F3"/>
    <mergeCell ref="X3:Z3"/>
    <mergeCell ref="X4:Z4"/>
    <mergeCell ref="AB3:A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A803-0CB1-624D-A12C-7A082383267A}">
  <dimension ref="A1:AK7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9" sqref="E29"/>
    </sheetView>
  </sheetViews>
  <sheetFormatPr baseColWidth="10" defaultColWidth="11" defaultRowHeight="16"/>
  <cols>
    <col min="1" max="1" width="9.83203125" style="66" customWidth="1"/>
    <col min="2" max="2" width="10.5" style="66" customWidth="1"/>
    <col min="3" max="5" width="12.83203125" style="66" customWidth="1"/>
    <col min="6" max="6" width="11" style="66" customWidth="1"/>
    <col min="7" max="9" width="12.83203125" style="66" customWidth="1"/>
    <col min="10" max="10" width="11" style="66" customWidth="1"/>
    <col min="11" max="13" width="12.83203125" style="66" customWidth="1"/>
    <col min="14" max="14" width="11" style="66" customWidth="1"/>
    <col min="15" max="17" width="12.83203125" style="66" customWidth="1"/>
    <col min="18" max="18" width="11" style="66" customWidth="1"/>
    <col min="19" max="21" width="12.83203125" style="66" customWidth="1"/>
    <col min="22" max="22" width="11.5" style="66" customWidth="1"/>
    <col min="23" max="25" width="12.83203125" style="66" customWidth="1"/>
    <col min="26" max="26" width="9.83203125" style="66" customWidth="1"/>
    <col min="27" max="29" width="12.83203125" style="66" customWidth="1"/>
    <col min="30" max="30" width="9" style="66" bestFit="1" customWidth="1"/>
    <col min="31" max="33" width="13.6640625" style="66" customWidth="1"/>
    <col min="34" max="34" width="9.83203125" style="66" customWidth="1"/>
    <col min="35" max="35" width="11.33203125" style="66" customWidth="1"/>
    <col min="36" max="16384" width="11" style="66"/>
  </cols>
  <sheetData>
    <row r="1" spans="1:36">
      <c r="A1" s="65" t="s">
        <v>26</v>
      </c>
    </row>
    <row r="2" spans="1:36">
      <c r="A2" s="65"/>
    </row>
    <row r="4" spans="1:36" s="67" customFormat="1">
      <c r="A4" s="586" t="s">
        <v>27</v>
      </c>
      <c r="B4" s="586" t="s">
        <v>28</v>
      </c>
      <c r="C4" s="579" t="s">
        <v>1</v>
      </c>
      <c r="D4" s="580"/>
      <c r="E4" s="580"/>
      <c r="F4" s="581"/>
      <c r="G4" s="579" t="s">
        <v>2</v>
      </c>
      <c r="H4" s="580"/>
      <c r="I4" s="580"/>
      <c r="J4" s="580"/>
      <c r="K4" s="579" t="s">
        <v>3</v>
      </c>
      <c r="L4" s="580"/>
      <c r="M4" s="580"/>
      <c r="N4" s="581"/>
      <c r="O4" s="579" t="s">
        <v>4</v>
      </c>
      <c r="P4" s="580"/>
      <c r="Q4" s="580"/>
      <c r="R4" s="581"/>
      <c r="S4" s="579" t="s">
        <v>5</v>
      </c>
      <c r="T4" s="580"/>
      <c r="U4" s="580"/>
      <c r="V4" s="580"/>
      <c r="W4" s="579" t="s">
        <v>6</v>
      </c>
      <c r="X4" s="580"/>
      <c r="Y4" s="580"/>
      <c r="Z4" s="581"/>
      <c r="AA4" s="579" t="s">
        <v>7</v>
      </c>
      <c r="AB4" s="580"/>
      <c r="AC4" s="580"/>
      <c r="AD4" s="581"/>
      <c r="AE4" s="582" t="s">
        <v>29</v>
      </c>
      <c r="AF4" s="583"/>
      <c r="AG4" s="583"/>
      <c r="AH4" s="584"/>
    </row>
    <row r="5" spans="1:36" s="67" customFormat="1">
      <c r="A5" s="587"/>
      <c r="B5" s="587"/>
      <c r="C5" s="130">
        <v>2023</v>
      </c>
      <c r="D5" s="131">
        <v>2024</v>
      </c>
      <c r="E5" s="131">
        <v>2025</v>
      </c>
      <c r="F5" s="132" t="s">
        <v>30</v>
      </c>
      <c r="G5" s="131">
        <v>2023</v>
      </c>
      <c r="H5" s="131">
        <v>2024</v>
      </c>
      <c r="I5" s="131">
        <v>2025</v>
      </c>
      <c r="J5" s="131" t="s">
        <v>30</v>
      </c>
      <c r="K5" s="130">
        <v>2023</v>
      </c>
      <c r="L5" s="131">
        <v>2024</v>
      </c>
      <c r="M5" s="131">
        <v>2025</v>
      </c>
      <c r="N5" s="132" t="s">
        <v>30</v>
      </c>
      <c r="O5" s="130">
        <v>2023</v>
      </c>
      <c r="P5" s="131">
        <v>2024</v>
      </c>
      <c r="Q5" s="131">
        <v>2025</v>
      </c>
      <c r="R5" s="132" t="s">
        <v>30</v>
      </c>
      <c r="S5" s="131">
        <v>2023</v>
      </c>
      <c r="T5" s="131">
        <v>2024</v>
      </c>
      <c r="U5" s="131">
        <v>2025</v>
      </c>
      <c r="V5" s="131" t="s">
        <v>30</v>
      </c>
      <c r="W5" s="130">
        <v>2023</v>
      </c>
      <c r="X5" s="131">
        <v>2024</v>
      </c>
      <c r="Y5" s="131">
        <v>2025</v>
      </c>
      <c r="Z5" s="132" t="s">
        <v>30</v>
      </c>
      <c r="AA5" s="130">
        <v>2023</v>
      </c>
      <c r="AB5" s="131">
        <v>2024</v>
      </c>
      <c r="AC5" s="131">
        <v>2025</v>
      </c>
      <c r="AD5" s="132" t="s">
        <v>30</v>
      </c>
      <c r="AE5" s="133">
        <v>2023</v>
      </c>
      <c r="AF5" s="134">
        <v>2024</v>
      </c>
      <c r="AG5" s="134">
        <v>2025</v>
      </c>
      <c r="AH5" s="135" t="s">
        <v>31</v>
      </c>
      <c r="AI5" s="67" t="s">
        <v>76</v>
      </c>
    </row>
    <row r="6" spans="1:36" ht="5.75" customHeight="1" thickBot="1"/>
    <row r="7" spans="1:36">
      <c r="A7" s="153">
        <v>45662</v>
      </c>
      <c r="B7" s="156">
        <v>1</v>
      </c>
      <c r="C7" s="137">
        <v>167896</v>
      </c>
      <c r="D7" s="136">
        <v>156713</v>
      </c>
      <c r="E7" s="142">
        <v>178990</v>
      </c>
      <c r="F7" s="166">
        <f>E7/D7-1</f>
        <v>0.14215157644866738</v>
      </c>
      <c r="G7" s="137">
        <v>60260</v>
      </c>
      <c r="H7" s="136">
        <v>52568</v>
      </c>
      <c r="I7" s="143">
        <v>60929</v>
      </c>
      <c r="J7" s="166">
        <f>I7/H7-1</f>
        <v>0.15905113376959368</v>
      </c>
      <c r="K7" s="137">
        <v>70982</v>
      </c>
      <c r="L7" s="136">
        <v>64851</v>
      </c>
      <c r="M7" s="143">
        <v>68318</v>
      </c>
      <c r="N7" s="166">
        <f>M7/L7-1</f>
        <v>5.3461010624354266E-2</v>
      </c>
      <c r="O7" s="137">
        <v>50247</v>
      </c>
      <c r="P7" s="136">
        <v>53269</v>
      </c>
      <c r="Q7" s="143">
        <v>55379</v>
      </c>
      <c r="R7" s="166">
        <f>Q7/P7-1</f>
        <v>3.9610279900129441E-2</v>
      </c>
      <c r="S7" s="137">
        <v>87311</v>
      </c>
      <c r="T7" s="136">
        <v>99648</v>
      </c>
      <c r="U7" s="143">
        <v>111930</v>
      </c>
      <c r="V7" s="166">
        <f>U7/T7-1</f>
        <v>0.1232538535645471</v>
      </c>
      <c r="W7" s="137">
        <v>41218</v>
      </c>
      <c r="X7" s="136">
        <v>42258</v>
      </c>
      <c r="Y7" s="162">
        <v>50572</v>
      </c>
      <c r="Z7" s="166">
        <f>Y7/X7-1</f>
        <v>0.19674381182261347</v>
      </c>
      <c r="AA7" s="137">
        <v>39524</v>
      </c>
      <c r="AB7" s="136">
        <v>40129</v>
      </c>
      <c r="AC7" s="143">
        <v>36900</v>
      </c>
      <c r="AD7" s="166">
        <f>AC7/AB7-1</f>
        <v>-8.0465498766478127E-2</v>
      </c>
      <c r="AE7" s="146">
        <f t="shared" ref="AE7:AE38" si="0">C7+G7+K7+O7+S7+W7+AA7</f>
        <v>517438</v>
      </c>
      <c r="AF7" s="147">
        <f t="shared" ref="AF7:AF38" si="1">D7+H7+L7+P7+T7+X7+AB7</f>
        <v>509436</v>
      </c>
      <c r="AG7" s="148">
        <f t="shared" ref="AG7:AG38" si="2">E7+I7+M7+Q7+U7+Y7+AC7</f>
        <v>563018</v>
      </c>
      <c r="AH7" s="165">
        <f>AG7/AF7-1</f>
        <v>0.10517906076523853</v>
      </c>
      <c r="AI7" s="129">
        <f>AG7/AF7-1</f>
        <v>0.10517906076523853</v>
      </c>
    </row>
    <row r="8" spans="1:36">
      <c r="A8" s="154">
        <v>45669</v>
      </c>
      <c r="B8" s="157">
        <v>2</v>
      </c>
      <c r="C8" s="138">
        <v>182118</v>
      </c>
      <c r="D8" s="68">
        <v>163645</v>
      </c>
      <c r="E8" s="69">
        <v>172033</v>
      </c>
      <c r="F8" s="160">
        <f t="shared" ref="F8:F58" si="3">E8/D8-1</f>
        <v>5.1257294753888072E-2</v>
      </c>
      <c r="G8" s="138">
        <v>56811</v>
      </c>
      <c r="H8" s="68">
        <v>50737</v>
      </c>
      <c r="I8" s="144">
        <v>53401</v>
      </c>
      <c r="J8" s="160">
        <f t="shared" ref="J8:J58" si="4">I8/H8-1</f>
        <v>5.2506060665786336E-2</v>
      </c>
      <c r="K8" s="138">
        <v>68752</v>
      </c>
      <c r="L8" s="68">
        <v>70867</v>
      </c>
      <c r="M8" s="144">
        <v>67435</v>
      </c>
      <c r="N8" s="160">
        <f t="shared" ref="N8:N58" si="5">M8/L8-1</f>
        <v>-4.8428746807399725E-2</v>
      </c>
      <c r="O8" s="138">
        <v>54534</v>
      </c>
      <c r="P8" s="68">
        <v>53623</v>
      </c>
      <c r="Q8" s="144">
        <v>47649</v>
      </c>
      <c r="R8" s="160">
        <f t="shared" ref="R8:R58" si="6">Q8/P8-1</f>
        <v>-0.11140741845849733</v>
      </c>
      <c r="S8" s="138">
        <v>101582</v>
      </c>
      <c r="T8" s="68">
        <v>100879</v>
      </c>
      <c r="U8" s="144">
        <v>108059</v>
      </c>
      <c r="V8" s="160">
        <f t="shared" ref="V8:V58" si="7">U8/T8-1</f>
        <v>7.1174377224199281E-2</v>
      </c>
      <c r="W8" s="138">
        <v>43464</v>
      </c>
      <c r="X8" s="68">
        <v>43739</v>
      </c>
      <c r="Y8" s="163">
        <v>46133</v>
      </c>
      <c r="Z8" s="160">
        <f t="shared" ref="Z8:Z58" si="8">Y8/X8-1</f>
        <v>5.4733761631496014E-2</v>
      </c>
      <c r="AA8" s="138">
        <v>37832</v>
      </c>
      <c r="AB8" s="68">
        <v>40695</v>
      </c>
      <c r="AC8" s="144">
        <v>38776</v>
      </c>
      <c r="AD8" s="160">
        <f t="shared" ref="AD8:AD58" si="9">AC8/AB8-1</f>
        <v>-4.7155670229757973E-2</v>
      </c>
      <c r="AE8" s="149">
        <f t="shared" si="0"/>
        <v>545093</v>
      </c>
      <c r="AF8" s="75">
        <f t="shared" si="1"/>
        <v>524185</v>
      </c>
      <c r="AG8" s="150">
        <f t="shared" si="2"/>
        <v>533486</v>
      </c>
      <c r="AH8" s="140">
        <f t="shared" ref="AH8:AH58" si="10">AG8/AF8-1</f>
        <v>1.7743735513225278E-2</v>
      </c>
      <c r="AI8" s="129">
        <f>(AG7+AG8)/(AF7+AF8)-1</f>
        <v>6.08375797318359E-2</v>
      </c>
    </row>
    <row r="9" spans="1:36">
      <c r="A9" s="154">
        <v>45676</v>
      </c>
      <c r="B9" s="157">
        <v>3</v>
      </c>
      <c r="C9" s="138">
        <v>182798</v>
      </c>
      <c r="D9" s="68">
        <v>156581</v>
      </c>
      <c r="E9" s="69">
        <v>168260</v>
      </c>
      <c r="F9" s="160">
        <f t="shared" si="3"/>
        <v>7.458759364162959E-2</v>
      </c>
      <c r="G9" s="138">
        <v>55380</v>
      </c>
      <c r="H9" s="68">
        <v>49255</v>
      </c>
      <c r="I9" s="144">
        <v>49952</v>
      </c>
      <c r="J9" s="160">
        <f t="shared" si="4"/>
        <v>1.4150847629682328E-2</v>
      </c>
      <c r="K9" s="138">
        <v>72416</v>
      </c>
      <c r="L9" s="68">
        <v>64457</v>
      </c>
      <c r="M9" s="144">
        <v>57657</v>
      </c>
      <c r="N9" s="160">
        <f t="shared" si="5"/>
        <v>-0.1054966877142901</v>
      </c>
      <c r="O9" s="138">
        <v>53307</v>
      </c>
      <c r="P9" s="68">
        <v>58480</v>
      </c>
      <c r="Q9" s="144">
        <v>50457</v>
      </c>
      <c r="R9" s="160">
        <f t="shared" si="6"/>
        <v>-0.13719220246238029</v>
      </c>
      <c r="S9" s="138">
        <v>102396</v>
      </c>
      <c r="T9" s="68">
        <v>98887</v>
      </c>
      <c r="U9" s="144">
        <v>110990</v>
      </c>
      <c r="V9" s="160">
        <f t="shared" si="7"/>
        <v>0.12239222546947537</v>
      </c>
      <c r="W9" s="138">
        <v>42136</v>
      </c>
      <c r="X9" s="68">
        <v>41858</v>
      </c>
      <c r="Y9" s="163">
        <v>47375</v>
      </c>
      <c r="Z9" s="160">
        <f t="shared" si="8"/>
        <v>0.13180276171819005</v>
      </c>
      <c r="AA9" s="138">
        <v>37792</v>
      </c>
      <c r="AB9" s="68">
        <v>41769</v>
      </c>
      <c r="AC9" s="144">
        <v>40246</v>
      </c>
      <c r="AD9" s="160">
        <f t="shared" si="9"/>
        <v>-3.6462448227154054E-2</v>
      </c>
      <c r="AE9" s="149">
        <f t="shared" si="0"/>
        <v>546225</v>
      </c>
      <c r="AF9" s="75">
        <f t="shared" si="1"/>
        <v>511287</v>
      </c>
      <c r="AG9" s="150">
        <f t="shared" si="2"/>
        <v>524937</v>
      </c>
      <c r="AH9" s="140">
        <f t="shared" si="10"/>
        <v>2.6697334373844805E-2</v>
      </c>
      <c r="AI9" s="129">
        <f>(AG8+AG9+AG7)/(AF8+AF9+AF7)-1</f>
        <v>4.9538872217633756E-2</v>
      </c>
    </row>
    <row r="10" spans="1:36">
      <c r="A10" s="154">
        <v>45683</v>
      </c>
      <c r="B10" s="157">
        <v>4</v>
      </c>
      <c r="C10" s="138">
        <v>201189</v>
      </c>
      <c r="D10" s="68">
        <v>158722</v>
      </c>
      <c r="E10" s="69">
        <v>165512</v>
      </c>
      <c r="F10" s="160">
        <f t="shared" si="3"/>
        <v>4.2779198850821043E-2</v>
      </c>
      <c r="G10" s="138">
        <v>53718</v>
      </c>
      <c r="H10" s="68">
        <v>55398</v>
      </c>
      <c r="I10" s="144">
        <v>49739</v>
      </c>
      <c r="J10" s="160">
        <f t="shared" si="4"/>
        <v>-0.10215170222751724</v>
      </c>
      <c r="K10" s="138">
        <v>71461</v>
      </c>
      <c r="L10" s="68">
        <v>61952</v>
      </c>
      <c r="M10" s="144">
        <v>59251</v>
      </c>
      <c r="N10" s="160">
        <f t="shared" si="5"/>
        <v>-4.3598269628099207E-2</v>
      </c>
      <c r="O10" s="138">
        <v>49593</v>
      </c>
      <c r="P10" s="68">
        <v>54477</v>
      </c>
      <c r="Q10" s="144">
        <v>48530</v>
      </c>
      <c r="R10" s="160">
        <f t="shared" si="6"/>
        <v>-0.1091653358297997</v>
      </c>
      <c r="S10" s="138">
        <v>97977</v>
      </c>
      <c r="T10" s="68">
        <v>97913</v>
      </c>
      <c r="U10" s="144">
        <v>108702</v>
      </c>
      <c r="V10" s="160">
        <f t="shared" si="7"/>
        <v>0.11018965816592274</v>
      </c>
      <c r="W10" s="138">
        <v>40952</v>
      </c>
      <c r="X10" s="68">
        <v>44641</v>
      </c>
      <c r="Y10" s="163">
        <v>42077</v>
      </c>
      <c r="Z10" s="160">
        <f t="shared" si="8"/>
        <v>-5.7435989337156435E-2</v>
      </c>
      <c r="AA10" s="138">
        <v>36897</v>
      </c>
      <c r="AB10" s="68">
        <v>38283</v>
      </c>
      <c r="AC10" s="144">
        <v>36849</v>
      </c>
      <c r="AD10" s="160">
        <f t="shared" si="9"/>
        <v>-3.7457879476530009E-2</v>
      </c>
      <c r="AE10" s="149">
        <f t="shared" si="0"/>
        <v>551787</v>
      </c>
      <c r="AF10" s="75">
        <f t="shared" si="1"/>
        <v>511386</v>
      </c>
      <c r="AG10" s="150">
        <f t="shared" si="2"/>
        <v>510660</v>
      </c>
      <c r="AH10" s="140">
        <f t="shared" si="10"/>
        <v>-1.4196712463775407E-3</v>
      </c>
      <c r="AI10" s="129">
        <f>(AG9+AG10+AG8+AG7)/(AF9+AF10+AF8+AF7)-1</f>
        <v>3.6865837278132307E-2</v>
      </c>
    </row>
    <row r="11" spans="1:36">
      <c r="A11" s="154">
        <v>45690</v>
      </c>
      <c r="B11" s="157">
        <v>5</v>
      </c>
      <c r="C11" s="138">
        <v>195691</v>
      </c>
      <c r="D11" s="68">
        <v>158722</v>
      </c>
      <c r="E11" s="69">
        <v>180664</v>
      </c>
      <c r="F11" s="160">
        <f t="shared" si="3"/>
        <v>0.13824170562366911</v>
      </c>
      <c r="G11" s="138">
        <v>51778</v>
      </c>
      <c r="H11" s="68">
        <v>49065</v>
      </c>
      <c r="I11" s="144">
        <v>50801</v>
      </c>
      <c r="J11" s="160">
        <f t="shared" si="4"/>
        <v>3.538163660450433E-2</v>
      </c>
      <c r="K11" s="138">
        <v>69228</v>
      </c>
      <c r="L11" s="68">
        <v>64018</v>
      </c>
      <c r="M11" s="144">
        <v>59887</v>
      </c>
      <c r="N11" s="160">
        <f t="shared" si="5"/>
        <v>-6.4528726295729366E-2</v>
      </c>
      <c r="O11" s="138">
        <v>54354</v>
      </c>
      <c r="P11" s="68">
        <v>56372</v>
      </c>
      <c r="Q11" s="144">
        <v>48431</v>
      </c>
      <c r="R11" s="160">
        <f t="shared" si="6"/>
        <v>-0.14086780671255228</v>
      </c>
      <c r="S11" s="138">
        <v>97189</v>
      </c>
      <c r="T11" s="68">
        <v>94631</v>
      </c>
      <c r="U11" s="144">
        <v>109219</v>
      </c>
      <c r="V11" s="160">
        <f t="shared" si="7"/>
        <v>0.15415667170377567</v>
      </c>
      <c r="W11" s="138">
        <v>39324</v>
      </c>
      <c r="X11" s="68">
        <v>42655</v>
      </c>
      <c r="Y11" s="163">
        <v>51447</v>
      </c>
      <c r="Z11" s="160">
        <f t="shared" si="8"/>
        <v>0.2061188606259523</v>
      </c>
      <c r="AA11" s="138">
        <v>38692</v>
      </c>
      <c r="AB11" s="68">
        <v>42402</v>
      </c>
      <c r="AC11" s="144">
        <v>37812</v>
      </c>
      <c r="AD11" s="160">
        <f t="shared" si="9"/>
        <v>-0.10824961086741192</v>
      </c>
      <c r="AE11" s="149">
        <f t="shared" si="0"/>
        <v>546256</v>
      </c>
      <c r="AF11" s="75">
        <f t="shared" si="1"/>
        <v>507865</v>
      </c>
      <c r="AG11" s="150">
        <f t="shared" si="2"/>
        <v>538261</v>
      </c>
      <c r="AH11" s="140">
        <f t="shared" si="10"/>
        <v>5.9850550835359728E-2</v>
      </c>
      <c r="AI11" s="129">
        <f>(AG10+AG11+AG9+AG8+AG7)/(AF10+AF11+AF9+AF8+AF7)-1</f>
        <v>4.1418258384132933E-2</v>
      </c>
    </row>
    <row r="12" spans="1:36">
      <c r="A12" s="154">
        <v>45697</v>
      </c>
      <c r="B12" s="157">
        <v>6</v>
      </c>
      <c r="C12" s="138">
        <v>214925</v>
      </c>
      <c r="D12" s="68">
        <v>158830</v>
      </c>
      <c r="E12" s="69">
        <v>199855</v>
      </c>
      <c r="F12" s="160">
        <f t="shared" si="3"/>
        <v>0.25829503242460494</v>
      </c>
      <c r="G12" s="138">
        <v>50148</v>
      </c>
      <c r="H12" s="68">
        <v>46655</v>
      </c>
      <c r="I12" s="144">
        <v>50394</v>
      </c>
      <c r="J12" s="160">
        <f t="shared" si="4"/>
        <v>8.0141463937412949E-2</v>
      </c>
      <c r="K12" s="138">
        <v>74275</v>
      </c>
      <c r="L12" s="68">
        <v>64287</v>
      </c>
      <c r="M12" s="144">
        <v>59644</v>
      </c>
      <c r="N12" s="160">
        <f t="shared" si="5"/>
        <v>-7.2222999984444702E-2</v>
      </c>
      <c r="O12" s="138">
        <v>50587</v>
      </c>
      <c r="P12" s="68">
        <v>57650</v>
      </c>
      <c r="Q12" s="144">
        <v>52970</v>
      </c>
      <c r="R12" s="160">
        <f t="shared" si="6"/>
        <v>-8.1179531656548121E-2</v>
      </c>
      <c r="S12" s="138">
        <v>97495</v>
      </c>
      <c r="T12" s="68">
        <v>98349</v>
      </c>
      <c r="U12" s="144">
        <v>112307</v>
      </c>
      <c r="V12" s="160">
        <f t="shared" si="7"/>
        <v>0.14192315122675381</v>
      </c>
      <c r="W12" s="138">
        <v>41374</v>
      </c>
      <c r="X12" s="68">
        <v>44243</v>
      </c>
      <c r="Y12" s="163">
        <v>49578</v>
      </c>
      <c r="Z12" s="160">
        <f t="shared" si="8"/>
        <v>0.12058404719390636</v>
      </c>
      <c r="AA12" s="138">
        <v>37078</v>
      </c>
      <c r="AB12" s="68">
        <v>39447</v>
      </c>
      <c r="AC12" s="144">
        <v>36315</v>
      </c>
      <c r="AD12" s="160">
        <f t="shared" si="9"/>
        <v>-7.9397672826830967E-2</v>
      </c>
      <c r="AE12" s="149">
        <f t="shared" si="0"/>
        <v>565882</v>
      </c>
      <c r="AF12" s="75">
        <f t="shared" si="1"/>
        <v>509461</v>
      </c>
      <c r="AG12" s="150">
        <f t="shared" si="2"/>
        <v>561063</v>
      </c>
      <c r="AH12" s="140">
        <f t="shared" si="10"/>
        <v>0.10128743907777049</v>
      </c>
      <c r="AI12" s="129">
        <f>(AG11+AG12+AG10+AG9+AG8+AG7)/(AF11+AF12+AF10+AF9+AF8+AF7)-1</f>
        <v>5.1341740358274546E-2</v>
      </c>
      <c r="AJ12" s="70"/>
    </row>
    <row r="13" spans="1:36">
      <c r="A13" s="154">
        <v>45704</v>
      </c>
      <c r="B13" s="157">
        <v>7</v>
      </c>
      <c r="C13" s="138">
        <v>209579</v>
      </c>
      <c r="D13" s="68">
        <v>168886</v>
      </c>
      <c r="E13" s="69">
        <v>212525</v>
      </c>
      <c r="F13" s="160">
        <f t="shared" si="3"/>
        <v>0.25839323567376815</v>
      </c>
      <c r="G13" s="138">
        <v>58145</v>
      </c>
      <c r="H13" s="68">
        <v>54906</v>
      </c>
      <c r="I13" s="144">
        <v>59965</v>
      </c>
      <c r="J13" s="160">
        <f t="shared" si="4"/>
        <v>9.2139292609186629E-2</v>
      </c>
      <c r="K13" s="138">
        <v>70539</v>
      </c>
      <c r="L13" s="68">
        <v>74269</v>
      </c>
      <c r="M13" s="144">
        <v>68212</v>
      </c>
      <c r="N13" s="160">
        <f t="shared" si="5"/>
        <v>-8.1554888311408558E-2</v>
      </c>
      <c r="O13" s="138">
        <v>59010</v>
      </c>
      <c r="P13" s="68">
        <v>63258</v>
      </c>
      <c r="Q13" s="144">
        <v>56488</v>
      </c>
      <c r="R13" s="160">
        <f t="shared" si="6"/>
        <v>-0.10702203673843624</v>
      </c>
      <c r="S13" s="138">
        <v>103392</v>
      </c>
      <c r="T13" s="68">
        <v>104168</v>
      </c>
      <c r="U13" s="144">
        <v>127665</v>
      </c>
      <c r="V13" s="160">
        <f t="shared" si="7"/>
        <v>0.22556831272559719</v>
      </c>
      <c r="W13" s="138">
        <v>44140</v>
      </c>
      <c r="X13" s="68">
        <v>39760</v>
      </c>
      <c r="Y13" s="163">
        <v>55843</v>
      </c>
      <c r="Z13" s="160">
        <f t="shared" si="8"/>
        <v>0.40450201207243452</v>
      </c>
      <c r="AA13" s="138">
        <v>37956</v>
      </c>
      <c r="AB13" s="68">
        <v>39154</v>
      </c>
      <c r="AC13" s="144">
        <v>34962</v>
      </c>
      <c r="AD13" s="160">
        <f t="shared" si="9"/>
        <v>-0.10706441232058028</v>
      </c>
      <c r="AE13" s="149">
        <f t="shared" si="0"/>
        <v>582761</v>
      </c>
      <c r="AF13" s="75">
        <f t="shared" si="1"/>
        <v>544401</v>
      </c>
      <c r="AG13" s="150">
        <f t="shared" si="2"/>
        <v>615660</v>
      </c>
      <c r="AH13" s="140">
        <f t="shared" si="10"/>
        <v>0.13089432238368404</v>
      </c>
      <c r="AI13" s="129">
        <f>(AG12+AG13+AG11+AG10+AG9+AG8+AG7)/(AF12+AF13+AF11+AF10+AF9+AF8+AF7)-1</f>
        <v>6.3311959770272264E-2</v>
      </c>
    </row>
    <row r="14" spans="1:36">
      <c r="A14" s="154">
        <v>45711</v>
      </c>
      <c r="B14" s="157">
        <v>8</v>
      </c>
      <c r="C14" s="138">
        <v>174459</v>
      </c>
      <c r="D14" s="68">
        <v>164125</v>
      </c>
      <c r="E14" s="69">
        <v>172613</v>
      </c>
      <c r="F14" s="160">
        <f t="shared" si="3"/>
        <v>5.1716679360243711E-2</v>
      </c>
      <c r="G14" s="138">
        <v>52625</v>
      </c>
      <c r="H14" s="68">
        <v>52261</v>
      </c>
      <c r="I14" s="144">
        <v>49516</v>
      </c>
      <c r="J14" s="160">
        <f t="shared" si="4"/>
        <v>-5.2524827309083255E-2</v>
      </c>
      <c r="K14" s="138">
        <v>61214</v>
      </c>
      <c r="L14" s="68">
        <v>71690</v>
      </c>
      <c r="M14" s="144">
        <v>61705</v>
      </c>
      <c r="N14" s="160">
        <f t="shared" si="5"/>
        <v>-0.13928023434230719</v>
      </c>
      <c r="O14" s="138">
        <v>50475</v>
      </c>
      <c r="P14" s="68">
        <v>52261</v>
      </c>
      <c r="Q14" s="144">
        <v>48399</v>
      </c>
      <c r="R14" s="160">
        <f t="shared" si="6"/>
        <v>-7.3898318057442403E-2</v>
      </c>
      <c r="S14" s="138">
        <v>99088</v>
      </c>
      <c r="T14" s="68">
        <v>93310</v>
      </c>
      <c r="U14" s="144">
        <v>103623</v>
      </c>
      <c r="V14" s="160">
        <f t="shared" si="7"/>
        <v>0.11052405958632505</v>
      </c>
      <c r="W14" s="138">
        <v>44783</v>
      </c>
      <c r="X14" s="68">
        <v>42727</v>
      </c>
      <c r="Y14" s="163">
        <v>47610</v>
      </c>
      <c r="Z14" s="160">
        <f t="shared" si="8"/>
        <v>0.11428370819388212</v>
      </c>
      <c r="AA14" s="138">
        <v>34804</v>
      </c>
      <c r="AB14" s="68">
        <v>39242</v>
      </c>
      <c r="AC14" s="144">
        <v>32928</v>
      </c>
      <c r="AD14" s="160">
        <f t="shared" si="9"/>
        <v>-0.1608990367463432</v>
      </c>
      <c r="AE14" s="149">
        <f t="shared" si="0"/>
        <v>517448</v>
      </c>
      <c r="AF14" s="75">
        <f t="shared" si="1"/>
        <v>515616</v>
      </c>
      <c r="AG14" s="150">
        <f t="shared" si="2"/>
        <v>516394</v>
      </c>
      <c r="AH14" s="140">
        <f t="shared" si="10"/>
        <v>1.5088748215725811E-3</v>
      </c>
      <c r="AI14" s="129">
        <f>(AG13+AG14+AG12+AG11+AG10+AG9+AG8+AG7)/(AF13+AF14+AF12+AF11+AF10+AF9+AF8+AF7)-1</f>
        <v>5.5602850468001952E-2</v>
      </c>
    </row>
    <row r="15" spans="1:36">
      <c r="A15" s="154">
        <v>45718</v>
      </c>
      <c r="B15" s="157">
        <v>9</v>
      </c>
      <c r="C15" s="138">
        <v>154577</v>
      </c>
      <c r="D15" s="68">
        <v>166481</v>
      </c>
      <c r="E15" s="69">
        <v>170684</v>
      </c>
      <c r="F15" s="160">
        <f t="shared" si="3"/>
        <v>2.524612418233918E-2</v>
      </c>
      <c r="G15" s="138">
        <v>53016</v>
      </c>
      <c r="H15" s="68">
        <v>50353</v>
      </c>
      <c r="I15" s="144">
        <v>50101</v>
      </c>
      <c r="J15" s="160">
        <f t="shared" si="4"/>
        <v>-5.0046670506226354E-3</v>
      </c>
      <c r="K15" s="138">
        <v>59870</v>
      </c>
      <c r="L15" s="68">
        <v>68194</v>
      </c>
      <c r="M15" s="144">
        <v>58939</v>
      </c>
      <c r="N15" s="160">
        <f t="shared" si="5"/>
        <v>-0.1357157521189547</v>
      </c>
      <c r="O15" s="138">
        <v>56456</v>
      </c>
      <c r="P15" s="68">
        <v>57345</v>
      </c>
      <c r="Q15" s="144">
        <v>49914</v>
      </c>
      <c r="R15" s="160">
        <f t="shared" si="6"/>
        <v>-0.12958409625948208</v>
      </c>
      <c r="S15" s="138">
        <v>103334</v>
      </c>
      <c r="T15" s="68">
        <v>92366</v>
      </c>
      <c r="U15" s="144">
        <v>110513</v>
      </c>
      <c r="V15" s="160">
        <f t="shared" si="7"/>
        <v>0.19646839746226963</v>
      </c>
      <c r="W15" s="138">
        <v>37978</v>
      </c>
      <c r="X15" s="68">
        <v>44487</v>
      </c>
      <c r="Y15" s="163">
        <v>51917</v>
      </c>
      <c r="Z15" s="160">
        <f t="shared" si="8"/>
        <v>0.16701508305797197</v>
      </c>
      <c r="AA15" s="138">
        <v>39522</v>
      </c>
      <c r="AB15" s="68">
        <v>43111</v>
      </c>
      <c r="AC15" s="144">
        <v>35860</v>
      </c>
      <c r="AD15" s="160">
        <f t="shared" si="9"/>
        <v>-0.16819373245807334</v>
      </c>
      <c r="AE15" s="149">
        <f t="shared" si="0"/>
        <v>504753</v>
      </c>
      <c r="AF15" s="75">
        <f t="shared" si="1"/>
        <v>522337</v>
      </c>
      <c r="AG15" s="150">
        <f t="shared" si="2"/>
        <v>527928</v>
      </c>
      <c r="AH15" s="140">
        <f t="shared" si="10"/>
        <v>1.0703817650290937E-2</v>
      </c>
      <c r="AI15" s="129">
        <f>(AG14+AG15+AG13+AG12+AG11+AG10+AG9+AG8+AG7)/(AF14+AF15+AF13+AF12+AF11+AF10+AF9+AF8+AF7)-1</f>
        <v>5.056578924195021E-2</v>
      </c>
    </row>
    <row r="16" spans="1:36">
      <c r="A16" s="154">
        <v>45725</v>
      </c>
      <c r="B16" s="157">
        <v>10</v>
      </c>
      <c r="C16" s="138">
        <v>194993</v>
      </c>
      <c r="D16" s="68">
        <v>155032</v>
      </c>
      <c r="E16" s="69">
        <v>169280</v>
      </c>
      <c r="F16" s="160">
        <f t="shared" si="3"/>
        <v>9.1903606997265186E-2</v>
      </c>
      <c r="G16" s="138">
        <v>52474</v>
      </c>
      <c r="H16" s="68">
        <v>49374</v>
      </c>
      <c r="I16" s="144">
        <v>49513</v>
      </c>
      <c r="J16" s="160">
        <f t="shared" si="4"/>
        <v>2.8152468910762618E-3</v>
      </c>
      <c r="K16" s="138">
        <v>77148</v>
      </c>
      <c r="L16" s="68">
        <v>70168</v>
      </c>
      <c r="M16" s="144">
        <v>57896</v>
      </c>
      <c r="N16" s="160">
        <f t="shared" si="5"/>
        <v>-0.17489453882111505</v>
      </c>
      <c r="O16" s="138">
        <v>53709</v>
      </c>
      <c r="P16" s="68">
        <v>55362</v>
      </c>
      <c r="Q16" s="144">
        <v>49380</v>
      </c>
      <c r="R16" s="160">
        <f t="shared" si="6"/>
        <v>-0.10805245475235725</v>
      </c>
      <c r="S16" s="138">
        <v>104277</v>
      </c>
      <c r="T16" s="68">
        <v>93411</v>
      </c>
      <c r="U16" s="144">
        <v>113847</v>
      </c>
      <c r="V16" s="160">
        <f t="shared" si="7"/>
        <v>0.21877509072807277</v>
      </c>
      <c r="W16" s="138">
        <v>44643</v>
      </c>
      <c r="X16" s="68">
        <v>47284</v>
      </c>
      <c r="Y16" s="163">
        <v>46312</v>
      </c>
      <c r="Z16" s="160">
        <f t="shared" si="8"/>
        <v>-2.0556636494374447E-2</v>
      </c>
      <c r="AA16" s="138">
        <v>38404</v>
      </c>
      <c r="AB16" s="68">
        <v>42141</v>
      </c>
      <c r="AC16" s="144">
        <v>36573</v>
      </c>
      <c r="AD16" s="160">
        <f t="shared" si="9"/>
        <v>-0.13212785648181102</v>
      </c>
      <c r="AE16" s="149">
        <f t="shared" si="0"/>
        <v>565648</v>
      </c>
      <c r="AF16" s="75">
        <f t="shared" si="1"/>
        <v>512772</v>
      </c>
      <c r="AG16" s="150">
        <f t="shared" si="2"/>
        <v>522801</v>
      </c>
      <c r="AH16" s="140">
        <f t="shared" si="10"/>
        <v>1.9558400224661154E-2</v>
      </c>
      <c r="AI16" s="129">
        <v>4.7489661902519575E-2</v>
      </c>
    </row>
    <row r="17" spans="1:37">
      <c r="A17" s="154">
        <v>45732</v>
      </c>
      <c r="B17" s="157">
        <v>11</v>
      </c>
      <c r="C17" s="138">
        <v>196880</v>
      </c>
      <c r="D17" s="68">
        <v>154396</v>
      </c>
      <c r="E17" s="69">
        <v>172760</v>
      </c>
      <c r="F17" s="160">
        <f t="shared" si="3"/>
        <v>0.11894090520479805</v>
      </c>
      <c r="G17" s="138">
        <v>52085</v>
      </c>
      <c r="H17" s="68">
        <v>50607</v>
      </c>
      <c r="I17" s="144">
        <v>50536</v>
      </c>
      <c r="J17" s="160">
        <f t="shared" si="4"/>
        <v>-1.4029679688580821E-3</v>
      </c>
      <c r="K17" s="138">
        <v>84229</v>
      </c>
      <c r="L17" s="68">
        <v>74089</v>
      </c>
      <c r="M17" s="144">
        <v>51631</v>
      </c>
      <c r="N17" s="160">
        <f t="shared" si="5"/>
        <v>-0.303121920932932</v>
      </c>
      <c r="O17" s="138">
        <v>55954</v>
      </c>
      <c r="P17" s="68">
        <v>56340</v>
      </c>
      <c r="Q17" s="144">
        <v>48705</v>
      </c>
      <c r="R17" s="160">
        <f t="shared" si="6"/>
        <v>-0.1355165069222577</v>
      </c>
      <c r="S17" s="138">
        <v>98879</v>
      </c>
      <c r="T17" s="68">
        <v>98082</v>
      </c>
      <c r="U17" s="144">
        <v>109862</v>
      </c>
      <c r="V17" s="160">
        <f t="shared" si="7"/>
        <v>0.12010358679472288</v>
      </c>
      <c r="W17" s="138">
        <v>46516</v>
      </c>
      <c r="X17" s="68">
        <v>39928</v>
      </c>
      <c r="Y17" s="163">
        <v>46284</v>
      </c>
      <c r="Z17" s="160">
        <f t="shared" si="8"/>
        <v>0.1591865357643758</v>
      </c>
      <c r="AA17" s="138">
        <v>39812</v>
      </c>
      <c r="AB17" s="68">
        <v>41601</v>
      </c>
      <c r="AC17" s="144">
        <v>35967</v>
      </c>
      <c r="AD17" s="160">
        <f t="shared" si="9"/>
        <v>-0.13542943679238484</v>
      </c>
      <c r="AE17" s="149">
        <f t="shared" si="0"/>
        <v>574355</v>
      </c>
      <c r="AF17" s="75">
        <f t="shared" si="1"/>
        <v>515043</v>
      </c>
      <c r="AG17" s="150">
        <f t="shared" si="2"/>
        <v>515745</v>
      </c>
      <c r="AH17" s="140">
        <f t="shared" si="10"/>
        <v>1.3629929928180573E-3</v>
      </c>
      <c r="AI17" s="129">
        <f>(AG60)/(AF7+AF8+AF9+AF10+AF11+AF12+AF13+AF14+AF15+AF17+AF16)-1</f>
        <v>4.3345442626388841</v>
      </c>
    </row>
    <row r="18" spans="1:37">
      <c r="A18" s="154">
        <v>45739</v>
      </c>
      <c r="B18" s="157">
        <v>12</v>
      </c>
      <c r="C18" s="138">
        <v>201163</v>
      </c>
      <c r="D18" s="68">
        <v>148847</v>
      </c>
      <c r="E18" s="69">
        <v>190380</v>
      </c>
      <c r="F18" s="160">
        <f t="shared" si="3"/>
        <v>0.27903148870988326</v>
      </c>
      <c r="G18" s="138">
        <v>54203</v>
      </c>
      <c r="H18" s="68">
        <v>55338</v>
      </c>
      <c r="I18" s="144">
        <v>53727</v>
      </c>
      <c r="J18" s="160">
        <f t="shared" si="4"/>
        <v>-2.9112002602190157E-2</v>
      </c>
      <c r="K18" s="138">
        <v>82743</v>
      </c>
      <c r="L18" s="68">
        <v>72295</v>
      </c>
      <c r="M18" s="144">
        <v>54348</v>
      </c>
      <c r="N18" s="160">
        <f t="shared" si="5"/>
        <v>-0.24824676671969015</v>
      </c>
      <c r="O18" s="138">
        <v>53632</v>
      </c>
      <c r="P18" s="68">
        <v>57308</v>
      </c>
      <c r="Q18" s="144">
        <v>51854</v>
      </c>
      <c r="R18" s="160">
        <f t="shared" si="6"/>
        <v>-9.5169958819013023E-2</v>
      </c>
      <c r="S18" s="138">
        <v>96243</v>
      </c>
      <c r="T18" s="68">
        <v>94449</v>
      </c>
      <c r="U18" s="144">
        <v>116137</v>
      </c>
      <c r="V18" s="160">
        <f t="shared" si="7"/>
        <v>0.22962657095363626</v>
      </c>
      <c r="W18" s="138">
        <v>42543</v>
      </c>
      <c r="X18" s="68">
        <v>43900</v>
      </c>
      <c r="Y18" s="163">
        <v>58882</v>
      </c>
      <c r="Z18" s="160">
        <f t="shared" si="8"/>
        <v>0.34127562642369025</v>
      </c>
      <c r="AA18" s="138">
        <v>37937</v>
      </c>
      <c r="AB18" s="68">
        <v>37493</v>
      </c>
      <c r="AC18" s="144">
        <v>36352</v>
      </c>
      <c r="AD18" s="160">
        <f t="shared" si="9"/>
        <v>-3.043234737150935E-2</v>
      </c>
      <c r="AE18" s="149">
        <f t="shared" si="0"/>
        <v>568464</v>
      </c>
      <c r="AF18" s="75">
        <f t="shared" si="1"/>
        <v>509630</v>
      </c>
      <c r="AG18" s="150">
        <f t="shared" si="2"/>
        <v>561680</v>
      </c>
      <c r="AH18" s="140">
        <f t="shared" si="10"/>
        <v>0.10213291996154084</v>
      </c>
      <c r="AI18" s="129">
        <f>AG60/AK18-1</f>
        <v>3.8955873968804626</v>
      </c>
      <c r="AK18" s="70">
        <f>SUM(AF7:AF18)</f>
        <v>6193419</v>
      </c>
    </row>
    <row r="19" spans="1:37">
      <c r="A19" s="154">
        <v>45746</v>
      </c>
      <c r="B19" s="157">
        <v>13</v>
      </c>
      <c r="C19" s="138">
        <v>157801</v>
      </c>
      <c r="D19" s="68">
        <v>166224</v>
      </c>
      <c r="E19" s="69">
        <v>192543</v>
      </c>
      <c r="F19" s="160">
        <f t="shared" si="3"/>
        <v>0.15833453652902119</v>
      </c>
      <c r="G19" s="138">
        <v>53332</v>
      </c>
      <c r="H19" s="68">
        <v>57206</v>
      </c>
      <c r="I19" s="144">
        <v>49058</v>
      </c>
      <c r="J19" s="160">
        <f t="shared" si="4"/>
        <v>-0.14243261196377999</v>
      </c>
      <c r="K19" s="138">
        <v>80144</v>
      </c>
      <c r="L19" s="68">
        <v>73773</v>
      </c>
      <c r="M19" s="144">
        <v>54818</v>
      </c>
      <c r="N19" s="160">
        <f t="shared" si="5"/>
        <v>-0.25693681970368565</v>
      </c>
      <c r="O19" s="138">
        <v>54650</v>
      </c>
      <c r="P19" s="68">
        <v>59149</v>
      </c>
      <c r="Q19" s="144">
        <v>48664</v>
      </c>
      <c r="R19" s="160">
        <f t="shared" si="6"/>
        <v>-0.17726419719690945</v>
      </c>
      <c r="S19" s="138">
        <v>109826</v>
      </c>
      <c r="T19" s="68">
        <v>98350</v>
      </c>
      <c r="U19" s="144">
        <v>115422</v>
      </c>
      <c r="V19" s="160">
        <f t="shared" si="7"/>
        <v>0.1735841382816472</v>
      </c>
      <c r="W19" s="138">
        <v>44700</v>
      </c>
      <c r="X19" s="68">
        <v>44390</v>
      </c>
      <c r="Y19" s="163">
        <v>56920</v>
      </c>
      <c r="Z19" s="160">
        <f t="shared" si="8"/>
        <v>0.28227078170759179</v>
      </c>
      <c r="AA19" s="138">
        <v>39481</v>
      </c>
      <c r="AB19" s="68">
        <v>34409</v>
      </c>
      <c r="AC19" s="144">
        <v>37209</v>
      </c>
      <c r="AD19" s="160">
        <f t="shared" si="9"/>
        <v>8.1374059112441444E-2</v>
      </c>
      <c r="AE19" s="149">
        <f t="shared" si="0"/>
        <v>539934</v>
      </c>
      <c r="AF19" s="75">
        <f t="shared" si="1"/>
        <v>533501</v>
      </c>
      <c r="AG19" s="150">
        <f t="shared" si="2"/>
        <v>554634</v>
      </c>
      <c r="AH19" s="140">
        <f t="shared" si="10"/>
        <v>3.9611922002020572E-2</v>
      </c>
      <c r="AI19" s="129">
        <f>AG60/AK19-1</f>
        <v>3.507326384140141</v>
      </c>
      <c r="AK19" s="70">
        <f>SUM(AF7:AF19)</f>
        <v>6726920</v>
      </c>
    </row>
    <row r="20" spans="1:37">
      <c r="A20" s="154">
        <v>45753</v>
      </c>
      <c r="B20" s="157">
        <v>14</v>
      </c>
      <c r="C20" s="138">
        <v>183755</v>
      </c>
      <c r="D20" s="68">
        <v>167291</v>
      </c>
      <c r="E20" s="69">
        <v>209861</v>
      </c>
      <c r="F20" s="160">
        <f t="shared" si="3"/>
        <v>0.25446676748898622</v>
      </c>
      <c r="G20" s="138">
        <v>78617</v>
      </c>
      <c r="H20" s="68">
        <v>54500</v>
      </c>
      <c r="I20" s="144">
        <v>60025</v>
      </c>
      <c r="J20" s="160">
        <f t="shared" si="4"/>
        <v>0.10137614678899087</v>
      </c>
      <c r="K20" s="138">
        <v>88711</v>
      </c>
      <c r="L20" s="68">
        <v>72013</v>
      </c>
      <c r="M20" s="144">
        <v>65713</v>
      </c>
      <c r="N20" s="160">
        <f t="shared" si="5"/>
        <v>-8.7484204240900976E-2</v>
      </c>
      <c r="O20" s="138">
        <v>61543</v>
      </c>
      <c r="P20" s="68">
        <v>57675</v>
      </c>
      <c r="Q20" s="144">
        <v>55841</v>
      </c>
      <c r="R20" s="160">
        <f t="shared" si="6"/>
        <v>-3.1798872995231875E-2</v>
      </c>
      <c r="S20" s="138">
        <v>108540</v>
      </c>
      <c r="T20" s="68">
        <v>98430</v>
      </c>
      <c r="U20" s="144">
        <v>117214</v>
      </c>
      <c r="V20" s="160">
        <f t="shared" si="7"/>
        <v>0.19083612719699272</v>
      </c>
      <c r="W20" s="138">
        <v>51025</v>
      </c>
      <c r="X20" s="68">
        <v>46846</v>
      </c>
      <c r="Y20" s="163">
        <v>61434</v>
      </c>
      <c r="Z20" s="160">
        <f t="shared" si="8"/>
        <v>0.31140332152158146</v>
      </c>
      <c r="AA20" s="138">
        <v>41136</v>
      </c>
      <c r="AB20" s="68">
        <v>37787</v>
      </c>
      <c r="AC20" s="144">
        <v>40462</v>
      </c>
      <c r="AD20" s="160">
        <f t="shared" si="9"/>
        <v>7.079154206473115E-2</v>
      </c>
      <c r="AE20" s="149">
        <f t="shared" si="0"/>
        <v>613327</v>
      </c>
      <c r="AF20" s="75">
        <f t="shared" si="1"/>
        <v>534542</v>
      </c>
      <c r="AG20" s="150">
        <f t="shared" si="2"/>
        <v>610550</v>
      </c>
      <c r="AH20" s="140">
        <f t="shared" si="10"/>
        <v>0.1421927556674687</v>
      </c>
      <c r="AI20" s="129" t="e">
        <f>AG61/AK20-1</f>
        <v>#DIV/0!</v>
      </c>
    </row>
    <row r="21" spans="1:37">
      <c r="A21" s="154">
        <v>45760</v>
      </c>
      <c r="B21" s="157">
        <v>15</v>
      </c>
      <c r="C21" s="138">
        <v>180647</v>
      </c>
      <c r="D21" s="68">
        <v>157056</v>
      </c>
      <c r="E21" s="69">
        <v>207732</v>
      </c>
      <c r="F21" s="160">
        <f t="shared" si="3"/>
        <v>0.32266198044009786</v>
      </c>
      <c r="G21" s="138">
        <v>73811</v>
      </c>
      <c r="H21" s="68">
        <v>48685</v>
      </c>
      <c r="I21" s="144">
        <v>59030</v>
      </c>
      <c r="J21" s="160">
        <f t="shared" si="4"/>
        <v>0.21248844613330586</v>
      </c>
      <c r="K21" s="138">
        <v>75561</v>
      </c>
      <c r="L21" s="68">
        <v>65724</v>
      </c>
      <c r="M21" s="144">
        <v>65639</v>
      </c>
      <c r="N21" s="160">
        <f t="shared" si="5"/>
        <v>-1.2932870793013196E-3</v>
      </c>
      <c r="O21" s="138">
        <v>65087</v>
      </c>
      <c r="P21" s="68">
        <v>51648</v>
      </c>
      <c r="Q21" s="144">
        <v>49330</v>
      </c>
      <c r="R21" s="160">
        <f t="shared" si="6"/>
        <v>-4.4880731102850069E-2</v>
      </c>
      <c r="S21" s="138">
        <v>113820</v>
      </c>
      <c r="T21" s="68">
        <v>99534</v>
      </c>
      <c r="U21" s="144">
        <v>115999</v>
      </c>
      <c r="V21" s="160">
        <f t="shared" si="7"/>
        <v>0.16542086121325372</v>
      </c>
      <c r="W21" s="138">
        <v>53285</v>
      </c>
      <c r="X21" s="68">
        <v>41617</v>
      </c>
      <c r="Y21" s="163">
        <v>58644</v>
      </c>
      <c r="Z21" s="160">
        <f t="shared" si="8"/>
        <v>0.40913568974217274</v>
      </c>
      <c r="AA21" s="138">
        <v>44449</v>
      </c>
      <c r="AB21" s="68">
        <v>34538</v>
      </c>
      <c r="AC21" s="144">
        <v>42308</v>
      </c>
      <c r="AD21" s="160">
        <f t="shared" si="9"/>
        <v>0.22496959870287792</v>
      </c>
      <c r="AE21" s="149">
        <f t="shared" si="0"/>
        <v>606660</v>
      </c>
      <c r="AF21" s="75">
        <f t="shared" si="1"/>
        <v>498802</v>
      </c>
      <c r="AG21" s="150">
        <f t="shared" si="2"/>
        <v>598682</v>
      </c>
      <c r="AH21" s="140">
        <f t="shared" si="10"/>
        <v>0.20023977449970132</v>
      </c>
      <c r="AI21" s="127"/>
    </row>
    <row r="22" spans="1:37">
      <c r="A22" s="154">
        <v>45767</v>
      </c>
      <c r="B22" s="157">
        <v>16</v>
      </c>
      <c r="C22" s="138">
        <v>166235</v>
      </c>
      <c r="D22" s="68">
        <v>159213</v>
      </c>
      <c r="E22" s="69">
        <v>233694</v>
      </c>
      <c r="F22" s="160">
        <f t="shared" si="3"/>
        <v>0.46780727704396008</v>
      </c>
      <c r="G22" s="138">
        <v>58142</v>
      </c>
      <c r="H22" s="68">
        <v>47877</v>
      </c>
      <c r="I22" s="144">
        <v>61366</v>
      </c>
      <c r="J22" s="160">
        <f t="shared" si="4"/>
        <v>0.28174279925642787</v>
      </c>
      <c r="K22" s="138">
        <v>73748</v>
      </c>
      <c r="L22" s="68">
        <v>68291</v>
      </c>
      <c r="M22" s="144">
        <v>65699</v>
      </c>
      <c r="N22" s="160">
        <f t="shared" si="5"/>
        <v>-3.7955221039375653E-2</v>
      </c>
      <c r="O22" s="138">
        <v>61693</v>
      </c>
      <c r="P22" s="68">
        <v>57439</v>
      </c>
      <c r="Q22" s="144">
        <v>52648</v>
      </c>
      <c r="R22" s="160">
        <f t="shared" si="6"/>
        <v>-8.3410226501157703E-2</v>
      </c>
      <c r="S22" s="138">
        <v>113224</v>
      </c>
      <c r="T22" s="68">
        <v>103408</v>
      </c>
      <c r="U22" s="144">
        <v>108262</v>
      </c>
      <c r="V22" s="160">
        <f t="shared" si="7"/>
        <v>4.6940275413894561E-2</v>
      </c>
      <c r="W22" s="138">
        <v>47907</v>
      </c>
      <c r="X22" s="68">
        <v>42271</v>
      </c>
      <c r="Y22" s="163">
        <v>60108</v>
      </c>
      <c r="Z22" s="160">
        <f t="shared" si="8"/>
        <v>0.42196777932861762</v>
      </c>
      <c r="AA22" s="138">
        <v>40179</v>
      </c>
      <c r="AB22" s="68">
        <v>38288</v>
      </c>
      <c r="AC22" s="144">
        <v>36130</v>
      </c>
      <c r="AD22" s="160">
        <f t="shared" si="9"/>
        <v>-5.6362306727956502E-2</v>
      </c>
      <c r="AE22" s="149">
        <f t="shared" si="0"/>
        <v>561128</v>
      </c>
      <c r="AF22" s="75">
        <f t="shared" si="1"/>
        <v>516787</v>
      </c>
      <c r="AG22" s="150">
        <f t="shared" si="2"/>
        <v>617907</v>
      </c>
      <c r="AH22" s="140">
        <f t="shared" si="10"/>
        <v>0.19567055672840072</v>
      </c>
      <c r="AI22" s="127"/>
    </row>
    <row r="23" spans="1:37">
      <c r="A23" s="154">
        <v>45774</v>
      </c>
      <c r="B23" s="157">
        <v>17</v>
      </c>
      <c r="C23" s="138">
        <v>159538</v>
      </c>
      <c r="D23" s="68">
        <v>165535</v>
      </c>
      <c r="E23" s="69">
        <v>170449</v>
      </c>
      <c r="F23" s="160">
        <f t="shared" si="3"/>
        <v>2.968556498625663E-2</v>
      </c>
      <c r="G23" s="138">
        <v>59063</v>
      </c>
      <c r="H23" s="68">
        <v>50435</v>
      </c>
      <c r="I23" s="144">
        <v>61233</v>
      </c>
      <c r="J23" s="160">
        <f t="shared" si="4"/>
        <v>0.21409735302865074</v>
      </c>
      <c r="K23" s="138">
        <v>71424</v>
      </c>
      <c r="L23" s="68">
        <v>70851</v>
      </c>
      <c r="M23" s="144">
        <v>61173</v>
      </c>
      <c r="N23" s="160">
        <f t="shared" si="5"/>
        <v>-0.13659651945632378</v>
      </c>
      <c r="O23" s="138">
        <v>64791</v>
      </c>
      <c r="P23" s="68">
        <v>55843</v>
      </c>
      <c r="Q23" s="144">
        <v>53011</v>
      </c>
      <c r="R23" s="160">
        <f t="shared" si="6"/>
        <v>-5.0713607793277604E-2</v>
      </c>
      <c r="S23" s="138">
        <v>119861</v>
      </c>
      <c r="T23" s="68">
        <v>108317</v>
      </c>
      <c r="U23" s="144">
        <v>128313</v>
      </c>
      <c r="V23" s="160">
        <f t="shared" si="7"/>
        <v>0.18460629448747667</v>
      </c>
      <c r="W23" s="138">
        <v>48438</v>
      </c>
      <c r="X23" s="68">
        <v>46927</v>
      </c>
      <c r="Y23" s="163">
        <v>65325</v>
      </c>
      <c r="Z23" s="160">
        <f t="shared" si="8"/>
        <v>0.3920557461589278</v>
      </c>
      <c r="AA23" s="138">
        <v>49477</v>
      </c>
      <c r="AB23" s="68">
        <v>40891</v>
      </c>
      <c r="AC23" s="144">
        <v>34341</v>
      </c>
      <c r="AD23" s="160">
        <f t="shared" si="9"/>
        <v>-0.16018194712772982</v>
      </c>
      <c r="AE23" s="149">
        <f t="shared" si="0"/>
        <v>572592</v>
      </c>
      <c r="AF23" s="75">
        <f t="shared" si="1"/>
        <v>538799</v>
      </c>
      <c r="AG23" s="150">
        <f t="shared" si="2"/>
        <v>573845</v>
      </c>
      <c r="AH23" s="140">
        <f t="shared" si="10"/>
        <v>6.5044664151195475E-2</v>
      </c>
      <c r="AI23" s="127"/>
    </row>
    <row r="24" spans="1:37">
      <c r="A24" s="154">
        <v>45781</v>
      </c>
      <c r="B24" s="157">
        <v>18</v>
      </c>
      <c r="C24" s="138">
        <v>180837</v>
      </c>
      <c r="D24" s="68">
        <v>176677</v>
      </c>
      <c r="E24" s="69">
        <v>174913</v>
      </c>
      <c r="F24" s="160">
        <f t="shared" si="3"/>
        <v>-9.9843216717512284E-3</v>
      </c>
      <c r="G24" s="138">
        <v>61962</v>
      </c>
      <c r="H24" s="68">
        <v>53218</v>
      </c>
      <c r="I24" s="144">
        <v>61810</v>
      </c>
      <c r="J24" s="160">
        <f t="shared" si="4"/>
        <v>0.16144913375173808</v>
      </c>
      <c r="K24" s="138">
        <v>77485</v>
      </c>
      <c r="L24" s="68">
        <v>76371</v>
      </c>
      <c r="M24" s="144">
        <v>66765</v>
      </c>
      <c r="N24" s="160">
        <f t="shared" si="5"/>
        <v>-0.12578072828691522</v>
      </c>
      <c r="O24" s="138">
        <v>63248</v>
      </c>
      <c r="P24" s="68">
        <v>62723</v>
      </c>
      <c r="Q24" s="144">
        <v>62722</v>
      </c>
      <c r="R24" s="160">
        <f t="shared" si="6"/>
        <v>-1.5943114965777383E-5</v>
      </c>
      <c r="S24" s="138">
        <v>111792</v>
      </c>
      <c r="T24" s="68">
        <v>114999</v>
      </c>
      <c r="U24" s="144">
        <v>130964</v>
      </c>
      <c r="V24" s="160">
        <f t="shared" si="7"/>
        <v>0.13882729415038386</v>
      </c>
      <c r="W24" s="138">
        <v>50424</v>
      </c>
      <c r="X24" s="68">
        <v>52075</v>
      </c>
      <c r="Y24" s="163">
        <v>61073</v>
      </c>
      <c r="Z24" s="160">
        <f t="shared" si="8"/>
        <v>0.17278924627940473</v>
      </c>
      <c r="AA24" s="138">
        <v>46396</v>
      </c>
      <c r="AB24" s="68">
        <v>44537</v>
      </c>
      <c r="AC24" s="144">
        <v>45807</v>
      </c>
      <c r="AD24" s="160">
        <f t="shared" si="9"/>
        <v>2.8515616229202623E-2</v>
      </c>
      <c r="AE24" s="149">
        <f t="shared" si="0"/>
        <v>592144</v>
      </c>
      <c r="AF24" s="75">
        <f t="shared" si="1"/>
        <v>580600</v>
      </c>
      <c r="AG24" s="150">
        <f t="shared" si="2"/>
        <v>604054</v>
      </c>
      <c r="AH24" s="140">
        <f t="shared" si="10"/>
        <v>4.0396141922149464E-2</v>
      </c>
      <c r="AI24" s="127"/>
    </row>
    <row r="25" spans="1:37">
      <c r="A25" s="154">
        <v>45788</v>
      </c>
      <c r="B25" s="157">
        <v>19</v>
      </c>
      <c r="C25" s="138">
        <v>165887</v>
      </c>
      <c r="D25" s="68">
        <v>175535</v>
      </c>
      <c r="E25" s="69">
        <v>163442</v>
      </c>
      <c r="F25" s="160">
        <f t="shared" si="3"/>
        <v>-6.8892243712080248E-2</v>
      </c>
      <c r="G25" s="138">
        <v>60498</v>
      </c>
      <c r="H25" s="68">
        <v>52487</v>
      </c>
      <c r="I25" s="144">
        <v>55872</v>
      </c>
      <c r="J25" s="160">
        <f t="shared" si="4"/>
        <v>6.4492159963419615E-2</v>
      </c>
      <c r="K25" s="138">
        <v>76618</v>
      </c>
      <c r="L25" s="68">
        <v>79085</v>
      </c>
      <c r="M25" s="144">
        <v>76367</v>
      </c>
      <c r="N25" s="160">
        <f t="shared" si="5"/>
        <v>-3.436808497186572E-2</v>
      </c>
      <c r="O25" s="138">
        <v>58462</v>
      </c>
      <c r="P25" s="68">
        <v>58166</v>
      </c>
      <c r="Q25" s="144">
        <v>54377</v>
      </c>
      <c r="R25" s="160">
        <f t="shared" si="6"/>
        <v>-6.5141147749544381E-2</v>
      </c>
      <c r="S25" s="138">
        <v>112006</v>
      </c>
      <c r="T25" s="68">
        <v>109423</v>
      </c>
      <c r="U25" s="144">
        <v>121111</v>
      </c>
      <c r="V25" s="160">
        <f t="shared" si="7"/>
        <v>0.10681483783116885</v>
      </c>
      <c r="W25" s="138">
        <v>45404</v>
      </c>
      <c r="X25" s="68">
        <v>42586</v>
      </c>
      <c r="Y25" s="163">
        <v>46755</v>
      </c>
      <c r="Z25" s="160">
        <f t="shared" si="8"/>
        <v>9.7896022166909402E-2</v>
      </c>
      <c r="AA25" s="138">
        <v>43632</v>
      </c>
      <c r="AB25" s="68">
        <v>38322</v>
      </c>
      <c r="AC25" s="144">
        <v>40777</v>
      </c>
      <c r="AD25" s="160">
        <f t="shared" si="9"/>
        <v>6.4062418454151615E-2</v>
      </c>
      <c r="AE25" s="149">
        <f t="shared" si="0"/>
        <v>562507</v>
      </c>
      <c r="AF25" s="75">
        <f t="shared" si="1"/>
        <v>555604</v>
      </c>
      <c r="AG25" s="150">
        <f t="shared" si="2"/>
        <v>558701</v>
      </c>
      <c r="AH25" s="140">
        <f t="shared" si="10"/>
        <v>5.5741139372647019E-3</v>
      </c>
      <c r="AI25" s="127"/>
    </row>
    <row r="26" spans="1:37">
      <c r="A26" s="154">
        <v>45795</v>
      </c>
      <c r="B26" s="157">
        <v>20</v>
      </c>
      <c r="C26" s="138">
        <v>167632</v>
      </c>
      <c r="D26" s="68">
        <v>165720</v>
      </c>
      <c r="E26" s="69">
        <v>174473</v>
      </c>
      <c r="F26" s="160">
        <f t="shared" si="3"/>
        <v>5.281800627564559E-2</v>
      </c>
      <c r="G26" s="138">
        <v>60465</v>
      </c>
      <c r="H26" s="68">
        <v>50159</v>
      </c>
      <c r="I26" s="144">
        <v>59468</v>
      </c>
      <c r="J26" s="160">
        <f t="shared" si="4"/>
        <v>0.18558982435853988</v>
      </c>
      <c r="K26" s="138">
        <v>67577</v>
      </c>
      <c r="L26" s="68">
        <v>75436</v>
      </c>
      <c r="M26" s="196">
        <v>60875</v>
      </c>
      <c r="N26" s="160">
        <f t="shared" si="5"/>
        <v>-0.19302455061243973</v>
      </c>
      <c r="O26" s="138">
        <v>66315</v>
      </c>
      <c r="P26" s="68">
        <v>61438</v>
      </c>
      <c r="Q26" s="144">
        <v>54772</v>
      </c>
      <c r="R26" s="160">
        <f t="shared" si="6"/>
        <v>-0.1084996256388554</v>
      </c>
      <c r="S26" s="138">
        <v>110371</v>
      </c>
      <c r="T26" s="68">
        <v>107235</v>
      </c>
      <c r="U26" s="144">
        <v>123879</v>
      </c>
      <c r="V26" s="160">
        <f t="shared" si="7"/>
        <v>0.15521051895369986</v>
      </c>
      <c r="W26" s="138">
        <v>46715</v>
      </c>
      <c r="X26" s="68">
        <v>44125</v>
      </c>
      <c r="Y26" s="163">
        <v>51223</v>
      </c>
      <c r="Z26" s="160">
        <f t="shared" si="8"/>
        <v>0.16086118980169961</v>
      </c>
      <c r="AA26" s="138">
        <v>44922</v>
      </c>
      <c r="AB26" s="68">
        <v>40039</v>
      </c>
      <c r="AC26" s="144">
        <v>40794</v>
      </c>
      <c r="AD26" s="160">
        <f t="shared" si="9"/>
        <v>1.8856614800569549E-2</v>
      </c>
      <c r="AE26" s="149">
        <f t="shared" si="0"/>
        <v>563997</v>
      </c>
      <c r="AF26" s="75">
        <f t="shared" si="1"/>
        <v>544152</v>
      </c>
      <c r="AG26" s="150">
        <f t="shared" si="2"/>
        <v>565484</v>
      </c>
      <c r="AH26" s="140">
        <f t="shared" si="10"/>
        <v>3.9202281715402965E-2</v>
      </c>
      <c r="AI26" s="127"/>
    </row>
    <row r="27" spans="1:37">
      <c r="A27" s="154">
        <v>45802</v>
      </c>
      <c r="B27" s="157">
        <v>21</v>
      </c>
      <c r="C27" s="138">
        <v>174045</v>
      </c>
      <c r="D27" s="68">
        <v>158250</v>
      </c>
      <c r="E27" s="69">
        <v>184173</v>
      </c>
      <c r="F27" s="160">
        <f t="shared" si="3"/>
        <v>0.16381042654028444</v>
      </c>
      <c r="G27" s="138">
        <v>63453</v>
      </c>
      <c r="H27" s="68">
        <v>49232</v>
      </c>
      <c r="I27" s="144">
        <v>75337</v>
      </c>
      <c r="J27" s="160">
        <f t="shared" si="4"/>
        <v>0.53024455638609025</v>
      </c>
      <c r="K27" s="138">
        <v>87095</v>
      </c>
      <c r="L27" s="68">
        <v>74953</v>
      </c>
      <c r="M27" s="196">
        <v>69482</v>
      </c>
      <c r="N27" s="160">
        <f t="shared" si="5"/>
        <v>-7.2992408576040946E-2</v>
      </c>
      <c r="O27" s="138">
        <v>70250</v>
      </c>
      <c r="P27" s="68">
        <v>56866</v>
      </c>
      <c r="Q27" s="144">
        <v>59545</v>
      </c>
      <c r="R27" s="160">
        <f t="shared" si="6"/>
        <v>4.7110751591460609E-2</v>
      </c>
      <c r="S27" s="138">
        <v>102486</v>
      </c>
      <c r="T27" s="68">
        <v>103405</v>
      </c>
      <c r="U27" s="144">
        <v>114957</v>
      </c>
      <c r="V27" s="160">
        <f t="shared" si="7"/>
        <v>0.11171606788839994</v>
      </c>
      <c r="W27" s="138">
        <v>45182</v>
      </c>
      <c r="X27" s="68">
        <v>42259</v>
      </c>
      <c r="Y27" s="163">
        <v>59290</v>
      </c>
      <c r="Z27" s="160">
        <f t="shared" si="8"/>
        <v>0.40301474242173274</v>
      </c>
      <c r="AA27" s="138">
        <v>42349</v>
      </c>
      <c r="AB27" s="68">
        <v>39727</v>
      </c>
      <c r="AC27" s="144">
        <v>40053</v>
      </c>
      <c r="AD27" s="160">
        <f t="shared" si="9"/>
        <v>8.2060059908877214E-3</v>
      </c>
      <c r="AE27" s="149">
        <f t="shared" si="0"/>
        <v>584860</v>
      </c>
      <c r="AF27" s="75">
        <f t="shared" si="1"/>
        <v>524692</v>
      </c>
      <c r="AG27" s="150">
        <f t="shared" si="2"/>
        <v>602837</v>
      </c>
      <c r="AH27" s="140">
        <f t="shared" si="10"/>
        <v>0.14893499424424239</v>
      </c>
      <c r="AI27" s="127"/>
    </row>
    <row r="28" spans="1:37">
      <c r="A28" s="154">
        <v>45809</v>
      </c>
      <c r="B28" s="157">
        <v>22</v>
      </c>
      <c r="C28" s="138">
        <v>175894</v>
      </c>
      <c r="D28" s="68">
        <v>173777</v>
      </c>
      <c r="E28" s="69">
        <v>190576</v>
      </c>
      <c r="F28" s="160">
        <f t="shared" si="3"/>
        <v>9.6669870005811953E-2</v>
      </c>
      <c r="G28" s="138">
        <v>69331</v>
      </c>
      <c r="H28" s="68">
        <v>52425</v>
      </c>
      <c r="I28" s="144">
        <v>72363</v>
      </c>
      <c r="J28" s="160">
        <f t="shared" si="4"/>
        <v>0.38031473533619464</v>
      </c>
      <c r="K28" s="138">
        <v>77741</v>
      </c>
      <c r="L28" s="68">
        <v>78498</v>
      </c>
      <c r="M28" s="196">
        <v>69981</v>
      </c>
      <c r="N28" s="160">
        <f t="shared" si="5"/>
        <v>-0.10849957960712375</v>
      </c>
      <c r="O28" s="138">
        <v>74808</v>
      </c>
      <c r="P28" s="68">
        <v>60968</v>
      </c>
      <c r="Q28" s="144">
        <v>60519</v>
      </c>
      <c r="R28" s="160">
        <f t="shared" si="6"/>
        <v>-7.3645190919826575E-3</v>
      </c>
      <c r="S28" s="138">
        <v>103277</v>
      </c>
      <c r="T28" s="68">
        <v>96723</v>
      </c>
      <c r="U28" s="144">
        <v>117925</v>
      </c>
      <c r="V28" s="160">
        <f t="shared" si="7"/>
        <v>0.21920329187473508</v>
      </c>
      <c r="W28" s="138">
        <v>50779</v>
      </c>
      <c r="X28" s="68">
        <v>41460</v>
      </c>
      <c r="Y28" s="163">
        <v>58175</v>
      </c>
      <c r="Z28" s="160">
        <f t="shared" si="8"/>
        <v>0.40315967197298597</v>
      </c>
      <c r="AA28" s="138">
        <v>43611</v>
      </c>
      <c r="AB28" s="68">
        <v>44109</v>
      </c>
      <c r="AC28" s="144">
        <v>42685</v>
      </c>
      <c r="AD28" s="160">
        <f t="shared" si="9"/>
        <v>-3.2283660930875757E-2</v>
      </c>
      <c r="AE28" s="149">
        <f t="shared" si="0"/>
        <v>595441</v>
      </c>
      <c r="AF28" s="75">
        <f t="shared" si="1"/>
        <v>547960</v>
      </c>
      <c r="AG28" s="150">
        <f t="shared" si="2"/>
        <v>612224</v>
      </c>
      <c r="AH28" s="140">
        <f t="shared" si="10"/>
        <v>0.11727863347689604</v>
      </c>
      <c r="AI28" s="127"/>
    </row>
    <row r="29" spans="1:37">
      <c r="A29" s="154">
        <v>45816</v>
      </c>
      <c r="B29" s="157">
        <v>23</v>
      </c>
      <c r="C29" s="138">
        <v>173003</v>
      </c>
      <c r="D29" s="68">
        <v>174493</v>
      </c>
      <c r="E29" s="69">
        <v>186237</v>
      </c>
      <c r="F29" s="160">
        <f t="shared" si="3"/>
        <v>6.730355945510702E-2</v>
      </c>
      <c r="G29" s="138">
        <v>64747</v>
      </c>
      <c r="H29" s="68">
        <v>50103</v>
      </c>
      <c r="I29" s="144">
        <v>62470</v>
      </c>
      <c r="J29" s="160">
        <f t="shared" si="4"/>
        <v>0.24683152705426825</v>
      </c>
      <c r="K29" s="138">
        <v>71909</v>
      </c>
      <c r="L29" s="68">
        <v>76440</v>
      </c>
      <c r="M29" s="196">
        <v>61102</v>
      </c>
      <c r="N29" s="160">
        <f t="shared" si="5"/>
        <v>-0.20065410779696491</v>
      </c>
      <c r="O29" s="138">
        <v>67634</v>
      </c>
      <c r="P29" s="68">
        <v>56788</v>
      </c>
      <c r="Q29" s="144">
        <v>53424</v>
      </c>
      <c r="R29" s="160">
        <f t="shared" si="6"/>
        <v>-5.9237867155032764E-2</v>
      </c>
      <c r="S29" s="138">
        <v>100411</v>
      </c>
      <c r="T29" s="68">
        <v>96449</v>
      </c>
      <c r="U29" s="144">
        <v>116540</v>
      </c>
      <c r="V29" s="160">
        <f t="shared" si="7"/>
        <v>0.2083069808914555</v>
      </c>
      <c r="W29" s="138">
        <v>56250</v>
      </c>
      <c r="X29" s="68">
        <v>52610</v>
      </c>
      <c r="Y29" s="163">
        <v>51656</v>
      </c>
      <c r="Z29" s="160">
        <f t="shared" si="8"/>
        <v>-1.8133434708230367E-2</v>
      </c>
      <c r="AA29" s="138">
        <v>43313</v>
      </c>
      <c r="AB29" s="68">
        <v>43825</v>
      </c>
      <c r="AC29" s="144">
        <v>44266</v>
      </c>
      <c r="AD29" s="160">
        <f t="shared" si="9"/>
        <v>1.0062749572161911E-2</v>
      </c>
      <c r="AE29" s="149">
        <f t="shared" si="0"/>
        <v>577267</v>
      </c>
      <c r="AF29" s="75">
        <f t="shared" si="1"/>
        <v>550708</v>
      </c>
      <c r="AG29" s="150">
        <f t="shared" si="2"/>
        <v>575695</v>
      </c>
      <c r="AH29" s="140">
        <f t="shared" si="10"/>
        <v>4.537250230612222E-2</v>
      </c>
      <c r="AI29" s="127"/>
    </row>
    <row r="30" spans="1:37">
      <c r="A30" s="154">
        <v>45823</v>
      </c>
      <c r="B30" s="157">
        <v>24</v>
      </c>
      <c r="C30" s="138">
        <v>174156</v>
      </c>
      <c r="D30" s="68">
        <v>186942</v>
      </c>
      <c r="E30" s="69">
        <v>220149</v>
      </c>
      <c r="F30" s="160">
        <f t="shared" si="3"/>
        <v>0.17763263472092938</v>
      </c>
      <c r="G30" s="138">
        <v>64225</v>
      </c>
      <c r="H30" s="68">
        <v>66269</v>
      </c>
      <c r="I30" s="144">
        <v>63968</v>
      </c>
      <c r="J30" s="160">
        <f t="shared" si="4"/>
        <v>-3.4722117430472821E-2</v>
      </c>
      <c r="K30" s="138">
        <v>73459</v>
      </c>
      <c r="L30" s="68">
        <v>91427</v>
      </c>
      <c r="M30" s="196">
        <v>65666</v>
      </c>
      <c r="N30" s="160">
        <f t="shared" si="5"/>
        <v>-0.28176578034934974</v>
      </c>
      <c r="O30" s="138">
        <v>72524</v>
      </c>
      <c r="P30" s="68">
        <v>69449</v>
      </c>
      <c r="Q30" s="144">
        <v>53275</v>
      </c>
      <c r="R30" s="160">
        <f t="shared" si="6"/>
        <v>-0.23289032239485086</v>
      </c>
      <c r="S30" s="138">
        <v>107931</v>
      </c>
      <c r="T30" s="68">
        <v>108225</v>
      </c>
      <c r="U30" s="144">
        <v>118438</v>
      </c>
      <c r="V30" s="160">
        <f t="shared" si="7"/>
        <v>9.4368214368214298E-2</v>
      </c>
      <c r="W30" s="138">
        <v>53724</v>
      </c>
      <c r="X30" s="68">
        <v>58170</v>
      </c>
      <c r="Y30" s="163">
        <v>51979</v>
      </c>
      <c r="Z30" s="160">
        <f t="shared" si="8"/>
        <v>-0.10642943097816748</v>
      </c>
      <c r="AA30" s="138">
        <v>42485</v>
      </c>
      <c r="AB30" s="68">
        <v>45803</v>
      </c>
      <c r="AC30" s="144">
        <v>42089</v>
      </c>
      <c r="AD30" s="160">
        <f t="shared" si="9"/>
        <v>-8.1086391721066353E-2</v>
      </c>
      <c r="AE30" s="149">
        <f t="shared" si="0"/>
        <v>588504</v>
      </c>
      <c r="AF30" s="75">
        <f t="shared" si="1"/>
        <v>626285</v>
      </c>
      <c r="AG30" s="150">
        <f t="shared" si="2"/>
        <v>615564</v>
      </c>
      <c r="AH30" s="140">
        <f t="shared" si="10"/>
        <v>-1.7118404560224176E-2</v>
      </c>
      <c r="AI30" s="127"/>
    </row>
    <row r="31" spans="1:37">
      <c r="A31" s="154">
        <v>45830</v>
      </c>
      <c r="B31" s="157">
        <v>25</v>
      </c>
      <c r="C31" s="138">
        <v>165916</v>
      </c>
      <c r="D31" s="68">
        <v>185341</v>
      </c>
      <c r="E31" s="69">
        <v>211064</v>
      </c>
      <c r="F31" s="160">
        <f t="shared" si="3"/>
        <v>0.13878742426122659</v>
      </c>
      <c r="G31" s="138">
        <v>59075</v>
      </c>
      <c r="H31" s="68">
        <v>67843</v>
      </c>
      <c r="I31" s="144">
        <v>65304</v>
      </c>
      <c r="J31" s="160">
        <f t="shared" si="4"/>
        <v>-3.7424642188582435E-2</v>
      </c>
      <c r="K31" s="138">
        <v>78349</v>
      </c>
      <c r="L31" s="68">
        <v>90005</v>
      </c>
      <c r="M31" s="196">
        <v>64916</v>
      </c>
      <c r="N31" s="160">
        <f t="shared" si="5"/>
        <v>-0.27875118048997283</v>
      </c>
      <c r="O31" s="138">
        <v>70088</v>
      </c>
      <c r="P31" s="68">
        <v>68994</v>
      </c>
      <c r="Q31" s="144">
        <v>51319</v>
      </c>
      <c r="R31" s="160">
        <f t="shared" si="6"/>
        <v>-0.25618169695915582</v>
      </c>
      <c r="S31" s="138">
        <v>109405</v>
      </c>
      <c r="T31" s="68">
        <v>105253</v>
      </c>
      <c r="U31" s="144">
        <v>118100</v>
      </c>
      <c r="V31" s="160">
        <f t="shared" si="7"/>
        <v>0.1220582786238873</v>
      </c>
      <c r="W31" s="138">
        <v>46241</v>
      </c>
      <c r="X31" s="68">
        <v>54278</v>
      </c>
      <c r="Y31" s="163">
        <v>53771</v>
      </c>
      <c r="Z31" s="160">
        <f t="shared" si="8"/>
        <v>-9.3408010612033854E-3</v>
      </c>
      <c r="AA31" s="138">
        <v>41967</v>
      </c>
      <c r="AB31" s="68">
        <v>41513</v>
      </c>
      <c r="AC31" s="144">
        <v>40063</v>
      </c>
      <c r="AD31" s="160">
        <f t="shared" si="9"/>
        <v>-3.4928817478862006E-2</v>
      </c>
      <c r="AE31" s="149">
        <f t="shared" si="0"/>
        <v>571041</v>
      </c>
      <c r="AF31" s="75">
        <f t="shared" si="1"/>
        <v>613227</v>
      </c>
      <c r="AG31" s="150">
        <f t="shared" si="2"/>
        <v>604537</v>
      </c>
      <c r="AH31" s="140">
        <f t="shared" si="10"/>
        <v>-1.4170935069721335E-2</v>
      </c>
      <c r="AI31" s="127"/>
    </row>
    <row r="32" spans="1:37">
      <c r="A32" s="154">
        <v>45837</v>
      </c>
      <c r="B32" s="157">
        <v>26</v>
      </c>
      <c r="C32" s="138">
        <v>161999</v>
      </c>
      <c r="D32" s="68">
        <v>175138</v>
      </c>
      <c r="E32" s="69">
        <v>211658</v>
      </c>
      <c r="F32" s="160">
        <f t="shared" si="3"/>
        <v>0.20852128036177175</v>
      </c>
      <c r="G32" s="138">
        <v>59291</v>
      </c>
      <c r="H32" s="68">
        <v>61416</v>
      </c>
      <c r="I32" s="144">
        <v>64056</v>
      </c>
      <c r="J32" s="160">
        <f t="shared" si="4"/>
        <v>4.2985541227041901E-2</v>
      </c>
      <c r="K32" s="138">
        <v>75522</v>
      </c>
      <c r="L32" s="68">
        <v>91638</v>
      </c>
      <c r="M32" s="196">
        <v>63654</v>
      </c>
      <c r="N32" s="160">
        <f t="shared" si="5"/>
        <v>-0.30537549924703722</v>
      </c>
      <c r="O32" s="138">
        <v>65860</v>
      </c>
      <c r="P32" s="68">
        <v>65836</v>
      </c>
      <c r="Q32" s="144">
        <v>51693</v>
      </c>
      <c r="R32" s="160">
        <f t="shared" si="6"/>
        <v>-0.21482167810924113</v>
      </c>
      <c r="S32" s="138">
        <v>116808</v>
      </c>
      <c r="T32" s="68">
        <v>111659</v>
      </c>
      <c r="U32" s="144">
        <v>125952</v>
      </c>
      <c r="V32" s="160">
        <f t="shared" si="7"/>
        <v>0.12800580338351586</v>
      </c>
      <c r="W32" s="138">
        <v>51153</v>
      </c>
      <c r="X32" s="68">
        <v>51694</v>
      </c>
      <c r="Y32" s="163">
        <v>54834</v>
      </c>
      <c r="Z32" s="160">
        <f t="shared" si="8"/>
        <v>6.0742059039733842E-2</v>
      </c>
      <c r="AA32" s="138">
        <v>45620</v>
      </c>
      <c r="AB32" s="68">
        <v>41708</v>
      </c>
      <c r="AC32" s="144">
        <v>38560</v>
      </c>
      <c r="AD32" s="160">
        <f t="shared" si="9"/>
        <v>-7.5477126690323249E-2</v>
      </c>
      <c r="AE32" s="149">
        <f t="shared" si="0"/>
        <v>576253</v>
      </c>
      <c r="AF32" s="75">
        <f t="shared" si="1"/>
        <v>599089</v>
      </c>
      <c r="AG32" s="150">
        <f t="shared" si="2"/>
        <v>610407</v>
      </c>
      <c r="AH32" s="140">
        <f t="shared" si="10"/>
        <v>1.8892017713561859E-2</v>
      </c>
      <c r="AI32" s="127"/>
    </row>
    <row r="33" spans="1:35">
      <c r="A33" s="154">
        <v>45844</v>
      </c>
      <c r="B33" s="157">
        <v>27</v>
      </c>
      <c r="C33" s="138">
        <v>164017</v>
      </c>
      <c r="D33" s="68">
        <v>184616</v>
      </c>
      <c r="E33" s="69">
        <v>216059</v>
      </c>
      <c r="F33" s="160">
        <f t="shared" si="3"/>
        <v>0.17031568228105898</v>
      </c>
      <c r="G33" s="138">
        <v>60436</v>
      </c>
      <c r="H33" s="68">
        <v>65288</v>
      </c>
      <c r="I33" s="144">
        <v>72735</v>
      </c>
      <c r="J33" s="160">
        <f t="shared" si="4"/>
        <v>0.11406384021565974</v>
      </c>
      <c r="K33" s="138">
        <v>77668</v>
      </c>
      <c r="L33" s="68">
        <v>92455</v>
      </c>
      <c r="M33" s="185">
        <v>72293</v>
      </c>
      <c r="N33" s="160">
        <f t="shared" si="5"/>
        <v>-0.21807365745497809</v>
      </c>
      <c r="O33" s="138">
        <v>65516</v>
      </c>
      <c r="P33" s="68">
        <v>86338</v>
      </c>
      <c r="Q33" s="144">
        <v>55673</v>
      </c>
      <c r="R33" s="160">
        <f t="shared" si="6"/>
        <v>-0.35517385160647685</v>
      </c>
      <c r="S33" s="138">
        <v>113291</v>
      </c>
      <c r="T33" s="68">
        <v>113609</v>
      </c>
      <c r="U33" s="144">
        <v>128100</v>
      </c>
      <c r="V33" s="160">
        <f t="shared" si="7"/>
        <v>0.12755151440466861</v>
      </c>
      <c r="W33" s="138">
        <v>50674</v>
      </c>
      <c r="X33" s="68">
        <v>56662</v>
      </c>
      <c r="Y33" s="163">
        <v>56802</v>
      </c>
      <c r="Z33" s="160">
        <f t="shared" si="8"/>
        <v>2.4707917122586132E-3</v>
      </c>
      <c r="AA33" s="138">
        <v>47492</v>
      </c>
      <c r="AB33" s="68">
        <v>43121</v>
      </c>
      <c r="AC33" s="144">
        <v>44555</v>
      </c>
      <c r="AD33" s="160">
        <f t="shared" si="9"/>
        <v>3.3255258458755543E-2</v>
      </c>
      <c r="AE33" s="149">
        <f t="shared" si="0"/>
        <v>579094</v>
      </c>
      <c r="AF33" s="75">
        <f t="shared" si="1"/>
        <v>642089</v>
      </c>
      <c r="AG33" s="150">
        <f t="shared" si="2"/>
        <v>646217</v>
      </c>
      <c r="AH33" s="140">
        <f t="shared" si="10"/>
        <v>6.4290152922725774E-3</v>
      </c>
      <c r="AI33" s="127"/>
    </row>
    <row r="34" spans="1:35">
      <c r="A34" s="154">
        <v>45851</v>
      </c>
      <c r="B34" s="157">
        <v>28</v>
      </c>
      <c r="C34" s="138">
        <v>172276</v>
      </c>
      <c r="D34" s="68">
        <v>178549</v>
      </c>
      <c r="E34" s="69">
        <v>193117</v>
      </c>
      <c r="F34" s="160">
        <f t="shared" si="3"/>
        <v>8.159104783560811E-2</v>
      </c>
      <c r="G34" s="138">
        <v>59402</v>
      </c>
      <c r="H34" s="68">
        <v>57681</v>
      </c>
      <c r="I34" s="144">
        <v>71163</v>
      </c>
      <c r="J34" s="160">
        <f t="shared" si="4"/>
        <v>0.23373381182711817</v>
      </c>
      <c r="K34" s="138">
        <v>84712</v>
      </c>
      <c r="L34" s="68">
        <v>85401</v>
      </c>
      <c r="M34" s="144">
        <v>76536</v>
      </c>
      <c r="N34" s="160">
        <f t="shared" si="5"/>
        <v>-0.10380440510064282</v>
      </c>
      <c r="O34" s="138">
        <v>67923</v>
      </c>
      <c r="P34" s="68">
        <v>95847</v>
      </c>
      <c r="Q34" s="144">
        <v>48897</v>
      </c>
      <c r="R34" s="160">
        <f t="shared" si="6"/>
        <v>-0.48984318758020595</v>
      </c>
      <c r="S34" s="138">
        <v>115322</v>
      </c>
      <c r="T34" s="68">
        <v>108256</v>
      </c>
      <c r="U34" s="144">
        <v>121009</v>
      </c>
      <c r="V34" s="160">
        <f t="shared" si="7"/>
        <v>0.11780409399940872</v>
      </c>
      <c r="W34" s="138">
        <v>49722</v>
      </c>
      <c r="X34" s="68">
        <v>52555</v>
      </c>
      <c r="Y34" s="163">
        <v>53318</v>
      </c>
      <c r="Z34" s="160">
        <f t="shared" si="8"/>
        <v>1.4518123870231214E-2</v>
      </c>
      <c r="AA34" s="138">
        <v>46171</v>
      </c>
      <c r="AB34" s="68">
        <v>41007</v>
      </c>
      <c r="AC34" s="144">
        <v>39692</v>
      </c>
      <c r="AD34" s="160">
        <f t="shared" si="9"/>
        <v>-3.2067695759260606E-2</v>
      </c>
      <c r="AE34" s="149">
        <f t="shared" si="0"/>
        <v>595528</v>
      </c>
      <c r="AF34" s="75">
        <f t="shared" si="1"/>
        <v>619296</v>
      </c>
      <c r="AG34" s="150">
        <f t="shared" si="2"/>
        <v>603732</v>
      </c>
      <c r="AH34" s="140">
        <f t="shared" si="10"/>
        <v>-2.5131762517439205E-2</v>
      </c>
      <c r="AI34" s="127"/>
    </row>
    <row r="35" spans="1:35">
      <c r="A35" s="154">
        <v>45858</v>
      </c>
      <c r="B35" s="157">
        <v>29</v>
      </c>
      <c r="C35" s="138">
        <v>165018</v>
      </c>
      <c r="D35" s="68">
        <v>170891</v>
      </c>
      <c r="E35" s="69">
        <v>181047</v>
      </c>
      <c r="F35" s="160">
        <f t="shared" si="3"/>
        <v>5.9429694951752765E-2</v>
      </c>
      <c r="G35" s="138">
        <v>67803</v>
      </c>
      <c r="H35" s="68">
        <v>55440</v>
      </c>
      <c r="I35" s="144">
        <v>64967</v>
      </c>
      <c r="J35" s="160">
        <f t="shared" si="4"/>
        <v>0.1718434343434343</v>
      </c>
      <c r="K35" s="138">
        <v>84063</v>
      </c>
      <c r="L35" s="68">
        <v>82263</v>
      </c>
      <c r="M35" s="144">
        <v>68214</v>
      </c>
      <c r="N35" s="160">
        <f t="shared" si="5"/>
        <v>-0.17078151781481343</v>
      </c>
      <c r="O35" s="138">
        <v>71524</v>
      </c>
      <c r="P35" s="68">
        <v>86807</v>
      </c>
      <c r="Q35" s="144">
        <v>56161</v>
      </c>
      <c r="R35" s="160">
        <f t="shared" si="6"/>
        <v>-0.35303604548020318</v>
      </c>
      <c r="S35" s="138">
        <v>114283</v>
      </c>
      <c r="T35" s="68">
        <v>114264</v>
      </c>
      <c r="U35" s="144">
        <v>124456</v>
      </c>
      <c r="V35" s="160">
        <f t="shared" si="7"/>
        <v>8.9196947420009831E-2</v>
      </c>
      <c r="W35" s="138">
        <v>54320</v>
      </c>
      <c r="X35" s="68">
        <v>48708</v>
      </c>
      <c r="Y35" s="163">
        <v>51537</v>
      </c>
      <c r="Z35" s="160">
        <f t="shared" si="8"/>
        <v>5.8080808080808177E-2</v>
      </c>
      <c r="AA35" s="138">
        <v>47865</v>
      </c>
      <c r="AB35" s="68">
        <v>44522</v>
      </c>
      <c r="AC35" s="144">
        <v>42994</v>
      </c>
      <c r="AD35" s="160">
        <f t="shared" si="9"/>
        <v>-3.4320111405597209E-2</v>
      </c>
      <c r="AE35" s="149">
        <f t="shared" si="0"/>
        <v>604876</v>
      </c>
      <c r="AF35" s="75">
        <f t="shared" si="1"/>
        <v>602895</v>
      </c>
      <c r="AG35" s="150">
        <f t="shared" si="2"/>
        <v>589376</v>
      </c>
      <c r="AH35" s="140">
        <f t="shared" si="10"/>
        <v>-2.2423473407475636E-2</v>
      </c>
      <c r="AI35" s="127"/>
    </row>
    <row r="36" spans="1:35">
      <c r="A36" s="154">
        <v>45865</v>
      </c>
      <c r="B36" s="157">
        <v>30</v>
      </c>
      <c r="C36" s="138">
        <v>173387</v>
      </c>
      <c r="D36" s="68">
        <v>173014</v>
      </c>
      <c r="E36" s="69">
        <v>181534</v>
      </c>
      <c r="F36" s="160">
        <f t="shared" si="3"/>
        <v>4.9244569803599703E-2</v>
      </c>
      <c r="G36" s="138">
        <v>68292</v>
      </c>
      <c r="H36" s="68">
        <v>59805</v>
      </c>
      <c r="I36" s="144">
        <v>64457</v>
      </c>
      <c r="J36" s="160">
        <f t="shared" si="4"/>
        <v>7.7786138282752271E-2</v>
      </c>
      <c r="K36" s="138">
        <v>86773</v>
      </c>
      <c r="L36" s="68">
        <v>84636</v>
      </c>
      <c r="M36" s="144">
        <v>66552</v>
      </c>
      <c r="N36" s="160">
        <f t="shared" si="5"/>
        <v>-0.21366794271941014</v>
      </c>
      <c r="O36" s="138">
        <v>68347</v>
      </c>
      <c r="P36" s="68">
        <v>64013</v>
      </c>
      <c r="Q36" s="144">
        <v>49443</v>
      </c>
      <c r="R36" s="160">
        <f t="shared" si="6"/>
        <v>-0.22761001671535475</v>
      </c>
      <c r="S36" s="138">
        <v>109576</v>
      </c>
      <c r="T36" s="68">
        <v>113644</v>
      </c>
      <c r="U36" s="144">
        <v>123079</v>
      </c>
      <c r="V36" s="160">
        <f t="shared" si="7"/>
        <v>8.3022420893315907E-2</v>
      </c>
      <c r="W36" s="138">
        <v>58195</v>
      </c>
      <c r="X36" s="68">
        <v>49854</v>
      </c>
      <c r="Y36" s="163">
        <v>51849</v>
      </c>
      <c r="Z36" s="160">
        <f t="shared" si="8"/>
        <v>4.0016849199663085E-2</v>
      </c>
      <c r="AA36" s="138">
        <v>42908</v>
      </c>
      <c r="AB36" s="68">
        <v>43347</v>
      </c>
      <c r="AC36" s="144">
        <v>38677</v>
      </c>
      <c r="AD36" s="160">
        <f t="shared" si="9"/>
        <v>-0.10773525272798579</v>
      </c>
      <c r="AE36" s="149">
        <f t="shared" si="0"/>
        <v>607478</v>
      </c>
      <c r="AF36" s="75">
        <f t="shared" si="1"/>
        <v>588313</v>
      </c>
      <c r="AG36" s="150">
        <f t="shared" si="2"/>
        <v>575591</v>
      </c>
      <c r="AH36" s="140">
        <f t="shared" si="10"/>
        <v>-2.1624543397817164E-2</v>
      </c>
      <c r="AI36" s="127"/>
    </row>
    <row r="37" spans="1:35">
      <c r="A37" s="154">
        <v>45872</v>
      </c>
      <c r="B37" s="157">
        <v>31</v>
      </c>
      <c r="C37" s="138">
        <v>165369</v>
      </c>
      <c r="D37" s="68">
        <v>171814</v>
      </c>
      <c r="E37" s="69">
        <v>185966</v>
      </c>
      <c r="F37" s="160">
        <f t="shared" si="3"/>
        <v>8.2368142293410385E-2</v>
      </c>
      <c r="G37" s="138">
        <v>62636</v>
      </c>
      <c r="H37" s="68">
        <v>62008</v>
      </c>
      <c r="I37" s="144">
        <v>64482</v>
      </c>
      <c r="J37" s="160">
        <f t="shared" si="4"/>
        <v>3.9898077667397835E-2</v>
      </c>
      <c r="K37" s="138">
        <v>85731</v>
      </c>
      <c r="L37" s="68">
        <v>84604</v>
      </c>
      <c r="M37" s="144">
        <v>66787</v>
      </c>
      <c r="N37" s="160">
        <f t="shared" si="5"/>
        <v>-0.2105928797692781</v>
      </c>
      <c r="O37" s="138">
        <v>68276</v>
      </c>
      <c r="P37" s="68">
        <v>63023</v>
      </c>
      <c r="Q37" s="144">
        <v>52307</v>
      </c>
      <c r="R37" s="160">
        <f t="shared" si="6"/>
        <v>-0.17003316249623157</v>
      </c>
      <c r="S37" s="138">
        <v>104315</v>
      </c>
      <c r="T37" s="68">
        <v>90549</v>
      </c>
      <c r="U37" s="144">
        <v>124208</v>
      </c>
      <c r="V37" s="160">
        <f t="shared" si="7"/>
        <v>0.37172138841952984</v>
      </c>
      <c r="W37" s="138">
        <v>41545</v>
      </c>
      <c r="X37" s="68">
        <v>50221</v>
      </c>
      <c r="Y37" s="163">
        <v>53388</v>
      </c>
      <c r="Z37" s="160">
        <f t="shared" si="8"/>
        <v>6.3061269190179514E-2</v>
      </c>
      <c r="AA37" s="138">
        <v>49029</v>
      </c>
      <c r="AB37" s="68">
        <v>43700</v>
      </c>
      <c r="AC37" s="144">
        <v>42609</v>
      </c>
      <c r="AD37" s="160">
        <f t="shared" si="9"/>
        <v>-2.4965675057208259E-2</v>
      </c>
      <c r="AE37" s="149">
        <f t="shared" si="0"/>
        <v>576901</v>
      </c>
      <c r="AF37" s="75">
        <f t="shared" si="1"/>
        <v>565919</v>
      </c>
      <c r="AG37" s="150">
        <f t="shared" si="2"/>
        <v>589747</v>
      </c>
      <c r="AH37" s="140">
        <f t="shared" si="10"/>
        <v>4.2104965551607254E-2</v>
      </c>
      <c r="AI37" s="127"/>
    </row>
    <row r="38" spans="1:35">
      <c r="A38" s="154">
        <v>45879</v>
      </c>
      <c r="B38" s="157">
        <v>32</v>
      </c>
      <c r="C38" s="138">
        <v>162568</v>
      </c>
      <c r="D38" s="68">
        <v>169181</v>
      </c>
      <c r="E38" s="69">
        <v>192287</v>
      </c>
      <c r="F38" s="160">
        <f t="shared" si="3"/>
        <v>0.13657562019375691</v>
      </c>
      <c r="G38" s="138">
        <v>58004</v>
      </c>
      <c r="H38" s="68">
        <v>61024</v>
      </c>
      <c r="I38" s="144">
        <v>65074</v>
      </c>
      <c r="J38" s="160">
        <f t="shared" si="4"/>
        <v>6.636733088620872E-2</v>
      </c>
      <c r="K38" s="138">
        <v>74570</v>
      </c>
      <c r="L38" s="68">
        <v>77289</v>
      </c>
      <c r="M38" s="144">
        <v>65419</v>
      </c>
      <c r="N38" s="160">
        <f t="shared" si="5"/>
        <v>-0.15357942268628133</v>
      </c>
      <c r="O38" s="138">
        <v>68667</v>
      </c>
      <c r="P38" s="68">
        <v>58730</v>
      </c>
      <c r="Q38" s="144">
        <v>53781</v>
      </c>
      <c r="R38" s="160">
        <f t="shared" si="6"/>
        <v>-8.4266984505363518E-2</v>
      </c>
      <c r="S38" s="138">
        <v>105717</v>
      </c>
      <c r="T38" s="68">
        <v>97591</v>
      </c>
      <c r="U38" s="144">
        <v>120130</v>
      </c>
      <c r="V38" s="160">
        <f t="shared" si="7"/>
        <v>0.23095367400682432</v>
      </c>
      <c r="W38" s="138">
        <v>45059</v>
      </c>
      <c r="X38" s="68">
        <v>46336</v>
      </c>
      <c r="Y38" s="163">
        <v>54113</v>
      </c>
      <c r="Z38" s="160">
        <f t="shared" si="8"/>
        <v>0.16783926104972369</v>
      </c>
      <c r="AA38" s="138">
        <v>49132</v>
      </c>
      <c r="AB38" s="68">
        <v>45599</v>
      </c>
      <c r="AC38" s="144">
        <v>39405</v>
      </c>
      <c r="AD38" s="160">
        <f t="shared" si="9"/>
        <v>-0.13583631219982895</v>
      </c>
      <c r="AE38" s="149">
        <f t="shared" si="0"/>
        <v>563717</v>
      </c>
      <c r="AF38" s="75">
        <f t="shared" si="1"/>
        <v>555750</v>
      </c>
      <c r="AG38" s="150">
        <f t="shared" si="2"/>
        <v>590209</v>
      </c>
      <c r="AH38" s="140">
        <f t="shared" si="10"/>
        <v>6.2004498425551002E-2</v>
      </c>
      <c r="AI38" s="127"/>
    </row>
    <row r="39" spans="1:35">
      <c r="A39" s="154">
        <v>45886</v>
      </c>
      <c r="B39" s="157">
        <v>33</v>
      </c>
      <c r="C39" s="138">
        <v>163754</v>
      </c>
      <c r="D39" s="68">
        <v>173875</v>
      </c>
      <c r="E39" s="69">
        <v>190068</v>
      </c>
      <c r="F39" s="160">
        <f t="shared" si="3"/>
        <v>9.3130122214234445E-2</v>
      </c>
      <c r="G39" s="138">
        <v>47257</v>
      </c>
      <c r="H39" s="68">
        <v>65049</v>
      </c>
      <c r="I39" s="144">
        <v>62262</v>
      </c>
      <c r="J39" s="160">
        <f t="shared" si="4"/>
        <v>-4.2844624821288591E-2</v>
      </c>
      <c r="K39" s="138">
        <v>74099</v>
      </c>
      <c r="L39" s="68">
        <v>82889</v>
      </c>
      <c r="M39" s="144">
        <v>66001</v>
      </c>
      <c r="N39" s="160">
        <f t="shared" si="5"/>
        <v>-0.2037423542327691</v>
      </c>
      <c r="O39" s="138">
        <v>80514</v>
      </c>
      <c r="P39" s="68">
        <v>62517</v>
      </c>
      <c r="Q39" s="144">
        <v>56189</v>
      </c>
      <c r="R39" s="160">
        <f t="shared" si="6"/>
        <v>-0.10122046803269513</v>
      </c>
      <c r="S39" s="138">
        <v>106042</v>
      </c>
      <c r="T39" s="68">
        <v>108637</v>
      </c>
      <c r="U39" s="144">
        <v>123513</v>
      </c>
      <c r="V39" s="160">
        <f t="shared" si="7"/>
        <v>0.13693308909487567</v>
      </c>
      <c r="W39" s="138">
        <v>42905</v>
      </c>
      <c r="X39" s="68">
        <v>51768</v>
      </c>
      <c r="Y39" s="163">
        <v>52319</v>
      </c>
      <c r="Z39" s="160">
        <f t="shared" si="8"/>
        <v>1.0643640859218095E-2</v>
      </c>
      <c r="AA39" s="138">
        <v>45772</v>
      </c>
      <c r="AB39" s="68">
        <v>47644</v>
      </c>
      <c r="AC39" s="144">
        <v>40733</v>
      </c>
      <c r="AD39" s="160">
        <f t="shared" si="9"/>
        <v>-0.14505499118461929</v>
      </c>
      <c r="AE39" s="149">
        <f t="shared" ref="AE39:AE58" si="11">C39+G39+K39+O39+S39+W39+AA39</f>
        <v>560343</v>
      </c>
      <c r="AF39" s="75">
        <f t="shared" ref="AF39:AF58" si="12">D39+H39+L39+P39+T39+X39+AB39</f>
        <v>592379</v>
      </c>
      <c r="AG39" s="150">
        <f t="shared" ref="AG39:AG58" si="13">E39+I39+M39+Q39+U39+Y39+AC39</f>
        <v>591085</v>
      </c>
      <c r="AH39" s="140">
        <f t="shared" si="10"/>
        <v>-2.1844123441242536E-3</v>
      </c>
      <c r="AI39" s="127"/>
    </row>
    <row r="40" spans="1:35">
      <c r="A40" s="154">
        <v>45893</v>
      </c>
      <c r="B40" s="157">
        <v>34</v>
      </c>
      <c r="C40" s="138">
        <v>182836</v>
      </c>
      <c r="D40" s="68">
        <v>182115</v>
      </c>
      <c r="E40" s="69">
        <v>188246</v>
      </c>
      <c r="F40" s="160">
        <f t="shared" si="3"/>
        <v>3.3665541004310517E-2</v>
      </c>
      <c r="G40" s="138">
        <v>59669</v>
      </c>
      <c r="H40" s="68">
        <v>60468</v>
      </c>
      <c r="I40" s="144">
        <v>57293</v>
      </c>
      <c r="J40" s="160">
        <f t="shared" si="4"/>
        <v>-5.2507111199312062E-2</v>
      </c>
      <c r="K40" s="138">
        <v>84853</v>
      </c>
      <c r="L40" s="68">
        <v>80855</v>
      </c>
      <c r="M40" s="144">
        <v>65600</v>
      </c>
      <c r="N40" s="160">
        <f t="shared" si="5"/>
        <v>-0.18867107785542014</v>
      </c>
      <c r="O40" s="138">
        <v>84343</v>
      </c>
      <c r="P40" s="68">
        <v>77405</v>
      </c>
      <c r="Q40" s="144">
        <v>57607</v>
      </c>
      <c r="R40" s="160">
        <f t="shared" si="6"/>
        <v>-0.25577159098249469</v>
      </c>
      <c r="S40" s="138">
        <v>105353</v>
      </c>
      <c r="T40" s="68">
        <v>122277</v>
      </c>
      <c r="U40" s="144">
        <v>121160</v>
      </c>
      <c r="V40" s="160">
        <f t="shared" si="7"/>
        <v>-9.1349967696295886E-3</v>
      </c>
      <c r="W40" s="138">
        <v>42196</v>
      </c>
      <c r="X40" s="68">
        <v>46468</v>
      </c>
      <c r="Y40" s="163">
        <v>49506</v>
      </c>
      <c r="Z40" s="160">
        <f t="shared" si="8"/>
        <v>6.5378324868726967E-2</v>
      </c>
      <c r="AA40" s="138">
        <v>49565</v>
      </c>
      <c r="AB40" s="68">
        <v>47577</v>
      </c>
      <c r="AC40" s="144">
        <v>39987</v>
      </c>
      <c r="AD40" s="160">
        <f t="shared" si="9"/>
        <v>-0.15953086575446118</v>
      </c>
      <c r="AE40" s="149">
        <f t="shared" si="11"/>
        <v>608815</v>
      </c>
      <c r="AF40" s="75">
        <f t="shared" si="12"/>
        <v>617165</v>
      </c>
      <c r="AG40" s="150">
        <f t="shared" si="13"/>
        <v>579399</v>
      </c>
      <c r="AH40" s="140">
        <f t="shared" si="10"/>
        <v>-6.1192711835570734E-2</v>
      </c>
      <c r="AI40" s="127"/>
    </row>
    <row r="41" spans="1:35">
      <c r="A41" s="154">
        <v>45900</v>
      </c>
      <c r="B41" s="157">
        <v>35</v>
      </c>
      <c r="C41" s="138">
        <v>169082</v>
      </c>
      <c r="D41" s="68">
        <v>176071</v>
      </c>
      <c r="E41" s="69">
        <v>214526</v>
      </c>
      <c r="F41" s="160">
        <f t="shared" si="3"/>
        <v>0.21840621113073699</v>
      </c>
      <c r="G41" s="138">
        <v>50370</v>
      </c>
      <c r="H41" s="68">
        <v>53091</v>
      </c>
      <c r="I41" s="144">
        <v>57341</v>
      </c>
      <c r="J41" s="160">
        <f t="shared" si="4"/>
        <v>8.005123278898485E-2</v>
      </c>
      <c r="K41" s="138">
        <v>75806</v>
      </c>
      <c r="L41" s="68">
        <v>74376</v>
      </c>
      <c r="M41" s="144">
        <v>72693</v>
      </c>
      <c r="N41" s="160">
        <f t="shared" si="5"/>
        <v>-2.2628267182962292E-2</v>
      </c>
      <c r="O41" s="138">
        <v>75990</v>
      </c>
      <c r="P41" s="68">
        <v>61725</v>
      </c>
      <c r="Q41" s="144">
        <v>65518</v>
      </c>
      <c r="R41" s="160">
        <f t="shared" si="6"/>
        <v>6.1449979748886108E-2</v>
      </c>
      <c r="S41" s="138">
        <v>104261</v>
      </c>
      <c r="T41" s="68">
        <v>100741</v>
      </c>
      <c r="U41" s="144">
        <v>117120</v>
      </c>
      <c r="V41" s="160">
        <f t="shared" si="7"/>
        <v>0.16258524334680025</v>
      </c>
      <c r="W41" s="138">
        <v>44759</v>
      </c>
      <c r="X41" s="68">
        <v>44196</v>
      </c>
      <c r="Y41" s="163">
        <v>47183</v>
      </c>
      <c r="Z41" s="160">
        <f t="shared" si="8"/>
        <v>6.7585301837270295E-2</v>
      </c>
      <c r="AA41" s="138">
        <v>44177</v>
      </c>
      <c r="AB41" s="68">
        <v>43277</v>
      </c>
      <c r="AC41" s="144">
        <v>41360</v>
      </c>
      <c r="AD41" s="160">
        <f t="shared" si="9"/>
        <v>-4.4296046398779931E-2</v>
      </c>
      <c r="AE41" s="149">
        <f t="shared" si="11"/>
        <v>564445</v>
      </c>
      <c r="AF41" s="75">
        <f t="shared" si="12"/>
        <v>553477</v>
      </c>
      <c r="AG41" s="150">
        <f t="shared" si="13"/>
        <v>615741</v>
      </c>
      <c r="AH41" s="140">
        <f t="shared" si="10"/>
        <v>0.11249609288190832</v>
      </c>
      <c r="AI41" s="127"/>
    </row>
    <row r="42" spans="1:35">
      <c r="A42" s="154">
        <v>45907</v>
      </c>
      <c r="B42" s="157">
        <v>36</v>
      </c>
      <c r="C42" s="138">
        <v>189122</v>
      </c>
      <c r="D42" s="68">
        <v>168326</v>
      </c>
      <c r="E42" s="69">
        <v>200890</v>
      </c>
      <c r="F42" s="160">
        <f t="shared" si="3"/>
        <v>0.19345793282083568</v>
      </c>
      <c r="G42" s="138">
        <v>60130</v>
      </c>
      <c r="H42" s="68">
        <v>56208</v>
      </c>
      <c r="I42" s="144">
        <v>56794</v>
      </c>
      <c r="J42" s="160">
        <f t="shared" si="4"/>
        <v>1.0425562197551974E-2</v>
      </c>
      <c r="K42" s="138">
        <v>86797</v>
      </c>
      <c r="L42" s="68">
        <v>70738</v>
      </c>
      <c r="M42" s="144">
        <v>67200</v>
      </c>
      <c r="N42" s="160">
        <f t="shared" si="5"/>
        <v>-5.0015550340693826E-2</v>
      </c>
      <c r="O42" s="138">
        <v>77957</v>
      </c>
      <c r="P42" s="68">
        <v>62074</v>
      </c>
      <c r="Q42" s="144">
        <v>57285</v>
      </c>
      <c r="R42" s="160">
        <f t="shared" si="6"/>
        <v>-7.7149853400779733E-2</v>
      </c>
      <c r="S42" s="138">
        <v>120020</v>
      </c>
      <c r="T42" s="68">
        <v>114877</v>
      </c>
      <c r="U42" s="144">
        <v>113937</v>
      </c>
      <c r="V42" s="160">
        <f t="shared" si="7"/>
        <v>-8.1826649372807037E-3</v>
      </c>
      <c r="W42" s="138">
        <v>52697</v>
      </c>
      <c r="X42" s="68">
        <v>46963</v>
      </c>
      <c r="Y42" s="163">
        <v>51213</v>
      </c>
      <c r="Z42" s="160">
        <f t="shared" si="8"/>
        <v>9.0496774056171958E-2</v>
      </c>
      <c r="AA42" s="138">
        <v>53221</v>
      </c>
      <c r="AB42" s="68">
        <v>44087</v>
      </c>
      <c r="AC42" s="144">
        <v>38079</v>
      </c>
      <c r="AD42" s="160">
        <f t="shared" si="9"/>
        <v>-0.1362759997278109</v>
      </c>
      <c r="AE42" s="149">
        <f t="shared" si="11"/>
        <v>639944</v>
      </c>
      <c r="AF42" s="75">
        <f t="shared" si="12"/>
        <v>563273</v>
      </c>
      <c r="AG42" s="150">
        <f t="shared" si="13"/>
        <v>585398</v>
      </c>
      <c r="AH42" s="140">
        <f t="shared" si="10"/>
        <v>3.9279354771132313E-2</v>
      </c>
      <c r="AI42" s="127"/>
    </row>
    <row r="43" spans="1:35">
      <c r="A43" s="154">
        <v>45914</v>
      </c>
      <c r="B43" s="157">
        <v>37</v>
      </c>
      <c r="C43" s="138">
        <v>163013</v>
      </c>
      <c r="D43" s="68">
        <v>157476</v>
      </c>
      <c r="E43" s="69">
        <v>179180</v>
      </c>
      <c r="F43" s="160">
        <f t="shared" si="3"/>
        <v>0.13782417638243283</v>
      </c>
      <c r="G43" s="138">
        <v>47970</v>
      </c>
      <c r="H43" s="68">
        <v>50079</v>
      </c>
      <c r="I43" s="144">
        <v>58396</v>
      </c>
      <c r="J43" s="160">
        <f t="shared" si="4"/>
        <v>0.16607759739611416</v>
      </c>
      <c r="K43" s="138">
        <v>66743</v>
      </c>
      <c r="L43" s="68">
        <v>67099</v>
      </c>
      <c r="M43" s="144">
        <v>62167</v>
      </c>
      <c r="N43" s="160">
        <f t="shared" si="5"/>
        <v>-7.3503330899119201E-2</v>
      </c>
      <c r="O43" s="139">
        <v>63902</v>
      </c>
      <c r="P43" s="126">
        <v>42639</v>
      </c>
      <c r="Q43" s="144">
        <v>54928</v>
      </c>
      <c r="R43" s="160">
        <f t="shared" si="6"/>
        <v>0.28821032388189227</v>
      </c>
      <c r="S43" s="139">
        <v>100765</v>
      </c>
      <c r="T43" s="126">
        <v>44936</v>
      </c>
      <c r="U43" s="144">
        <v>114891</v>
      </c>
      <c r="V43" s="160">
        <f t="shared" si="7"/>
        <v>1.5567696279152572</v>
      </c>
      <c r="W43" s="138">
        <v>42948</v>
      </c>
      <c r="X43" s="68">
        <v>42177</v>
      </c>
      <c r="Y43" s="163">
        <v>49440</v>
      </c>
      <c r="Z43" s="160">
        <f t="shared" si="8"/>
        <v>0.17220285937833424</v>
      </c>
      <c r="AA43" s="138">
        <v>46191</v>
      </c>
      <c r="AB43" s="68">
        <v>40207</v>
      </c>
      <c r="AC43" s="144">
        <v>37270</v>
      </c>
      <c r="AD43" s="160">
        <f t="shared" si="9"/>
        <v>-7.3046981868828853E-2</v>
      </c>
      <c r="AE43" s="149">
        <f t="shared" si="11"/>
        <v>531532</v>
      </c>
      <c r="AF43" s="75">
        <f t="shared" si="12"/>
        <v>444613</v>
      </c>
      <c r="AG43" s="150">
        <f t="shared" si="13"/>
        <v>556272</v>
      </c>
      <c r="AH43" s="140">
        <f t="shared" si="10"/>
        <v>0.2511375061008112</v>
      </c>
      <c r="AI43" s="197">
        <f>AG43-AF43</f>
        <v>111659</v>
      </c>
    </row>
    <row r="44" spans="1:35">
      <c r="A44" s="154">
        <v>45921</v>
      </c>
      <c r="B44" s="157">
        <v>38</v>
      </c>
      <c r="C44" s="138">
        <v>157574</v>
      </c>
      <c r="D44" s="68">
        <v>168411</v>
      </c>
      <c r="E44" s="69">
        <v>178638</v>
      </c>
      <c r="F44" s="160">
        <f t="shared" si="3"/>
        <v>6.0726437109214881E-2</v>
      </c>
      <c r="G44" s="138">
        <v>47537</v>
      </c>
      <c r="H44" s="68">
        <v>52640</v>
      </c>
      <c r="I44" s="144">
        <v>57010</v>
      </c>
      <c r="J44" s="160">
        <f t="shared" si="4"/>
        <v>8.3016717325227862E-2</v>
      </c>
      <c r="K44" s="138">
        <v>71733</v>
      </c>
      <c r="L44" s="68">
        <v>68350</v>
      </c>
      <c r="M44" s="144">
        <v>61359</v>
      </c>
      <c r="N44" s="160">
        <f t="shared" si="5"/>
        <v>-0.10228237015362107</v>
      </c>
      <c r="O44" s="138">
        <v>60716</v>
      </c>
      <c r="P44" s="68">
        <v>52768</v>
      </c>
      <c r="Q44" s="144">
        <v>55677</v>
      </c>
      <c r="R44" s="160">
        <f t="shared" si="6"/>
        <v>5.5128107944208526E-2</v>
      </c>
      <c r="S44" s="138">
        <v>100953</v>
      </c>
      <c r="T44" s="68">
        <v>72932</v>
      </c>
      <c r="U44" s="144">
        <v>117198</v>
      </c>
      <c r="V44" s="160">
        <f t="shared" si="7"/>
        <v>0.60694893873745404</v>
      </c>
      <c r="W44" s="138">
        <v>42739</v>
      </c>
      <c r="X44" s="68">
        <v>45766</v>
      </c>
      <c r="Y44" s="163">
        <v>48185</v>
      </c>
      <c r="Z44" s="160">
        <f t="shared" si="8"/>
        <v>5.2855831840230794E-2</v>
      </c>
      <c r="AA44" s="138">
        <v>42223</v>
      </c>
      <c r="AB44" s="68">
        <v>41087</v>
      </c>
      <c r="AC44" s="144">
        <v>37226</v>
      </c>
      <c r="AD44" s="160">
        <f t="shared" si="9"/>
        <v>-9.3971329130868697E-2</v>
      </c>
      <c r="AE44" s="149">
        <f t="shared" si="11"/>
        <v>523475</v>
      </c>
      <c r="AF44" s="75">
        <f t="shared" si="12"/>
        <v>501954</v>
      </c>
      <c r="AG44" s="150">
        <f t="shared" si="13"/>
        <v>555293</v>
      </c>
      <c r="AH44" s="140">
        <f t="shared" si="10"/>
        <v>0.1062627252696462</v>
      </c>
      <c r="AI44" s="127"/>
    </row>
    <row r="45" spans="1:35">
      <c r="A45" s="154">
        <v>45928</v>
      </c>
      <c r="B45" s="157">
        <v>39</v>
      </c>
      <c r="C45" s="138">
        <v>167967</v>
      </c>
      <c r="D45" s="68">
        <v>158941</v>
      </c>
      <c r="E45" s="69">
        <v>170638</v>
      </c>
      <c r="F45" s="160">
        <f t="shared" si="3"/>
        <v>7.359334595856315E-2</v>
      </c>
      <c r="G45" s="138">
        <v>48645</v>
      </c>
      <c r="H45" s="68">
        <v>49944</v>
      </c>
      <c r="I45" s="144">
        <v>49400</v>
      </c>
      <c r="J45" s="160">
        <f t="shared" si="4"/>
        <v>-1.0892199263174751E-2</v>
      </c>
      <c r="K45" s="138">
        <v>67797</v>
      </c>
      <c r="L45" s="68">
        <v>65278</v>
      </c>
      <c r="M45" s="144">
        <v>60772</v>
      </c>
      <c r="N45" s="160">
        <f t="shared" si="5"/>
        <v>-6.902785011795709E-2</v>
      </c>
      <c r="O45" s="138">
        <v>62503</v>
      </c>
      <c r="P45" s="68">
        <v>49018</v>
      </c>
      <c r="Q45" s="144">
        <v>46590</v>
      </c>
      <c r="R45" s="160">
        <f t="shared" si="6"/>
        <v>-4.9532824676649434E-2</v>
      </c>
      <c r="S45" s="138">
        <v>103748</v>
      </c>
      <c r="T45" s="68">
        <v>82249</v>
      </c>
      <c r="U45" s="144">
        <v>112432</v>
      </c>
      <c r="V45" s="160">
        <f t="shared" si="7"/>
        <v>0.36697102700336792</v>
      </c>
      <c r="W45" s="138">
        <v>49144</v>
      </c>
      <c r="X45" s="68">
        <v>46302</v>
      </c>
      <c r="Y45" s="163">
        <v>47722</v>
      </c>
      <c r="Z45" s="160">
        <f t="shared" si="8"/>
        <v>3.0668221675089535E-2</v>
      </c>
      <c r="AA45" s="138">
        <v>45708</v>
      </c>
      <c r="AB45" s="68">
        <v>42261</v>
      </c>
      <c r="AC45" s="144">
        <v>36779</v>
      </c>
      <c r="AD45" s="160">
        <f t="shared" si="9"/>
        <v>-0.12971770663259274</v>
      </c>
      <c r="AE45" s="149">
        <f t="shared" si="11"/>
        <v>545512</v>
      </c>
      <c r="AF45" s="75">
        <f t="shared" si="12"/>
        <v>493993</v>
      </c>
      <c r="AG45" s="150">
        <f t="shared" si="13"/>
        <v>524333</v>
      </c>
      <c r="AH45" s="140">
        <f t="shared" si="10"/>
        <v>6.1417874342349021E-2</v>
      </c>
      <c r="AI45" s="127"/>
    </row>
    <row r="46" spans="1:35">
      <c r="A46" s="154">
        <v>45935</v>
      </c>
      <c r="B46" s="157">
        <v>40</v>
      </c>
      <c r="C46" s="138">
        <v>197235</v>
      </c>
      <c r="D46" s="68">
        <v>173757</v>
      </c>
      <c r="E46" s="69">
        <v>182402</v>
      </c>
      <c r="F46" s="160">
        <f t="shared" si="3"/>
        <v>4.9753391230281441E-2</v>
      </c>
      <c r="G46" s="138">
        <v>44904</v>
      </c>
      <c r="H46" s="68">
        <v>50858</v>
      </c>
      <c r="I46" s="144">
        <v>48369</v>
      </c>
      <c r="J46" s="160">
        <f t="shared" si="4"/>
        <v>-4.8940186401352781E-2</v>
      </c>
      <c r="K46" s="138">
        <v>73403</v>
      </c>
      <c r="L46" s="68">
        <v>74183</v>
      </c>
      <c r="M46" s="144">
        <v>60503</v>
      </c>
      <c r="N46" s="160">
        <f t="shared" si="5"/>
        <v>-0.18440882682016091</v>
      </c>
      <c r="O46" s="138">
        <v>57801</v>
      </c>
      <c r="P46" s="68">
        <v>56048</v>
      </c>
      <c r="Q46" s="144">
        <v>52547</v>
      </c>
      <c r="R46" s="160">
        <f t="shared" si="6"/>
        <v>-6.2464316300314016E-2</v>
      </c>
      <c r="S46" s="138">
        <v>102118</v>
      </c>
      <c r="T46" s="68">
        <v>90010</v>
      </c>
      <c r="U46" s="144">
        <v>118607</v>
      </c>
      <c r="V46" s="160">
        <f t="shared" si="7"/>
        <v>0.31770914342850798</v>
      </c>
      <c r="W46" s="138">
        <v>42811</v>
      </c>
      <c r="X46" s="68">
        <v>49833</v>
      </c>
      <c r="Y46" s="163">
        <v>45010</v>
      </c>
      <c r="Z46" s="160">
        <f t="shared" si="8"/>
        <v>-9.6783256075291479E-2</v>
      </c>
      <c r="AA46" s="138">
        <v>43109</v>
      </c>
      <c r="AB46" s="68">
        <v>43738</v>
      </c>
      <c r="AC46" s="144">
        <v>39185</v>
      </c>
      <c r="AD46" s="160">
        <f t="shared" si="9"/>
        <v>-0.10409712378252323</v>
      </c>
      <c r="AE46" s="149">
        <f t="shared" si="11"/>
        <v>561381</v>
      </c>
      <c r="AF46" s="75">
        <f t="shared" si="12"/>
        <v>538427</v>
      </c>
      <c r="AG46" s="150">
        <f t="shared" si="13"/>
        <v>546623</v>
      </c>
      <c r="AH46" s="140">
        <f t="shared" si="10"/>
        <v>1.5222119247363164E-2</v>
      </c>
      <c r="AI46" s="127"/>
    </row>
    <row r="47" spans="1:35">
      <c r="A47" s="154">
        <v>45942</v>
      </c>
      <c r="B47" s="157">
        <v>41</v>
      </c>
      <c r="C47" s="138">
        <v>193345</v>
      </c>
      <c r="D47" s="68">
        <v>161646</v>
      </c>
      <c r="E47" s="69">
        <v>180359</v>
      </c>
      <c r="F47" s="160">
        <f t="shared" si="3"/>
        <v>0.11576531432884196</v>
      </c>
      <c r="G47" s="138">
        <v>47601</v>
      </c>
      <c r="H47" s="68">
        <v>46577</v>
      </c>
      <c r="I47" s="144">
        <v>45955</v>
      </c>
      <c r="J47" s="160">
        <f t="shared" si="4"/>
        <v>-1.3354230628851105E-2</v>
      </c>
      <c r="K47" s="138">
        <v>71039</v>
      </c>
      <c r="L47" s="68">
        <v>69160</v>
      </c>
      <c r="M47" s="144">
        <v>58783</v>
      </c>
      <c r="N47" s="160">
        <f t="shared" si="5"/>
        <v>-0.15004337767495657</v>
      </c>
      <c r="O47" s="138">
        <v>58586</v>
      </c>
      <c r="P47" s="68">
        <v>48903</v>
      </c>
      <c r="Q47" s="144">
        <v>46681</v>
      </c>
      <c r="R47" s="160">
        <f t="shared" si="6"/>
        <v>-4.5436885262662874E-2</v>
      </c>
      <c r="S47" s="138">
        <v>103131</v>
      </c>
      <c r="T47" s="68">
        <v>95284</v>
      </c>
      <c r="U47" s="144">
        <v>112048</v>
      </c>
      <c r="V47" s="160">
        <f t="shared" si="7"/>
        <v>0.17593719827043364</v>
      </c>
      <c r="W47" s="138">
        <v>44239</v>
      </c>
      <c r="X47" s="68">
        <v>44995</v>
      </c>
      <c r="Y47" s="163">
        <v>46176</v>
      </c>
      <c r="Z47" s="160">
        <f t="shared" si="8"/>
        <v>2.6247360817868604E-2</v>
      </c>
      <c r="AA47" s="138">
        <v>45189</v>
      </c>
      <c r="AB47" s="68">
        <v>37232</v>
      </c>
      <c r="AC47" s="144">
        <v>35591</v>
      </c>
      <c r="AD47" s="160">
        <f t="shared" si="9"/>
        <v>-4.407498925655351E-2</v>
      </c>
      <c r="AE47" s="149">
        <f t="shared" si="11"/>
        <v>563130</v>
      </c>
      <c r="AF47" s="75">
        <f t="shared" si="12"/>
        <v>503797</v>
      </c>
      <c r="AG47" s="150">
        <f t="shared" si="13"/>
        <v>525593</v>
      </c>
      <c r="AH47" s="140">
        <f t="shared" si="10"/>
        <v>4.3263457305224184E-2</v>
      </c>
      <c r="AI47" s="127"/>
    </row>
    <row r="48" spans="1:35">
      <c r="A48" s="154">
        <v>45949</v>
      </c>
      <c r="B48" s="157">
        <v>42</v>
      </c>
      <c r="C48" s="138">
        <v>195152</v>
      </c>
      <c r="D48" s="68">
        <v>169554</v>
      </c>
      <c r="E48" s="69">
        <v>189613</v>
      </c>
      <c r="F48" s="160">
        <f t="shared" si="3"/>
        <v>0.11830449296389345</v>
      </c>
      <c r="G48" s="138">
        <v>52130</v>
      </c>
      <c r="H48" s="68">
        <v>48730</v>
      </c>
      <c r="I48" s="144">
        <v>49236</v>
      </c>
      <c r="J48" s="160">
        <f t="shared" si="4"/>
        <v>1.0383747178329461E-2</v>
      </c>
      <c r="K48" s="138">
        <v>68849</v>
      </c>
      <c r="L48" s="68">
        <v>72354</v>
      </c>
      <c r="M48" s="144">
        <v>59459</v>
      </c>
      <c r="N48" s="160">
        <f t="shared" si="5"/>
        <v>-0.17822096912402907</v>
      </c>
      <c r="O48" s="138">
        <v>57291</v>
      </c>
      <c r="P48" s="68">
        <v>54834</v>
      </c>
      <c r="Q48" s="144">
        <v>52661</v>
      </c>
      <c r="R48" s="160">
        <f t="shared" si="6"/>
        <v>-3.9628697523434342E-2</v>
      </c>
      <c r="S48" s="138">
        <v>90807</v>
      </c>
      <c r="T48" s="68">
        <v>102691</v>
      </c>
      <c r="U48" s="144">
        <v>117213</v>
      </c>
      <c r="V48" s="160">
        <f t="shared" si="7"/>
        <v>0.14141453486673616</v>
      </c>
      <c r="W48" s="138">
        <v>43676</v>
      </c>
      <c r="X48" s="68">
        <v>49849</v>
      </c>
      <c r="Y48" s="163">
        <v>48000</v>
      </c>
      <c r="Z48" s="160">
        <f t="shared" si="8"/>
        <v>-3.7092017894040041E-2</v>
      </c>
      <c r="AA48" s="138">
        <v>30610</v>
      </c>
      <c r="AB48" s="68">
        <v>40224</v>
      </c>
      <c r="AC48" s="144">
        <v>38408</v>
      </c>
      <c r="AD48" s="160">
        <f t="shared" si="9"/>
        <v>-4.5147175815433593E-2</v>
      </c>
      <c r="AE48" s="149">
        <f t="shared" si="11"/>
        <v>538515</v>
      </c>
      <c r="AF48" s="75">
        <f t="shared" si="12"/>
        <v>538236</v>
      </c>
      <c r="AG48" s="150">
        <f t="shared" si="13"/>
        <v>554590</v>
      </c>
      <c r="AH48" s="140">
        <f t="shared" si="10"/>
        <v>3.0384441025869791E-2</v>
      </c>
      <c r="AI48" s="127"/>
    </row>
    <row r="49" spans="1:35">
      <c r="A49" s="154">
        <v>45956</v>
      </c>
      <c r="B49" s="157">
        <v>43</v>
      </c>
      <c r="C49" s="138">
        <v>210918</v>
      </c>
      <c r="D49" s="68">
        <v>170319</v>
      </c>
      <c r="E49" s="69">
        <v>190311</v>
      </c>
      <c r="F49" s="160">
        <f t="shared" si="3"/>
        <v>0.1173797403695418</v>
      </c>
      <c r="G49" s="138">
        <v>53232</v>
      </c>
      <c r="H49" s="68">
        <v>48130</v>
      </c>
      <c r="I49" s="144">
        <v>50042</v>
      </c>
      <c r="J49" s="160">
        <f t="shared" si="4"/>
        <v>3.9725742779970874E-2</v>
      </c>
      <c r="K49" s="138">
        <v>80147</v>
      </c>
      <c r="L49" s="68">
        <v>71353</v>
      </c>
      <c r="M49" s="144">
        <v>61865</v>
      </c>
      <c r="N49" s="160">
        <f t="shared" si="5"/>
        <v>-0.13297268510083671</v>
      </c>
      <c r="O49" s="138">
        <v>61513</v>
      </c>
      <c r="P49" s="68">
        <v>53196</v>
      </c>
      <c r="Q49" s="144">
        <v>51419</v>
      </c>
      <c r="R49" s="160">
        <f t="shared" si="6"/>
        <v>-3.3404767275735048E-2</v>
      </c>
      <c r="S49" s="138">
        <v>97606</v>
      </c>
      <c r="T49" s="68">
        <v>102805</v>
      </c>
      <c r="U49" s="144">
        <v>111552</v>
      </c>
      <c r="V49" s="160">
        <f t="shared" si="7"/>
        <v>8.5083410339964027E-2</v>
      </c>
      <c r="W49" s="138">
        <v>47235</v>
      </c>
      <c r="X49" s="68">
        <v>45773</v>
      </c>
      <c r="Y49" s="163">
        <v>46829</v>
      </c>
      <c r="Z49" s="160">
        <f t="shared" si="8"/>
        <v>2.3070368994822177E-2</v>
      </c>
      <c r="AA49" s="138">
        <v>46670</v>
      </c>
      <c r="AB49" s="68">
        <v>43454</v>
      </c>
      <c r="AC49" s="144">
        <v>36106</v>
      </c>
      <c r="AD49" s="160">
        <f t="shared" si="9"/>
        <v>-0.16909835688314079</v>
      </c>
      <c r="AE49" s="149">
        <f t="shared" si="11"/>
        <v>597321</v>
      </c>
      <c r="AF49" s="75">
        <f t="shared" si="12"/>
        <v>535030</v>
      </c>
      <c r="AG49" s="150">
        <f t="shared" si="13"/>
        <v>548124</v>
      </c>
      <c r="AH49" s="140">
        <f t="shared" si="10"/>
        <v>2.4473394015288807E-2</v>
      </c>
      <c r="AI49" s="127"/>
    </row>
    <row r="50" spans="1:35">
      <c r="A50" s="154">
        <v>45963</v>
      </c>
      <c r="B50" s="157">
        <v>44</v>
      </c>
      <c r="C50" s="138">
        <v>192806</v>
      </c>
      <c r="D50" s="68">
        <v>183281</v>
      </c>
      <c r="E50" s="69">
        <v>201274</v>
      </c>
      <c r="F50" s="160">
        <f t="shared" si="3"/>
        <v>9.8171659910192499E-2</v>
      </c>
      <c r="G50" s="138">
        <v>49866</v>
      </c>
      <c r="H50" s="68">
        <v>51475</v>
      </c>
      <c r="I50" s="144">
        <v>49263</v>
      </c>
      <c r="J50" s="160">
        <f t="shared" si="4"/>
        <v>-4.2972316658572152E-2</v>
      </c>
      <c r="K50" s="138">
        <v>88212</v>
      </c>
      <c r="L50" s="68">
        <v>78604</v>
      </c>
      <c r="M50" s="144">
        <v>71021</v>
      </c>
      <c r="N50" s="160">
        <f t="shared" si="5"/>
        <v>-9.6470917510559251E-2</v>
      </c>
      <c r="O50" s="138">
        <v>66047</v>
      </c>
      <c r="P50" s="68">
        <v>62243</v>
      </c>
      <c r="Q50" s="144">
        <v>58045</v>
      </c>
      <c r="R50" s="160">
        <f t="shared" si="6"/>
        <v>-6.7445335218418112E-2</v>
      </c>
      <c r="S50" s="138">
        <v>103645</v>
      </c>
      <c r="T50" s="68">
        <v>115041</v>
      </c>
      <c r="U50" s="144">
        <v>114832</v>
      </c>
      <c r="V50" s="160">
        <f t="shared" si="7"/>
        <v>-1.8167435957615607E-3</v>
      </c>
      <c r="W50" s="138">
        <v>39701</v>
      </c>
      <c r="X50" s="68">
        <v>43840</v>
      </c>
      <c r="Y50" s="163">
        <v>46235</v>
      </c>
      <c r="Z50" s="160">
        <f t="shared" si="8"/>
        <v>5.4630474452554756E-2</v>
      </c>
      <c r="AA50" s="138">
        <v>47323</v>
      </c>
      <c r="AB50" s="68">
        <v>49922</v>
      </c>
      <c r="AC50" s="144">
        <v>41388</v>
      </c>
      <c r="AD50" s="160">
        <f t="shared" si="9"/>
        <v>-0.17094667681583275</v>
      </c>
      <c r="AE50" s="149">
        <f t="shared" si="11"/>
        <v>587600</v>
      </c>
      <c r="AF50" s="75">
        <f t="shared" si="12"/>
        <v>584406</v>
      </c>
      <c r="AG50" s="150">
        <f t="shared" si="13"/>
        <v>582058</v>
      </c>
      <c r="AH50" s="140">
        <f t="shared" si="10"/>
        <v>-4.017754780067273E-3</v>
      </c>
      <c r="AI50" s="127"/>
    </row>
    <row r="51" spans="1:35">
      <c r="A51" s="154">
        <v>45970</v>
      </c>
      <c r="B51" s="157">
        <v>45</v>
      </c>
      <c r="C51" s="138">
        <v>173630</v>
      </c>
      <c r="D51" s="68">
        <v>174393</v>
      </c>
      <c r="E51" s="69">
        <v>183740</v>
      </c>
      <c r="F51" s="160">
        <f t="shared" si="3"/>
        <v>5.3597334755408843E-2</v>
      </c>
      <c r="G51" s="138">
        <v>47146</v>
      </c>
      <c r="H51" s="68">
        <v>49876</v>
      </c>
      <c r="I51" s="144">
        <v>48249</v>
      </c>
      <c r="J51" s="160">
        <f t="shared" si="4"/>
        <v>-3.262089983158234E-2</v>
      </c>
      <c r="K51" s="138">
        <v>71287</v>
      </c>
      <c r="L51" s="68">
        <v>64388</v>
      </c>
      <c r="M51" s="144">
        <v>61805</v>
      </c>
      <c r="N51" s="160">
        <f t="shared" si="5"/>
        <v>-4.0116170715040034E-2</v>
      </c>
      <c r="O51" s="138">
        <v>56485</v>
      </c>
      <c r="P51" s="68">
        <v>55039</v>
      </c>
      <c r="Q51" s="144">
        <v>50807</v>
      </c>
      <c r="R51" s="160">
        <f t="shared" si="6"/>
        <v>-7.689093188466356E-2</v>
      </c>
      <c r="S51" s="138">
        <v>104347</v>
      </c>
      <c r="T51" s="68">
        <v>112326</v>
      </c>
      <c r="U51" s="144">
        <v>117772</v>
      </c>
      <c r="V51" s="160">
        <f t="shared" si="7"/>
        <v>4.8483877285757426E-2</v>
      </c>
      <c r="W51" s="138">
        <v>40881</v>
      </c>
      <c r="X51" s="68">
        <v>46779</v>
      </c>
      <c r="Y51" s="163">
        <v>53164</v>
      </c>
      <c r="Z51" s="160">
        <f t="shared" si="8"/>
        <v>0.13649287073259364</v>
      </c>
      <c r="AA51" s="138">
        <v>43793</v>
      </c>
      <c r="AB51" s="68">
        <v>41396</v>
      </c>
      <c r="AC51" s="144">
        <v>39194</v>
      </c>
      <c r="AD51" s="160">
        <f t="shared" si="9"/>
        <v>-5.3193545270074361E-2</v>
      </c>
      <c r="AE51" s="149">
        <f t="shared" si="11"/>
        <v>537569</v>
      </c>
      <c r="AF51" s="75">
        <f t="shared" si="12"/>
        <v>544197</v>
      </c>
      <c r="AG51" s="150">
        <f t="shared" si="13"/>
        <v>554731</v>
      </c>
      <c r="AH51" s="140">
        <f t="shared" si="10"/>
        <v>1.9356960806472756E-2</v>
      </c>
      <c r="AI51" s="127"/>
    </row>
    <row r="52" spans="1:35">
      <c r="A52" s="154">
        <v>45977</v>
      </c>
      <c r="B52" s="157">
        <v>46</v>
      </c>
      <c r="C52" s="138">
        <v>207892</v>
      </c>
      <c r="D52" s="68">
        <v>196518</v>
      </c>
      <c r="E52" s="69">
        <v>194207</v>
      </c>
      <c r="F52" s="160">
        <f t="shared" si="3"/>
        <v>-1.1759737021545091E-2</v>
      </c>
      <c r="G52" s="138">
        <v>50070</v>
      </c>
      <c r="H52" s="68">
        <v>56214</v>
      </c>
      <c r="I52" s="144">
        <v>55735</v>
      </c>
      <c r="J52" s="160">
        <f t="shared" si="4"/>
        <v>-8.5210090013163597E-3</v>
      </c>
      <c r="K52" s="138">
        <v>76015</v>
      </c>
      <c r="L52" s="68">
        <v>77369</v>
      </c>
      <c r="M52" s="144">
        <v>64918</v>
      </c>
      <c r="N52" s="160">
        <f t="shared" si="5"/>
        <v>-0.16093008827825095</v>
      </c>
      <c r="O52" s="138">
        <v>63098</v>
      </c>
      <c r="P52" s="68">
        <v>60246</v>
      </c>
      <c r="Q52" s="144">
        <v>52283</v>
      </c>
      <c r="R52" s="160">
        <f t="shared" si="6"/>
        <v>-0.13217475019088409</v>
      </c>
      <c r="S52" s="138">
        <v>119290</v>
      </c>
      <c r="T52" s="68">
        <v>132152</v>
      </c>
      <c r="U52" s="144">
        <v>140062</v>
      </c>
      <c r="V52" s="160">
        <f t="shared" si="7"/>
        <v>5.9855318118530176E-2</v>
      </c>
      <c r="W52" s="138">
        <v>41366</v>
      </c>
      <c r="X52" s="68">
        <v>49537</v>
      </c>
      <c r="Y52" s="163">
        <v>49487</v>
      </c>
      <c r="Z52" s="160">
        <f t="shared" si="8"/>
        <v>-1.0093465490441655E-3</v>
      </c>
      <c r="AA52" s="138">
        <v>47919</v>
      </c>
      <c r="AB52" s="68">
        <v>47660</v>
      </c>
      <c r="AC52" s="144">
        <v>45065</v>
      </c>
      <c r="AD52" s="160">
        <f t="shared" si="9"/>
        <v>-5.4448174569869945E-2</v>
      </c>
      <c r="AE52" s="149">
        <f t="shared" si="11"/>
        <v>605650</v>
      </c>
      <c r="AF52" s="75">
        <f t="shared" si="12"/>
        <v>619696</v>
      </c>
      <c r="AG52" s="150">
        <f t="shared" si="13"/>
        <v>601757</v>
      </c>
      <c r="AH52" s="140">
        <f t="shared" si="10"/>
        <v>-2.8948064857607592E-2</v>
      </c>
      <c r="AI52" s="127"/>
    </row>
    <row r="53" spans="1:35">
      <c r="A53" s="154">
        <v>45984</v>
      </c>
      <c r="B53" s="157">
        <v>47</v>
      </c>
      <c r="C53" s="138">
        <v>222335</v>
      </c>
      <c r="D53" s="68">
        <v>193734</v>
      </c>
      <c r="E53" s="69">
        <v>201347</v>
      </c>
      <c r="F53" s="160">
        <f t="shared" si="3"/>
        <v>3.9296148327087721E-2</v>
      </c>
      <c r="G53" s="138">
        <v>52649</v>
      </c>
      <c r="H53" s="68">
        <v>56634</v>
      </c>
      <c r="I53" s="144">
        <v>54326</v>
      </c>
      <c r="J53" s="160">
        <f t="shared" si="4"/>
        <v>-4.0752904615601881E-2</v>
      </c>
      <c r="K53" s="138">
        <v>77770</v>
      </c>
      <c r="L53" s="68">
        <v>72287</v>
      </c>
      <c r="M53" s="144">
        <v>71627</v>
      </c>
      <c r="N53" s="160">
        <f t="shared" si="5"/>
        <v>-9.1302723864595814E-3</v>
      </c>
      <c r="O53" s="138">
        <v>58896</v>
      </c>
      <c r="P53" s="68">
        <v>61290</v>
      </c>
      <c r="Q53" s="144">
        <v>54931</v>
      </c>
      <c r="R53" s="160">
        <f t="shared" si="6"/>
        <v>-0.10375265132974387</v>
      </c>
      <c r="S53" s="138">
        <v>115428</v>
      </c>
      <c r="T53" s="68">
        <v>129967</v>
      </c>
      <c r="U53" s="144">
        <v>133167</v>
      </c>
      <c r="V53" s="160">
        <f t="shared" si="7"/>
        <v>2.4621634722660435E-2</v>
      </c>
      <c r="W53" s="138">
        <v>41704</v>
      </c>
      <c r="X53" s="68">
        <v>49533</v>
      </c>
      <c r="Y53" s="163">
        <v>45586</v>
      </c>
      <c r="Z53" s="160">
        <f t="shared" si="8"/>
        <v>-7.9684250903438114E-2</v>
      </c>
      <c r="AA53" s="138">
        <v>45107</v>
      </c>
      <c r="AB53" s="68">
        <v>45116</v>
      </c>
      <c r="AC53" s="144">
        <v>42733</v>
      </c>
      <c r="AD53" s="160">
        <f t="shared" si="9"/>
        <v>-5.2819398882879676E-2</v>
      </c>
      <c r="AE53" s="149">
        <f t="shared" si="11"/>
        <v>613889</v>
      </c>
      <c r="AF53" s="75">
        <f t="shared" si="12"/>
        <v>608561</v>
      </c>
      <c r="AG53" s="150">
        <f t="shared" si="13"/>
        <v>603717</v>
      </c>
      <c r="AH53" s="140">
        <f t="shared" si="10"/>
        <v>-7.9597608128026964E-3</v>
      </c>
      <c r="AI53" s="127"/>
    </row>
    <row r="54" spans="1:35">
      <c r="A54" s="154">
        <v>45991</v>
      </c>
      <c r="B54" s="157">
        <v>48</v>
      </c>
      <c r="C54" s="138">
        <v>215847</v>
      </c>
      <c r="D54" s="68">
        <v>196959</v>
      </c>
      <c r="E54" s="69">
        <v>204510</v>
      </c>
      <c r="F54" s="160">
        <f t="shared" si="3"/>
        <v>3.8337928198254545E-2</v>
      </c>
      <c r="G54" s="138">
        <v>47859</v>
      </c>
      <c r="H54" s="68">
        <v>60891</v>
      </c>
      <c r="I54" s="144">
        <v>54241</v>
      </c>
      <c r="J54" s="160">
        <f t="shared" si="4"/>
        <v>-0.1092115419355898</v>
      </c>
      <c r="K54" s="138">
        <v>69910</v>
      </c>
      <c r="L54" s="68">
        <v>78604</v>
      </c>
      <c r="M54" s="144">
        <v>74608</v>
      </c>
      <c r="N54" s="160">
        <f t="shared" si="5"/>
        <v>-5.0837107526334524E-2</v>
      </c>
      <c r="O54" s="138">
        <v>61990</v>
      </c>
      <c r="P54" s="68">
        <v>58669</v>
      </c>
      <c r="Q54" s="144">
        <v>54536</v>
      </c>
      <c r="R54" s="160">
        <f t="shared" si="6"/>
        <v>-7.0446061804360083E-2</v>
      </c>
      <c r="S54" s="138">
        <v>119323</v>
      </c>
      <c r="T54" s="68">
        <v>114156</v>
      </c>
      <c r="U54" s="144">
        <v>128202</v>
      </c>
      <c r="V54" s="160">
        <f t="shared" si="7"/>
        <v>0.1230421528434773</v>
      </c>
      <c r="W54" s="138">
        <v>42658</v>
      </c>
      <c r="X54" s="68">
        <v>53970</v>
      </c>
      <c r="Y54" s="163">
        <v>43193</v>
      </c>
      <c r="Z54" s="160">
        <f t="shared" si="8"/>
        <v>-0.19968501019084672</v>
      </c>
      <c r="AA54" s="138">
        <v>48358</v>
      </c>
      <c r="AB54" s="68">
        <v>47379</v>
      </c>
      <c r="AC54" s="144">
        <v>44212</v>
      </c>
      <c r="AD54" s="160">
        <f t="shared" si="9"/>
        <v>-6.684396040439855E-2</v>
      </c>
      <c r="AE54" s="149">
        <f t="shared" si="11"/>
        <v>605945</v>
      </c>
      <c r="AF54" s="75">
        <f t="shared" si="12"/>
        <v>610628</v>
      </c>
      <c r="AG54" s="150">
        <f t="shared" si="13"/>
        <v>603502</v>
      </c>
      <c r="AH54" s="140">
        <f t="shared" si="10"/>
        <v>-1.1669952900947855E-2</v>
      </c>
      <c r="AI54" s="127"/>
    </row>
    <row r="55" spans="1:35">
      <c r="A55" s="154">
        <v>45998</v>
      </c>
      <c r="B55" s="157">
        <v>49</v>
      </c>
      <c r="C55" s="138">
        <v>272595</v>
      </c>
      <c r="D55" s="68">
        <v>210040</v>
      </c>
      <c r="E55" s="69">
        <v>224804</v>
      </c>
      <c r="F55" s="160">
        <f t="shared" si="3"/>
        <v>7.0291373071795782E-2</v>
      </c>
      <c r="G55" s="138">
        <v>53979</v>
      </c>
      <c r="H55" s="68">
        <v>57299</v>
      </c>
      <c r="I55" s="144">
        <v>59687</v>
      </c>
      <c r="J55" s="160">
        <f t="shared" si="4"/>
        <v>4.1676120002094308E-2</v>
      </c>
      <c r="K55" s="138">
        <v>78846</v>
      </c>
      <c r="L55" s="68">
        <v>76922</v>
      </c>
      <c r="M55" s="144">
        <v>75090</v>
      </c>
      <c r="N55" s="160">
        <f t="shared" si="5"/>
        <v>-2.3816333428667957E-2</v>
      </c>
      <c r="O55" s="138">
        <v>60969</v>
      </c>
      <c r="P55" s="68">
        <v>58880</v>
      </c>
      <c r="Q55" s="144">
        <v>58927</v>
      </c>
      <c r="R55" s="160">
        <f t="shared" si="6"/>
        <v>7.9823369565223956E-4</v>
      </c>
      <c r="S55" s="138">
        <v>132436</v>
      </c>
      <c r="T55" s="68">
        <v>131623</v>
      </c>
      <c r="U55" s="144">
        <v>140992</v>
      </c>
      <c r="V55" s="160">
        <f t="shared" si="7"/>
        <v>7.1180568745583983E-2</v>
      </c>
      <c r="W55" s="138">
        <v>43438</v>
      </c>
      <c r="X55" s="68">
        <v>47609</v>
      </c>
      <c r="Y55" s="163">
        <v>43735</v>
      </c>
      <c r="Z55" s="160">
        <f t="shared" si="8"/>
        <v>-8.1371169316725833E-2</v>
      </c>
      <c r="AA55" s="138">
        <v>53953</v>
      </c>
      <c r="AB55" s="68">
        <v>48118</v>
      </c>
      <c r="AC55" s="144">
        <v>45664</v>
      </c>
      <c r="AD55" s="160">
        <f t="shared" si="9"/>
        <v>-5.0999625919614267E-2</v>
      </c>
      <c r="AE55" s="149">
        <f t="shared" si="11"/>
        <v>696216</v>
      </c>
      <c r="AF55" s="75">
        <f t="shared" si="12"/>
        <v>630491</v>
      </c>
      <c r="AG55" s="150">
        <f t="shared" si="13"/>
        <v>648899</v>
      </c>
      <c r="AH55" s="140">
        <f t="shared" si="10"/>
        <v>2.919629304779936E-2</v>
      </c>
      <c r="AI55" s="127"/>
    </row>
    <row r="56" spans="1:35">
      <c r="A56" s="154">
        <v>46005</v>
      </c>
      <c r="B56" s="157">
        <v>50</v>
      </c>
      <c r="C56" s="138">
        <v>232435</v>
      </c>
      <c r="D56" s="68">
        <v>221306</v>
      </c>
      <c r="E56" s="69">
        <v>219657</v>
      </c>
      <c r="F56" s="160">
        <f t="shared" si="3"/>
        <v>-7.4512213857735876E-3</v>
      </c>
      <c r="G56" s="138">
        <v>58103</v>
      </c>
      <c r="H56" s="68">
        <v>59853</v>
      </c>
      <c r="I56" s="144">
        <v>62552</v>
      </c>
      <c r="J56" s="160">
        <f t="shared" si="4"/>
        <v>4.5093813175613562E-2</v>
      </c>
      <c r="K56" s="138">
        <v>82799</v>
      </c>
      <c r="L56" s="68">
        <v>81124</v>
      </c>
      <c r="M56" s="144">
        <v>79660</v>
      </c>
      <c r="N56" s="160">
        <f t="shared" si="5"/>
        <v>-1.8046447413835653E-2</v>
      </c>
      <c r="O56" s="138">
        <v>68896</v>
      </c>
      <c r="P56" s="68">
        <v>64611</v>
      </c>
      <c r="Q56" s="144">
        <v>58688</v>
      </c>
      <c r="R56" s="160">
        <f t="shared" si="6"/>
        <v>-9.1671696769899835E-2</v>
      </c>
      <c r="S56" s="138">
        <v>148506</v>
      </c>
      <c r="T56" s="68">
        <v>159738</v>
      </c>
      <c r="U56" s="144">
        <v>155658</v>
      </c>
      <c r="V56" s="160">
        <f t="shared" si="7"/>
        <v>-2.5541824738008478E-2</v>
      </c>
      <c r="W56" s="138">
        <v>45383</v>
      </c>
      <c r="X56" s="68">
        <v>51210</v>
      </c>
      <c r="Y56" s="163">
        <v>53566</v>
      </c>
      <c r="Z56" s="160">
        <f t="shared" si="8"/>
        <v>4.6006639328256105E-2</v>
      </c>
      <c r="AA56" s="138">
        <v>57556</v>
      </c>
      <c r="AB56" s="68">
        <v>52064</v>
      </c>
      <c r="AC56" s="144">
        <v>48327</v>
      </c>
      <c r="AD56" s="160">
        <f t="shared" si="9"/>
        <v>-7.1777043638598603E-2</v>
      </c>
      <c r="AE56" s="149">
        <f t="shared" si="11"/>
        <v>693678</v>
      </c>
      <c r="AF56" s="75">
        <f t="shared" si="12"/>
        <v>689906</v>
      </c>
      <c r="AG56" s="150">
        <f t="shared" si="13"/>
        <v>678108</v>
      </c>
      <c r="AH56" s="140">
        <f t="shared" si="10"/>
        <v>-1.7100880409794961E-2</v>
      </c>
      <c r="AI56" s="127"/>
    </row>
    <row r="57" spans="1:35">
      <c r="A57" s="154">
        <v>46012</v>
      </c>
      <c r="B57" s="157">
        <v>51</v>
      </c>
      <c r="C57" s="138">
        <v>246598</v>
      </c>
      <c r="D57" s="68">
        <v>244344</v>
      </c>
      <c r="E57" s="69">
        <v>228980</v>
      </c>
      <c r="F57" s="160">
        <f t="shared" si="3"/>
        <v>-6.2878564646563828E-2</v>
      </c>
      <c r="G57" s="138">
        <v>70847</v>
      </c>
      <c r="H57" s="68">
        <v>68731</v>
      </c>
      <c r="I57" s="144">
        <v>77512</v>
      </c>
      <c r="J57" s="160">
        <f t="shared" si="4"/>
        <v>0.12775894429005841</v>
      </c>
      <c r="K57" s="138">
        <v>92222</v>
      </c>
      <c r="L57" s="68">
        <v>90737</v>
      </c>
      <c r="M57" s="144">
        <v>90304</v>
      </c>
      <c r="N57" s="160">
        <f t="shared" si="5"/>
        <v>-4.7720334593385205E-3</v>
      </c>
      <c r="O57" s="138">
        <v>81161</v>
      </c>
      <c r="P57" s="68">
        <v>72902</v>
      </c>
      <c r="Q57" s="144">
        <v>68726</v>
      </c>
      <c r="R57" s="160">
        <f t="shared" si="6"/>
        <v>-5.7282379084250046E-2</v>
      </c>
      <c r="S57" s="138">
        <v>164275</v>
      </c>
      <c r="T57" s="68">
        <v>178335</v>
      </c>
      <c r="U57" s="144">
        <v>176767</v>
      </c>
      <c r="V57" s="160">
        <f t="shared" si="7"/>
        <v>-8.7924411921384005E-3</v>
      </c>
      <c r="W57" s="138">
        <v>43859</v>
      </c>
      <c r="X57" s="68">
        <v>59386</v>
      </c>
      <c r="Y57" s="163">
        <v>65828</v>
      </c>
      <c r="Z57" s="160">
        <f t="shared" si="8"/>
        <v>0.10847674536085949</v>
      </c>
      <c r="AA57" s="138">
        <v>64123</v>
      </c>
      <c r="AB57" s="68">
        <v>60838</v>
      </c>
      <c r="AC57" s="144">
        <v>53544</v>
      </c>
      <c r="AD57" s="160">
        <f t="shared" si="9"/>
        <v>-0.11989217265524832</v>
      </c>
      <c r="AE57" s="149">
        <f t="shared" si="11"/>
        <v>763085</v>
      </c>
      <c r="AF57" s="75">
        <f t="shared" si="12"/>
        <v>775273</v>
      </c>
      <c r="AG57" s="150">
        <f t="shared" si="13"/>
        <v>761661</v>
      </c>
      <c r="AH57" s="140">
        <f t="shared" si="10"/>
        <v>-1.7557686131208006E-2</v>
      </c>
      <c r="AI57" s="127"/>
    </row>
    <row r="58" spans="1:35">
      <c r="A58" s="155">
        <v>46019</v>
      </c>
      <c r="B58" s="158">
        <v>52</v>
      </c>
      <c r="C58" s="141">
        <v>191626</v>
      </c>
      <c r="D58" s="71">
        <v>224095</v>
      </c>
      <c r="E58" s="72">
        <v>224076</v>
      </c>
      <c r="F58" s="220">
        <f t="shared" si="3"/>
        <v>-8.4785470447767963E-5</v>
      </c>
      <c r="G58" s="141">
        <v>62324</v>
      </c>
      <c r="H58" s="71">
        <v>75224</v>
      </c>
      <c r="I58" s="145">
        <v>80802</v>
      </c>
      <c r="J58" s="220">
        <f t="shared" si="4"/>
        <v>7.4151866425608892E-2</v>
      </c>
      <c r="K58" s="141">
        <v>82273</v>
      </c>
      <c r="L58" s="71">
        <v>86164</v>
      </c>
      <c r="M58" s="145">
        <v>86362</v>
      </c>
      <c r="N58" s="220">
        <f t="shared" si="5"/>
        <v>2.2979434566641199E-3</v>
      </c>
      <c r="O58" s="141">
        <v>61581</v>
      </c>
      <c r="P58" s="71">
        <v>66398</v>
      </c>
      <c r="Q58" s="145">
        <v>64886</v>
      </c>
      <c r="R58" s="220">
        <f t="shared" si="6"/>
        <v>-2.2771770234043198E-2</v>
      </c>
      <c r="S58" s="141">
        <v>122318</v>
      </c>
      <c r="T58" s="71">
        <v>135170</v>
      </c>
      <c r="U58" s="145">
        <v>153338</v>
      </c>
      <c r="V58" s="220">
        <f t="shared" si="7"/>
        <v>0.13440852260116887</v>
      </c>
      <c r="W58" s="141">
        <v>38863</v>
      </c>
      <c r="X58" s="71">
        <v>52264</v>
      </c>
      <c r="Y58" s="164">
        <v>53697</v>
      </c>
      <c r="Z58" s="220">
        <f t="shared" si="8"/>
        <v>2.7418490739323342E-2</v>
      </c>
      <c r="AA58" s="141">
        <v>43720</v>
      </c>
      <c r="AB58" s="71">
        <v>48026</v>
      </c>
      <c r="AC58" s="145">
        <v>48753</v>
      </c>
      <c r="AD58" s="220">
        <f t="shared" si="9"/>
        <v>1.5137633781701521E-2</v>
      </c>
      <c r="AE58" s="151">
        <f t="shared" si="11"/>
        <v>602705</v>
      </c>
      <c r="AF58" s="76">
        <f t="shared" si="12"/>
        <v>687341</v>
      </c>
      <c r="AG58" s="152">
        <f t="shared" si="13"/>
        <v>711914</v>
      </c>
      <c r="AH58" s="221">
        <f t="shared" si="10"/>
        <v>3.5750813642718926E-2</v>
      </c>
      <c r="AI58" s="127"/>
    </row>
    <row r="59" spans="1:35" ht="5.75" customHeight="1"/>
    <row r="60" spans="1:35" s="73" customFormat="1" ht="19" customHeight="1" thickBot="1">
      <c r="A60" s="585" t="s">
        <v>29</v>
      </c>
      <c r="B60" s="585"/>
      <c r="C60" s="170">
        <f>SUM(C7:C58)</f>
        <v>9612010</v>
      </c>
      <c r="D60" s="170">
        <f>SUM(D7:D58)</f>
        <v>9051398</v>
      </c>
      <c r="E60" s="170">
        <f>SUM(E7:E58)</f>
        <v>9981996</v>
      </c>
      <c r="F60" s="172">
        <f>E60/(D7+D8+D9+D10+D11+D12+D13+D14+D15+D16+D17+D18+D19+D20+D21+D22+D23+D24+D25+D26+D27+D28+D29+D30+D31+D32+D33+D34+D35+D36+D37+D38+D39+D40+D41+D42+D43+D44+D45+D46+D47+D48+D49+D50+D51+D52+D53+D54+D55+D56+D57+D58)-1</f>
        <v>0.10281262629264565</v>
      </c>
      <c r="G60" s="170">
        <f>SUM(G7:G58)</f>
        <v>2965516</v>
      </c>
      <c r="H60" s="170">
        <f>SUM(H7:H58)</f>
        <v>2857589</v>
      </c>
      <c r="I60" s="170">
        <f>SUM(I7:I58)</f>
        <v>3037277</v>
      </c>
      <c r="J60" s="172">
        <f>I60/(H7+H8+H9+H10+H11+H12+H13+H14+H15+H16+H17+H18+H19+H20+H21+H22+H23+H24+H25+H26+H27+H28+H29+H30+H31+H32+H33+H34+H35+H36+H37+H38+H39+H40+H41+H42+H43+H44+H45+H46+H47+H48+H49+H50+H51+H52+H53+H54+H55+H56+H57+H58)-1</f>
        <v>6.2880981134795899E-2</v>
      </c>
      <c r="K60" s="170">
        <f>SUM(K7:K58)</f>
        <v>3972317</v>
      </c>
      <c r="L60" s="170">
        <f>SUM(L7:L58)</f>
        <v>3915124</v>
      </c>
      <c r="M60" s="170">
        <f>SUM(M7:M58)</f>
        <v>3424371</v>
      </c>
      <c r="N60" s="171">
        <f>M60/(L7+L8+L9+L10+L11+L12+L13+L14+L15+L16+L17+L18+L19+L20+L21+L22+L23+L24+L25+L26+L27+L28+L29+L30+L31+L32+L33+L34+L35+L36+L37+L38+L39+L40+L41+L42+L43+L44+L45+L46+L47+L48+L49+L50+L51+L52+L53+L54+L55+L56+L57+L58)-1</f>
        <v>-0.12534800941170698</v>
      </c>
      <c r="O60" s="170">
        <f>SUM(O7:O58)</f>
        <v>3289303</v>
      </c>
      <c r="P60" s="170">
        <f>SUM(P7:P58)</f>
        <v>3154890</v>
      </c>
      <c r="Q60" s="170">
        <f>SUM(Q7:Q58)</f>
        <v>2804489</v>
      </c>
      <c r="R60" s="171">
        <f>Q60/(P7+P8+P9+P10+P11+P12+P13+P14+P15+P16+P17+P18+P19+P20+P21+P22+P23+P24+P25+P26+P27+P28+P29+P30+P31+P32+P33+P34+P35+P36+P37+P38+P39+P40+P41+P42+P43+P44+P45+P46+P47+P48+P49+P50+P51+P52+P53+P54+P55+P56+P57+P58)-1</f>
        <v>-0.11106599596182432</v>
      </c>
      <c r="S60" s="170">
        <f>SUM(S7:S58)</f>
        <v>5655797</v>
      </c>
      <c r="T60" s="170">
        <f>SUM(T7:T58)</f>
        <v>5511363</v>
      </c>
      <c r="U60" s="170">
        <f>SUM(U7:U58)</f>
        <v>6297373</v>
      </c>
      <c r="V60" s="171">
        <f>U60/(T7+T8+T9+T10+T11+T12+T13+T14+T15+T16+T17+T18+T19+T20+T21+T22+T23+T24+T25+T26+T27+T28+T29+T30+T31+T32+T33+T34+T35+T36+T37+T38+T39+T40+T41+T42+T43+T44+T45+T46+T47+T48+T49+T50+T51+T52+T53+T54+T55+T56+T57+T58)-1</f>
        <v>0.14261626388971305</v>
      </c>
      <c r="W60" s="170">
        <f>SUM(W7:W58)</f>
        <v>2373015</v>
      </c>
      <c r="X60" s="170">
        <f>SUM(X7:X58)</f>
        <v>2451342</v>
      </c>
      <c r="Y60" s="170">
        <f>SUM(Y7:Y58)</f>
        <v>2692298</v>
      </c>
      <c r="Z60" s="171">
        <f>Y60/(X7+X8+X9+X10+X11+X12+X13+X14+X15+X16+X17+X18+X19+X20+X21+X22+X23+X24+X25+X26+X27+X28+X29+X30+X31+X32+X33+X34+X35+X36+X37+X38+X39+X40+X41+X42+X43+X44+X45+X46+X47+X48+X49+X50+X51+X52+X53+X54+X55+X56+X57+X58)-1</f>
        <v>9.8295545868344769E-2</v>
      </c>
      <c r="AA60" s="170">
        <f>SUM(AA7:AA58)</f>
        <v>2292151</v>
      </c>
      <c r="AB60" s="170">
        <f>SUM(AB7:AB58)</f>
        <v>2223566</v>
      </c>
      <c r="AC60" s="170">
        <f>SUM(AC7:AC58)</f>
        <v>2082620</v>
      </c>
      <c r="AD60" s="171">
        <f>AC60/(AB7+AB8+AB10+AB9+AB11+AB12+AB13+AB14+AB15+AB16+AB17+AB18+AB19+AB20+AB21+AB22+AB23+AB24+AB25+AB26+AB27+AB28+AB29+AB30+AB31+AB32+AB33+AB34+AB35+AB36+AB37+AB38+AB39+AB40+AB41+AB42+AB43+AB44+AB45+AB46+AB47+AB48+AB49+AB50+AB51+AB52+AB53+AB54+AB55+AB56+AB57+AB58)-1</f>
        <v>-6.3387369657568082E-2</v>
      </c>
      <c r="AE60" s="170">
        <f>SUM(AE7:AE58)</f>
        <v>30160109</v>
      </c>
      <c r="AF60" s="170">
        <f>SUM(AF7:AF58)</f>
        <v>29165272</v>
      </c>
      <c r="AG60" s="170">
        <f>SUM(AG7:AG58)</f>
        <v>30320424</v>
      </c>
      <c r="AH60" s="171">
        <f>(AG60)/(AF7+AF8+AF9+AF10+AF11+AF12+AF13+AF14+AF15+AF16+AF17+AF18+AF19+AF20+AF21+AF22+AF23+AF24+AF25+AF26+AF27+AF28+AF29+AF30+AF31+AF32+AF33+AF34+AF35+AF36+AF37+AF38+AF39+AF40+AF41+AF42+AF43+AF44+AF45+AF46+AF47+AF48+AF49+AF50+AF51+AF52+AF53+AF54+AF55+AF56+AF57+AF58)-1</f>
        <v>3.9607105327184922E-2</v>
      </c>
    </row>
    <row r="61" spans="1:35" ht="5.75" customHeight="1"/>
    <row r="62" spans="1:35">
      <c r="AB62" s="70"/>
      <c r="AC62" s="70"/>
    </row>
    <row r="63" spans="1:35">
      <c r="M63" s="70"/>
      <c r="AF63" s="66">
        <f>AF60*1.1</f>
        <v>32081799.200000003</v>
      </c>
      <c r="AG63" s="66">
        <f>AG60/AF63</f>
        <v>0.94509736847925907</v>
      </c>
    </row>
    <row r="64" spans="1:35">
      <c r="M64" s="70"/>
    </row>
    <row r="65" spans="1:32">
      <c r="AF65" s="74">
        <f>AG60/33000000</f>
        <v>0.91880072727272732</v>
      </c>
    </row>
    <row r="66" spans="1:32">
      <c r="A66" s="578" t="s">
        <v>32</v>
      </c>
      <c r="B66" s="578"/>
      <c r="C66" s="578"/>
    </row>
    <row r="67" spans="1:32">
      <c r="A67" s="190">
        <f>A58</f>
        <v>46019</v>
      </c>
      <c r="B67" s="189" t="s">
        <v>28</v>
      </c>
      <c r="C67" s="189" t="s">
        <v>33</v>
      </c>
    </row>
    <row r="68" spans="1:32" ht="7" customHeight="1">
      <c r="B68" s="67"/>
      <c r="C68" s="67"/>
    </row>
    <row r="69" spans="1:32">
      <c r="A69" s="192" t="s">
        <v>1</v>
      </c>
      <c r="B69" s="193">
        <f>F58</f>
        <v>-8.4785470447767963E-5</v>
      </c>
      <c r="C69" s="193">
        <f>F60</f>
        <v>0.10281262629264565</v>
      </c>
    </row>
    <row r="70" spans="1:32">
      <c r="A70" s="65" t="s">
        <v>2</v>
      </c>
      <c r="B70" s="186">
        <f>J58</f>
        <v>7.4151866425608892E-2</v>
      </c>
      <c r="C70" s="186">
        <f>J60</f>
        <v>6.2880981134795899E-2</v>
      </c>
    </row>
    <row r="71" spans="1:32">
      <c r="A71" s="65" t="s">
        <v>3</v>
      </c>
      <c r="B71" s="186">
        <f>N58</f>
        <v>2.2979434566641199E-3</v>
      </c>
      <c r="C71" s="186">
        <f>N60</f>
        <v>-0.12534800941170698</v>
      </c>
    </row>
    <row r="72" spans="1:32">
      <c r="A72" s="65" t="s">
        <v>4</v>
      </c>
      <c r="B72" s="186">
        <f>R58</f>
        <v>-2.2771770234043198E-2</v>
      </c>
      <c r="C72" s="186">
        <f>R60</f>
        <v>-0.11106599596182432</v>
      </c>
    </row>
    <row r="73" spans="1:32">
      <c r="A73" s="65" t="s">
        <v>5</v>
      </c>
      <c r="B73" s="186">
        <f>V58</f>
        <v>0.13440852260116887</v>
      </c>
      <c r="C73" s="186">
        <f>V60</f>
        <v>0.14261626388971305</v>
      </c>
    </row>
    <row r="74" spans="1:32">
      <c r="A74" s="65" t="s">
        <v>6</v>
      </c>
      <c r="B74" s="186">
        <f>Z58</f>
        <v>2.7418490739323342E-2</v>
      </c>
      <c r="C74" s="186">
        <f>Z60</f>
        <v>9.8295545868344769E-2</v>
      </c>
    </row>
    <row r="75" spans="1:32">
      <c r="A75" s="194" t="s">
        <v>7</v>
      </c>
      <c r="B75" s="195">
        <f>AD58</f>
        <v>1.5137633781701521E-2</v>
      </c>
      <c r="C75" s="195">
        <f>AD60</f>
        <v>-6.3387369657568082E-2</v>
      </c>
    </row>
    <row r="76" spans="1:32" ht="7" customHeight="1">
      <c r="A76" s="65"/>
    </row>
    <row r="77" spans="1:32">
      <c r="A77" s="169" t="s">
        <v>34</v>
      </c>
      <c r="B77" s="191">
        <f>AH58</f>
        <v>3.5750813642718926E-2</v>
      </c>
      <c r="C77" s="191">
        <f>AH60</f>
        <v>3.9607105327184922E-2</v>
      </c>
    </row>
  </sheetData>
  <mergeCells count="12">
    <mergeCell ref="A66:C66"/>
    <mergeCell ref="S4:V4"/>
    <mergeCell ref="W4:Z4"/>
    <mergeCell ref="AA4:AD4"/>
    <mergeCell ref="AE4:AH4"/>
    <mergeCell ref="A60:B60"/>
    <mergeCell ref="C4:F4"/>
    <mergeCell ref="G4:J4"/>
    <mergeCell ref="K4:N4"/>
    <mergeCell ref="O4:R4"/>
    <mergeCell ref="A4:A5"/>
    <mergeCell ref="B4:B5"/>
  </mergeCells>
  <pageMargins left="0.7" right="0.7" top="0.75" bottom="0.75" header="0.3" footer="0.3"/>
  <ignoredErrors>
    <ignoredError sqref="A60:E60 AK60:AU60 F59:AH59 AI60:AJ60 K60:M60 O60:Q60 S60:U60 W60:X60 AA60:AC60 G60:I60 Y60 AE60:AG6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7" id="{990A435E-9BAC-414B-BFEF-B05A575C33C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F7:F58 J7:J58 N7:N58 R7:R58 V7:V58 Z7:Z58 AD7:AD58 AH7:AH58</xm:sqref>
        </x14:conditionalFormatting>
        <x14:conditionalFormatting xmlns:xm="http://schemas.microsoft.com/office/excel/2006/main">
          <x14:cfRule type="iconSet" priority="5" id="{5EA67921-E922-8A47-A598-898F5B15E2A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F60</xm:sqref>
        </x14:conditionalFormatting>
        <x14:conditionalFormatting xmlns:xm="http://schemas.microsoft.com/office/excel/2006/main">
          <x14:cfRule type="iconSet" priority="6" id="{00C06FE8-2955-824C-A426-98FFF88895B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J60</xm:sqref>
        </x14:conditionalFormatting>
        <x14:conditionalFormatting xmlns:xm="http://schemas.microsoft.com/office/excel/2006/main">
          <x14:cfRule type="iconSet" priority="7" id="{4B8264AF-9E7A-E44C-9EA5-C8310DA3BFD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N60</xm:sqref>
        </x14:conditionalFormatting>
        <x14:conditionalFormatting xmlns:xm="http://schemas.microsoft.com/office/excel/2006/main">
          <x14:cfRule type="iconSet" priority="8" id="{03DF9976-558D-AD4E-8190-F5F111FA862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R60</xm:sqref>
        </x14:conditionalFormatting>
        <x14:conditionalFormatting xmlns:xm="http://schemas.microsoft.com/office/excel/2006/main">
          <x14:cfRule type="iconSet" priority="9" id="{1F264CDB-4986-344A-893B-125B0BA7B62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V60</xm:sqref>
        </x14:conditionalFormatting>
        <x14:conditionalFormatting xmlns:xm="http://schemas.microsoft.com/office/excel/2006/main">
          <x14:cfRule type="iconSet" priority="10" id="{D5C294A4-E29F-6246-833A-922FF148C07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Z60</xm:sqref>
        </x14:conditionalFormatting>
        <x14:conditionalFormatting xmlns:xm="http://schemas.microsoft.com/office/excel/2006/main">
          <x14:cfRule type="iconSet" priority="11" id="{AEE2A86B-9121-7447-975C-2016DEBE4B8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AD60</xm:sqref>
        </x14:conditionalFormatting>
        <x14:conditionalFormatting xmlns:xm="http://schemas.microsoft.com/office/excel/2006/main">
          <x14:cfRule type="iconSet" priority="4" id="{DD735067-B037-CF45-BADD-D66A872918C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AH60</xm:sqref>
        </x14:conditionalFormatting>
        <x14:conditionalFormatting xmlns:xm="http://schemas.microsoft.com/office/excel/2006/main">
          <x14:cfRule type="iconSet" priority="12" id="{FD867A3D-6EDE-5446-84C4-CB3765CD046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AI7:AI15</xm:sqref>
        </x14:conditionalFormatting>
        <x14:conditionalFormatting xmlns:xm="http://schemas.microsoft.com/office/excel/2006/main">
          <x14:cfRule type="iconSet" priority="3" id="{7AACF333-7D9C-4D4F-8281-3099A6601F9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AI16</xm:sqref>
        </x14:conditionalFormatting>
        <x14:conditionalFormatting xmlns:xm="http://schemas.microsoft.com/office/excel/2006/main">
          <x14:cfRule type="iconSet" priority="2" id="{A85D4D8D-937E-9344-8E28-E7F1A5D31DF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AI17</xm:sqref>
        </x14:conditionalFormatting>
        <x14:conditionalFormatting xmlns:xm="http://schemas.microsoft.com/office/excel/2006/main">
          <x14:cfRule type="iconSet" priority="1" id="{EEF9FEDD-0716-6A42-9920-6F02B6E3F44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AI18:AI20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6C0C-8ACE-4DD8-8BF9-ADFD87349889}">
  <dimension ref="A1:Z63"/>
  <sheetViews>
    <sheetView zoomScale="115" zoomScaleNormal="115" workbookViewId="0">
      <pane xSplit="2" ySplit="6" topLeftCell="C18" activePane="bottomRight" state="frozen"/>
      <selection pane="topRight" activeCell="C1" sqref="C1"/>
      <selection pane="bottomLeft" activeCell="A6" sqref="A6"/>
      <selection pane="bottomRight" activeCell="C1" sqref="C1"/>
    </sheetView>
  </sheetViews>
  <sheetFormatPr baseColWidth="10" defaultColWidth="11" defaultRowHeight="13"/>
  <cols>
    <col min="1" max="1" width="8.5" style="78" customWidth="1"/>
    <col min="2" max="2" width="6.5" style="78" customWidth="1"/>
    <col min="3" max="4" width="8.83203125" style="78" customWidth="1"/>
    <col min="5" max="5" width="8.5" style="78" customWidth="1"/>
    <col min="6" max="7" width="8.83203125" style="78" customWidth="1"/>
    <col min="8" max="8" width="8.5" style="78" customWidth="1"/>
    <col min="9" max="10" width="8.83203125" style="78" customWidth="1"/>
    <col min="11" max="11" width="8.5" style="78" customWidth="1"/>
    <col min="12" max="13" width="8.83203125" style="78" customWidth="1"/>
    <col min="14" max="14" width="8.5" style="78" customWidth="1"/>
    <col min="15" max="16" width="8.83203125" style="78" customWidth="1"/>
    <col min="17" max="17" width="8.5" style="78" customWidth="1"/>
    <col min="18" max="19" width="8.83203125" style="78" customWidth="1"/>
    <col min="20" max="20" width="8.5" style="78" customWidth="1"/>
    <col min="21" max="22" width="8.83203125" style="78" customWidth="1"/>
    <col min="23" max="23" width="8.5" style="78" customWidth="1"/>
    <col min="24" max="25" width="10.83203125" style="78" customWidth="1"/>
    <col min="26" max="26" width="8.83203125" style="78" customWidth="1"/>
    <col min="27" max="16384" width="11" style="78"/>
  </cols>
  <sheetData>
    <row r="1" spans="1:26">
      <c r="A1" s="77" t="s">
        <v>26</v>
      </c>
      <c r="Z1" s="77">
        <v>2024</v>
      </c>
    </row>
    <row r="2" spans="1:26">
      <c r="A2" s="77"/>
      <c r="Z2" s="77"/>
    </row>
    <row r="3" spans="1:26" ht="14" thickBot="1">
      <c r="F3" s="79"/>
      <c r="G3" s="79"/>
      <c r="H3" s="79"/>
      <c r="L3" s="79"/>
      <c r="M3" s="79"/>
      <c r="N3" s="79"/>
      <c r="O3" s="79"/>
      <c r="P3" s="79"/>
      <c r="Q3" s="79"/>
      <c r="U3" s="79"/>
      <c r="V3" s="79"/>
      <c r="W3" s="79"/>
    </row>
    <row r="4" spans="1:26" s="81" customFormat="1">
      <c r="A4" s="80" t="s">
        <v>27</v>
      </c>
      <c r="B4" s="80" t="s">
        <v>28</v>
      </c>
      <c r="C4" s="588" t="s">
        <v>1</v>
      </c>
      <c r="D4" s="589"/>
      <c r="E4" s="596"/>
      <c r="F4" s="588" t="s">
        <v>2</v>
      </c>
      <c r="G4" s="589"/>
      <c r="H4" s="596"/>
      <c r="I4" s="588" t="s">
        <v>3</v>
      </c>
      <c r="J4" s="589"/>
      <c r="K4" s="589"/>
      <c r="L4" s="588" t="s">
        <v>4</v>
      </c>
      <c r="M4" s="589"/>
      <c r="N4" s="596"/>
      <c r="O4" s="589" t="s">
        <v>5</v>
      </c>
      <c r="P4" s="589"/>
      <c r="Q4" s="596"/>
      <c r="R4" s="588" t="s">
        <v>6</v>
      </c>
      <c r="S4" s="589"/>
      <c r="T4" s="596"/>
      <c r="U4" s="588" t="s">
        <v>7</v>
      </c>
      <c r="V4" s="589"/>
      <c r="W4" s="589"/>
      <c r="X4" s="590" t="s">
        <v>29</v>
      </c>
      <c r="Y4" s="591"/>
      <c r="Z4" s="592"/>
    </row>
    <row r="5" spans="1:26" s="81" customFormat="1" ht="14" thickBot="1">
      <c r="A5" s="80"/>
      <c r="B5" s="80"/>
      <c r="C5" s="82">
        <v>2024</v>
      </c>
      <c r="D5" s="83">
        <v>2023</v>
      </c>
      <c r="E5" s="84" t="s">
        <v>40</v>
      </c>
      <c r="F5" s="82">
        <v>2024</v>
      </c>
      <c r="G5" s="83">
        <v>2023</v>
      </c>
      <c r="H5" s="84" t="s">
        <v>40</v>
      </c>
      <c r="I5" s="82">
        <v>2024</v>
      </c>
      <c r="J5" s="83">
        <v>2023</v>
      </c>
      <c r="K5" s="83" t="s">
        <v>40</v>
      </c>
      <c r="L5" s="82">
        <v>2024</v>
      </c>
      <c r="M5" s="83">
        <v>2023</v>
      </c>
      <c r="N5" s="84" t="s">
        <v>40</v>
      </c>
      <c r="O5" s="83">
        <v>2024</v>
      </c>
      <c r="P5" s="83">
        <v>2023</v>
      </c>
      <c r="Q5" s="84" t="s">
        <v>40</v>
      </c>
      <c r="R5" s="82">
        <v>2024</v>
      </c>
      <c r="S5" s="83">
        <v>2023</v>
      </c>
      <c r="T5" s="84" t="s">
        <v>40</v>
      </c>
      <c r="U5" s="82">
        <v>2024</v>
      </c>
      <c r="V5" s="83">
        <v>2023</v>
      </c>
      <c r="W5" s="83" t="s">
        <v>40</v>
      </c>
      <c r="X5" s="85">
        <v>2024</v>
      </c>
      <c r="Y5" s="86">
        <v>2023</v>
      </c>
      <c r="Z5" s="87" t="s">
        <v>40</v>
      </c>
    </row>
    <row r="6" spans="1:26" ht="5.75" customHeight="1" thickBot="1"/>
    <row r="7" spans="1:26">
      <c r="A7" s="88">
        <v>45298</v>
      </c>
      <c r="B7" s="89">
        <v>1</v>
      </c>
      <c r="C7" s="108">
        <v>156713</v>
      </c>
      <c r="D7" s="109">
        <v>167896</v>
      </c>
      <c r="E7" s="110">
        <f t="shared" ref="E7:E14" si="0">(C7-D7)/D7</f>
        <v>-6.6606708915042639E-2</v>
      </c>
      <c r="F7" s="108">
        <v>52568</v>
      </c>
      <c r="G7" s="109">
        <v>60260</v>
      </c>
      <c r="H7" s="110">
        <f t="shared" ref="H7:H14" si="1">(F7-G7)/G7</f>
        <v>-0.12764686359110522</v>
      </c>
      <c r="I7" s="108">
        <v>64851</v>
      </c>
      <c r="J7" s="109">
        <v>70982</v>
      </c>
      <c r="K7" s="110">
        <f t="shared" ref="K7:K14" si="2">(I7-J7)/J7</f>
        <v>-8.637401031247359E-2</v>
      </c>
      <c r="L7" s="108">
        <v>53269</v>
      </c>
      <c r="M7" s="109">
        <v>50247</v>
      </c>
      <c r="N7" s="110">
        <f t="shared" ref="N7:N14" si="3">(L7-M7)/M7</f>
        <v>6.0142894103130534E-2</v>
      </c>
      <c r="O7" s="108">
        <v>99648</v>
      </c>
      <c r="P7" s="109">
        <v>87311</v>
      </c>
      <c r="Q7" s="114">
        <f t="shared" ref="Q7:Q14" si="4">(O7-P7)/P7</f>
        <v>0.14129949261834132</v>
      </c>
      <c r="R7" s="109">
        <v>42258</v>
      </c>
      <c r="S7" s="109">
        <v>41218</v>
      </c>
      <c r="T7" s="114">
        <f t="shared" ref="T7:T14" si="5">(R7-S7)/S7</f>
        <v>2.5231694890581784E-2</v>
      </c>
      <c r="U7" s="109">
        <v>40129</v>
      </c>
      <c r="V7" s="109">
        <v>39524</v>
      </c>
      <c r="W7" s="110">
        <f t="shared" ref="W7:W14" si="6">(U7-V7)/V7</f>
        <v>1.5307155146240259E-2</v>
      </c>
      <c r="X7" s="90">
        <f t="shared" ref="X7:Y14" si="7">C7+F7+I7+L7+O7+R7+U7</f>
        <v>509436</v>
      </c>
      <c r="Y7" s="91">
        <f t="shared" si="7"/>
        <v>517438</v>
      </c>
      <c r="Z7" s="118">
        <f t="shared" ref="Z7:Z14" si="8">(X7-Y7)/Y7</f>
        <v>-1.5464654702592388E-2</v>
      </c>
    </row>
    <row r="8" spans="1:26">
      <c r="A8" s="92">
        <v>45305</v>
      </c>
      <c r="B8" s="93">
        <v>2</v>
      </c>
      <c r="C8" s="94">
        <v>163645</v>
      </c>
      <c r="D8" s="95">
        <v>182118</v>
      </c>
      <c r="E8" s="111">
        <f t="shared" si="0"/>
        <v>-0.1014342349465731</v>
      </c>
      <c r="F8" s="94">
        <v>50737</v>
      </c>
      <c r="G8" s="95">
        <v>56811</v>
      </c>
      <c r="H8" s="111">
        <f t="shared" si="1"/>
        <v>-0.10691591417155129</v>
      </c>
      <c r="I8" s="94">
        <v>70867</v>
      </c>
      <c r="J8" s="95">
        <v>68752</v>
      </c>
      <c r="K8" s="111">
        <f t="shared" si="2"/>
        <v>3.0762741447521526E-2</v>
      </c>
      <c r="L8" s="94">
        <v>53623</v>
      </c>
      <c r="M8" s="95">
        <v>54534</v>
      </c>
      <c r="N8" s="111">
        <f t="shared" si="3"/>
        <v>-1.6705174753364874E-2</v>
      </c>
      <c r="O8" s="94">
        <v>100879</v>
      </c>
      <c r="P8" s="95">
        <v>101582</v>
      </c>
      <c r="Q8" s="115">
        <f t="shared" si="4"/>
        <v>-6.9205174145025696E-3</v>
      </c>
      <c r="R8" s="95">
        <v>43739</v>
      </c>
      <c r="S8" s="95">
        <v>43464</v>
      </c>
      <c r="T8" s="115">
        <f t="shared" si="5"/>
        <v>6.3270752806920674E-3</v>
      </c>
      <c r="U8" s="95">
        <v>40695</v>
      </c>
      <c r="V8" s="95">
        <v>37832</v>
      </c>
      <c r="W8" s="111">
        <f t="shared" si="6"/>
        <v>7.5676675829985204E-2</v>
      </c>
      <c r="X8" s="96">
        <f t="shared" si="7"/>
        <v>524185</v>
      </c>
      <c r="Y8" s="97">
        <f t="shared" si="7"/>
        <v>545093</v>
      </c>
      <c r="Z8" s="119">
        <f t="shared" si="8"/>
        <v>-3.8356757470743526E-2</v>
      </c>
    </row>
    <row r="9" spans="1:26">
      <c r="A9" s="92">
        <v>45312</v>
      </c>
      <c r="B9" s="93">
        <v>3</v>
      </c>
      <c r="C9" s="94">
        <v>156581</v>
      </c>
      <c r="D9" s="95">
        <v>182798</v>
      </c>
      <c r="E9" s="111">
        <f t="shared" si="0"/>
        <v>-0.14342060635236709</v>
      </c>
      <c r="F9" s="94">
        <v>49255</v>
      </c>
      <c r="G9" s="95">
        <v>55380</v>
      </c>
      <c r="H9" s="111">
        <f t="shared" si="1"/>
        <v>-0.1105994944023113</v>
      </c>
      <c r="I9" s="94">
        <v>64457</v>
      </c>
      <c r="J9" s="95">
        <v>72416</v>
      </c>
      <c r="K9" s="111">
        <f t="shared" si="2"/>
        <v>-0.10990665046398586</v>
      </c>
      <c r="L9" s="94">
        <v>58480</v>
      </c>
      <c r="M9" s="95">
        <v>53307</v>
      </c>
      <c r="N9" s="111">
        <f t="shared" si="3"/>
        <v>9.7041664321758869E-2</v>
      </c>
      <c r="O9" s="94">
        <v>98887</v>
      </c>
      <c r="P9" s="95">
        <v>102396</v>
      </c>
      <c r="Q9" s="115">
        <f t="shared" si="4"/>
        <v>-3.4268916754560723E-2</v>
      </c>
      <c r="R9" s="95">
        <v>41858</v>
      </c>
      <c r="S9" s="95">
        <v>42136</v>
      </c>
      <c r="T9" s="115">
        <f t="shared" si="5"/>
        <v>-6.5976836909056391E-3</v>
      </c>
      <c r="U9" s="95">
        <v>41769</v>
      </c>
      <c r="V9" s="95">
        <v>37792</v>
      </c>
      <c r="W9" s="111">
        <f t="shared" si="6"/>
        <v>0.10523391193903471</v>
      </c>
      <c r="X9" s="96">
        <f t="shared" si="7"/>
        <v>511287</v>
      </c>
      <c r="Y9" s="97">
        <f t="shared" si="7"/>
        <v>546225</v>
      </c>
      <c r="Z9" s="119">
        <f t="shared" si="8"/>
        <v>-6.3962652752986404E-2</v>
      </c>
    </row>
    <row r="10" spans="1:26">
      <c r="A10" s="92">
        <v>45319</v>
      </c>
      <c r="B10" s="93">
        <v>4</v>
      </c>
      <c r="C10" s="94">
        <v>158722</v>
      </c>
      <c r="D10" s="95">
        <v>201189</v>
      </c>
      <c r="E10" s="111">
        <f t="shared" si="0"/>
        <v>-0.21108012863526335</v>
      </c>
      <c r="F10" s="94">
        <v>55398</v>
      </c>
      <c r="G10" s="95">
        <v>53718</v>
      </c>
      <c r="H10" s="111">
        <f t="shared" si="1"/>
        <v>3.1274433150899138E-2</v>
      </c>
      <c r="I10" s="94">
        <v>61952</v>
      </c>
      <c r="J10" s="95">
        <v>71461</v>
      </c>
      <c r="K10" s="111">
        <f t="shared" si="2"/>
        <v>-0.13306558822294678</v>
      </c>
      <c r="L10" s="94">
        <v>54477</v>
      </c>
      <c r="M10" s="95">
        <v>49593</v>
      </c>
      <c r="N10" s="111">
        <f t="shared" si="3"/>
        <v>9.8481640554110461E-2</v>
      </c>
      <c r="O10" s="94">
        <v>97913</v>
      </c>
      <c r="P10" s="95">
        <v>97977</v>
      </c>
      <c r="Q10" s="115">
        <f t="shared" si="4"/>
        <v>-6.5321452994070031E-4</v>
      </c>
      <c r="R10" s="95">
        <v>44641</v>
      </c>
      <c r="S10" s="95">
        <v>40952</v>
      </c>
      <c r="T10" s="115">
        <f t="shared" si="5"/>
        <v>9.0081070521586246E-2</v>
      </c>
      <c r="U10" s="95">
        <v>38283</v>
      </c>
      <c r="V10" s="95">
        <v>36897</v>
      </c>
      <c r="W10" s="111">
        <f t="shared" si="6"/>
        <v>3.7564029595902104E-2</v>
      </c>
      <c r="X10" s="96">
        <f t="shared" si="7"/>
        <v>511386</v>
      </c>
      <c r="Y10" s="97">
        <f t="shared" si="7"/>
        <v>551787</v>
      </c>
      <c r="Z10" s="119">
        <f t="shared" si="8"/>
        <v>-7.3218470170554939E-2</v>
      </c>
    </row>
    <row r="11" spans="1:26">
      <c r="A11" s="92">
        <v>45326</v>
      </c>
      <c r="B11" s="93">
        <v>5</v>
      </c>
      <c r="C11" s="94">
        <v>158722</v>
      </c>
      <c r="D11" s="95">
        <v>195691</v>
      </c>
      <c r="E11" s="111">
        <f t="shared" si="0"/>
        <v>-0.18891517749922071</v>
      </c>
      <c r="F11" s="94">
        <v>49065</v>
      </c>
      <c r="G11" s="95">
        <v>51778</v>
      </c>
      <c r="H11" s="111">
        <f t="shared" si="1"/>
        <v>-5.2396770829309748E-2</v>
      </c>
      <c r="I11" s="94">
        <v>64018</v>
      </c>
      <c r="J11" s="95">
        <v>69228</v>
      </c>
      <c r="K11" s="111">
        <f t="shared" si="2"/>
        <v>-7.5258565898191479E-2</v>
      </c>
      <c r="L11" s="94">
        <v>56372</v>
      </c>
      <c r="M11" s="95">
        <v>54354</v>
      </c>
      <c r="N11" s="111">
        <f t="shared" si="3"/>
        <v>3.712698237480222E-2</v>
      </c>
      <c r="O11" s="94">
        <v>94631</v>
      </c>
      <c r="P11" s="95">
        <v>97189</v>
      </c>
      <c r="Q11" s="115">
        <f t="shared" si="4"/>
        <v>-2.6319851011945797E-2</v>
      </c>
      <c r="R11" s="95">
        <v>42655</v>
      </c>
      <c r="S11" s="95">
        <v>39324</v>
      </c>
      <c r="T11" s="115">
        <f t="shared" si="5"/>
        <v>8.4706540535042216E-2</v>
      </c>
      <c r="U11" s="95">
        <v>42402</v>
      </c>
      <c r="V11" s="95">
        <v>38692</v>
      </c>
      <c r="W11" s="111">
        <f t="shared" si="6"/>
        <v>9.5885454357489922E-2</v>
      </c>
      <c r="X11" s="96">
        <f t="shared" si="7"/>
        <v>507865</v>
      </c>
      <c r="Y11" s="97">
        <f t="shared" si="7"/>
        <v>546256</v>
      </c>
      <c r="Z11" s="119">
        <f t="shared" si="8"/>
        <v>-7.0280234908174921E-2</v>
      </c>
    </row>
    <row r="12" spans="1:26">
      <c r="A12" s="92">
        <v>45333</v>
      </c>
      <c r="B12" s="93">
        <v>6</v>
      </c>
      <c r="C12" s="94">
        <v>158830</v>
      </c>
      <c r="D12" s="95">
        <v>214925</v>
      </c>
      <c r="E12" s="111">
        <f t="shared" si="0"/>
        <v>-0.2609980225660114</v>
      </c>
      <c r="F12" s="94">
        <v>46655</v>
      </c>
      <c r="G12" s="95">
        <v>50148</v>
      </c>
      <c r="H12" s="111">
        <f t="shared" si="1"/>
        <v>-6.9653824678950302E-2</v>
      </c>
      <c r="I12" s="94">
        <v>64287</v>
      </c>
      <c r="J12" s="95">
        <v>74275</v>
      </c>
      <c r="K12" s="111">
        <f t="shared" si="2"/>
        <v>-0.13447324133288455</v>
      </c>
      <c r="L12" s="94">
        <v>57650</v>
      </c>
      <c r="M12" s="95">
        <v>50587</v>
      </c>
      <c r="N12" s="111">
        <f t="shared" si="3"/>
        <v>0.13962085120683179</v>
      </c>
      <c r="O12" s="94">
        <v>98349</v>
      </c>
      <c r="P12" s="95">
        <v>97495</v>
      </c>
      <c r="Q12" s="115">
        <f t="shared" si="4"/>
        <v>8.7594235601825728E-3</v>
      </c>
      <c r="R12" s="95">
        <v>44243</v>
      </c>
      <c r="S12" s="95">
        <v>41374</v>
      </c>
      <c r="T12" s="115">
        <f t="shared" si="5"/>
        <v>6.9343065693430656E-2</v>
      </c>
      <c r="U12" s="95">
        <v>39447</v>
      </c>
      <c r="V12" s="95">
        <v>37078</v>
      </c>
      <c r="W12" s="111">
        <f t="shared" si="6"/>
        <v>6.3892335077404397E-2</v>
      </c>
      <c r="X12" s="96">
        <f t="shared" si="7"/>
        <v>509461</v>
      </c>
      <c r="Y12" s="97">
        <f t="shared" si="7"/>
        <v>565882</v>
      </c>
      <c r="Z12" s="119">
        <f t="shared" si="8"/>
        <v>-9.9704532040248678E-2</v>
      </c>
    </row>
    <row r="13" spans="1:26">
      <c r="A13" s="92">
        <v>45340</v>
      </c>
      <c r="B13" s="93">
        <v>7</v>
      </c>
      <c r="C13" s="94">
        <v>168886</v>
      </c>
      <c r="D13" s="95">
        <v>209579</v>
      </c>
      <c r="E13" s="111">
        <f t="shared" si="0"/>
        <v>-0.19416544596548319</v>
      </c>
      <c r="F13" s="94">
        <v>54906</v>
      </c>
      <c r="G13" s="95">
        <v>58145</v>
      </c>
      <c r="H13" s="111">
        <f t="shared" si="1"/>
        <v>-5.5705563677014361E-2</v>
      </c>
      <c r="I13" s="94">
        <v>74269</v>
      </c>
      <c r="J13" s="95">
        <v>70539</v>
      </c>
      <c r="K13" s="111">
        <f t="shared" si="2"/>
        <v>5.2878549454911467E-2</v>
      </c>
      <c r="L13" s="94">
        <v>63258</v>
      </c>
      <c r="M13" s="95">
        <v>59010</v>
      </c>
      <c r="N13" s="111">
        <f t="shared" si="3"/>
        <v>7.1987798678190135E-2</v>
      </c>
      <c r="O13" s="94">
        <v>104168</v>
      </c>
      <c r="P13" s="95">
        <v>103392</v>
      </c>
      <c r="Q13" s="115">
        <f t="shared" si="4"/>
        <v>7.5054162797895388E-3</v>
      </c>
      <c r="R13" s="95">
        <v>35134</v>
      </c>
      <c r="S13" s="95">
        <v>44140</v>
      </c>
      <c r="T13" s="115">
        <f t="shared" si="5"/>
        <v>-0.2040326234707748</v>
      </c>
      <c r="U13" s="95">
        <v>39154</v>
      </c>
      <c r="V13" s="95">
        <v>37956</v>
      </c>
      <c r="W13" s="111">
        <f t="shared" si="6"/>
        <v>3.1562862261566023E-2</v>
      </c>
      <c r="X13" s="96">
        <f t="shared" si="7"/>
        <v>539775</v>
      </c>
      <c r="Y13" s="97">
        <f t="shared" si="7"/>
        <v>582761</v>
      </c>
      <c r="Z13" s="119">
        <f t="shared" si="8"/>
        <v>-7.3762657418735986E-2</v>
      </c>
    </row>
    <row r="14" spans="1:26">
      <c r="A14" s="92">
        <v>45347</v>
      </c>
      <c r="B14" s="93">
        <v>8</v>
      </c>
      <c r="C14" s="94">
        <v>164125</v>
      </c>
      <c r="D14" s="95">
        <v>174459</v>
      </c>
      <c r="E14" s="111">
        <f t="shared" si="0"/>
        <v>-5.9234547945362523E-2</v>
      </c>
      <c r="F14" s="94">
        <v>52261</v>
      </c>
      <c r="G14" s="95">
        <v>52625</v>
      </c>
      <c r="H14" s="111">
        <f t="shared" si="1"/>
        <v>-6.9168646080760097E-3</v>
      </c>
      <c r="I14" s="94">
        <v>71690</v>
      </c>
      <c r="J14" s="95">
        <v>61214</v>
      </c>
      <c r="K14" s="111">
        <f t="shared" si="2"/>
        <v>0.1711373215277551</v>
      </c>
      <c r="L14" s="94">
        <v>52261</v>
      </c>
      <c r="M14" s="95">
        <v>50475</v>
      </c>
      <c r="N14" s="111">
        <f t="shared" si="3"/>
        <v>3.5383853392768699E-2</v>
      </c>
      <c r="O14" s="94">
        <v>93310</v>
      </c>
      <c r="P14" s="95">
        <v>99088</v>
      </c>
      <c r="Q14" s="115">
        <f t="shared" si="4"/>
        <v>-5.8311803649281443E-2</v>
      </c>
      <c r="R14" s="95">
        <v>42727</v>
      </c>
      <c r="S14" s="95">
        <v>44783</v>
      </c>
      <c r="T14" s="115">
        <f t="shared" si="5"/>
        <v>-4.5910278453877587E-2</v>
      </c>
      <c r="U14" s="95">
        <v>39242</v>
      </c>
      <c r="V14" s="95">
        <v>34804</v>
      </c>
      <c r="W14" s="111">
        <f t="shared" si="6"/>
        <v>0.12751407884151247</v>
      </c>
      <c r="X14" s="96">
        <f t="shared" si="7"/>
        <v>515616</v>
      </c>
      <c r="Y14" s="97">
        <f t="shared" si="7"/>
        <v>517448</v>
      </c>
      <c r="Z14" s="119">
        <f t="shared" si="8"/>
        <v>-3.5404523739583495E-3</v>
      </c>
    </row>
    <row r="15" spans="1:26">
      <c r="A15" s="92">
        <v>45354</v>
      </c>
      <c r="B15" s="93">
        <v>9</v>
      </c>
      <c r="C15" s="94">
        <v>166481</v>
      </c>
      <c r="D15" s="95">
        <v>154577</v>
      </c>
      <c r="E15" s="111">
        <f t="shared" ref="E15:E33" si="9">(C15-D15)/D15</f>
        <v>7.7010163219625172E-2</v>
      </c>
      <c r="F15" s="94">
        <v>50353</v>
      </c>
      <c r="G15" s="95">
        <v>53016</v>
      </c>
      <c r="H15" s="111">
        <f t="shared" ref="H15:H58" si="10">(F15-G15)/G15</f>
        <v>-5.0230119209295307E-2</v>
      </c>
      <c r="I15" s="94">
        <v>68194</v>
      </c>
      <c r="J15" s="95">
        <v>59870</v>
      </c>
      <c r="K15" s="111">
        <f t="shared" ref="K15:K58" si="11">(I15-J15)/J15</f>
        <v>0.13903457491231</v>
      </c>
      <c r="L15" s="94">
        <v>57345</v>
      </c>
      <c r="M15" s="95">
        <v>56456</v>
      </c>
      <c r="N15" s="111">
        <f t="shared" ref="N15:N58" si="12">(L15-M15)/M15</f>
        <v>1.5746776250531388E-2</v>
      </c>
      <c r="O15" s="94">
        <v>92366</v>
      </c>
      <c r="P15" s="95">
        <v>103334</v>
      </c>
      <c r="Q15" s="115">
        <f t="shared" ref="Q15:Q58" si="13">(O15-P15)/P15</f>
        <v>-0.10614125070160838</v>
      </c>
      <c r="R15" s="95">
        <v>44487</v>
      </c>
      <c r="S15" s="95">
        <v>37978</v>
      </c>
      <c r="T15" s="115">
        <f t="shared" ref="T15:T58" si="14">(R15-S15)/S15</f>
        <v>0.17138869872031176</v>
      </c>
      <c r="U15" s="95">
        <v>43111</v>
      </c>
      <c r="V15" s="95">
        <v>39522</v>
      </c>
      <c r="W15" s="111">
        <f t="shared" ref="W15:W58" si="15">(U15-V15)/V15</f>
        <v>9.0810181670968063E-2</v>
      </c>
      <c r="X15" s="96">
        <f t="shared" ref="X15:Y22" si="16">C15+F15+I15+L15+O15+R15+U15</f>
        <v>522337</v>
      </c>
      <c r="Y15" s="97">
        <f t="shared" si="16"/>
        <v>504753</v>
      </c>
      <c r="Z15" s="119">
        <f t="shared" ref="Z15:Z22" si="17">(X15-Y15)/Y15</f>
        <v>3.4836840989553308E-2</v>
      </c>
    </row>
    <row r="16" spans="1:26">
      <c r="A16" s="92">
        <v>45361</v>
      </c>
      <c r="B16" s="93">
        <v>10</v>
      </c>
      <c r="C16" s="94">
        <v>155032</v>
      </c>
      <c r="D16" s="95">
        <v>194993</v>
      </c>
      <c r="E16" s="111">
        <f t="shared" si="9"/>
        <v>-0.20493556178939756</v>
      </c>
      <c r="F16" s="94">
        <v>49374</v>
      </c>
      <c r="G16" s="95">
        <v>52474</v>
      </c>
      <c r="H16" s="111">
        <f t="shared" si="10"/>
        <v>-5.9076876167244732E-2</v>
      </c>
      <c r="I16" s="94">
        <v>70168</v>
      </c>
      <c r="J16" s="95">
        <v>77148</v>
      </c>
      <c r="K16" s="111">
        <f t="shared" si="11"/>
        <v>-9.0475449784829159E-2</v>
      </c>
      <c r="L16" s="94">
        <v>55362</v>
      </c>
      <c r="M16" s="95">
        <v>53709</v>
      </c>
      <c r="N16" s="111">
        <f t="shared" si="12"/>
        <v>3.0776964754510416E-2</v>
      </c>
      <c r="O16" s="94">
        <v>93411</v>
      </c>
      <c r="P16" s="95">
        <v>104277</v>
      </c>
      <c r="Q16" s="115">
        <f t="shared" si="13"/>
        <v>-0.10420322794096493</v>
      </c>
      <c r="R16" s="95">
        <v>47284</v>
      </c>
      <c r="S16" s="95">
        <v>44643</v>
      </c>
      <c r="T16" s="115">
        <f t="shared" si="14"/>
        <v>5.9158210693725781E-2</v>
      </c>
      <c r="U16" s="95">
        <v>42141</v>
      </c>
      <c r="V16" s="95">
        <v>38404</v>
      </c>
      <c r="W16" s="111">
        <f t="shared" si="15"/>
        <v>9.730757212790335E-2</v>
      </c>
      <c r="X16" s="96">
        <f t="shared" si="16"/>
        <v>512772</v>
      </c>
      <c r="Y16" s="97">
        <f t="shared" si="16"/>
        <v>565648</v>
      </c>
      <c r="Z16" s="119">
        <f t="shared" si="17"/>
        <v>-9.3478629819251549E-2</v>
      </c>
    </row>
    <row r="17" spans="1:26">
      <c r="A17" s="92">
        <v>45368</v>
      </c>
      <c r="B17" s="93">
        <v>11</v>
      </c>
      <c r="C17" s="94">
        <v>154396</v>
      </c>
      <c r="D17" s="95">
        <v>196880</v>
      </c>
      <c r="E17" s="111">
        <f t="shared" si="9"/>
        <v>-0.21578626574563187</v>
      </c>
      <c r="F17" s="94">
        <v>50607</v>
      </c>
      <c r="G17" s="95">
        <v>52085</v>
      </c>
      <c r="H17" s="111">
        <f t="shared" si="10"/>
        <v>-2.8376691945857731E-2</v>
      </c>
      <c r="I17" s="94">
        <v>74089</v>
      </c>
      <c r="J17" s="95">
        <v>84229</v>
      </c>
      <c r="K17" s="111">
        <f t="shared" si="11"/>
        <v>-0.12038609030144012</v>
      </c>
      <c r="L17" s="94">
        <v>56340</v>
      </c>
      <c r="M17" s="95">
        <v>55954</v>
      </c>
      <c r="N17" s="111">
        <f t="shared" si="12"/>
        <v>6.8985237873967903E-3</v>
      </c>
      <c r="O17" s="94">
        <v>98082</v>
      </c>
      <c r="P17" s="95">
        <v>98879</v>
      </c>
      <c r="Q17" s="115">
        <f t="shared" si="13"/>
        <v>-8.0603565974574978E-3</v>
      </c>
      <c r="R17" s="95">
        <v>49975</v>
      </c>
      <c r="S17" s="95">
        <v>46516</v>
      </c>
      <c r="T17" s="115">
        <f t="shared" si="14"/>
        <v>7.4361510018058297E-2</v>
      </c>
      <c r="U17" s="95">
        <v>41601</v>
      </c>
      <c r="V17" s="95">
        <v>39812</v>
      </c>
      <c r="W17" s="111">
        <f t="shared" si="15"/>
        <v>4.493620014066111E-2</v>
      </c>
      <c r="X17" s="96">
        <f t="shared" si="16"/>
        <v>525090</v>
      </c>
      <c r="Y17" s="97">
        <f t="shared" si="16"/>
        <v>574355</v>
      </c>
      <c r="Z17" s="119">
        <f t="shared" si="17"/>
        <v>-8.5774477457321696E-2</v>
      </c>
    </row>
    <row r="18" spans="1:26">
      <c r="A18" s="92">
        <v>45375</v>
      </c>
      <c r="B18" s="93">
        <v>12</v>
      </c>
      <c r="C18" s="94">
        <v>148847</v>
      </c>
      <c r="D18" s="95">
        <v>201163</v>
      </c>
      <c r="E18" s="111">
        <f t="shared" si="9"/>
        <v>-0.26006770628793563</v>
      </c>
      <c r="F18" s="94">
        <v>55338</v>
      </c>
      <c r="G18" s="95">
        <v>54203</v>
      </c>
      <c r="H18" s="111">
        <f t="shared" si="10"/>
        <v>2.0939800380052765E-2</v>
      </c>
      <c r="I18" s="94">
        <v>72295</v>
      </c>
      <c r="J18" s="95">
        <v>82743</v>
      </c>
      <c r="K18" s="111">
        <f t="shared" si="11"/>
        <v>-0.12627050022358388</v>
      </c>
      <c r="L18" s="94">
        <v>57308</v>
      </c>
      <c r="M18" s="95">
        <v>53632</v>
      </c>
      <c r="N18" s="111">
        <f t="shared" si="12"/>
        <v>6.8541169451073983E-2</v>
      </c>
      <c r="O18" s="94">
        <v>94449</v>
      </c>
      <c r="P18" s="95">
        <v>96243</v>
      </c>
      <c r="Q18" s="115">
        <f t="shared" si="13"/>
        <v>-1.8640316698357282E-2</v>
      </c>
      <c r="R18" s="95">
        <v>43900</v>
      </c>
      <c r="S18" s="95">
        <v>42543</v>
      </c>
      <c r="T18" s="115">
        <f t="shared" si="14"/>
        <v>3.189713936487789E-2</v>
      </c>
      <c r="U18" s="95">
        <v>37493</v>
      </c>
      <c r="V18" s="95">
        <v>37937</v>
      </c>
      <c r="W18" s="111">
        <f t="shared" si="15"/>
        <v>-1.170361388617972E-2</v>
      </c>
      <c r="X18" s="96">
        <f t="shared" si="16"/>
        <v>509630</v>
      </c>
      <c r="Y18" s="97">
        <f t="shared" si="16"/>
        <v>568464</v>
      </c>
      <c r="Z18" s="119">
        <f t="shared" si="17"/>
        <v>-0.10349643952827269</v>
      </c>
    </row>
    <row r="19" spans="1:26">
      <c r="A19" s="92">
        <v>45382</v>
      </c>
      <c r="B19" s="93">
        <v>13</v>
      </c>
      <c r="C19" s="94">
        <v>166224</v>
      </c>
      <c r="D19" s="95">
        <v>157801</v>
      </c>
      <c r="E19" s="111">
        <f t="shared" si="9"/>
        <v>5.3377355023098712E-2</v>
      </c>
      <c r="F19" s="94">
        <v>57206</v>
      </c>
      <c r="G19" s="95">
        <v>53332</v>
      </c>
      <c r="H19" s="111">
        <f t="shared" si="10"/>
        <v>7.2639315982899577E-2</v>
      </c>
      <c r="I19" s="94">
        <v>73585</v>
      </c>
      <c r="J19" s="95">
        <v>80144</v>
      </c>
      <c r="K19" s="111">
        <f t="shared" si="11"/>
        <v>-8.1840187662208019E-2</v>
      </c>
      <c r="L19" s="94">
        <v>59149</v>
      </c>
      <c r="M19" s="95">
        <v>54650</v>
      </c>
      <c r="N19" s="111">
        <f t="shared" si="12"/>
        <v>8.232387923147301E-2</v>
      </c>
      <c r="O19" s="94">
        <v>101105</v>
      </c>
      <c r="P19" s="95">
        <v>109826</v>
      </c>
      <c r="Q19" s="115">
        <f t="shared" si="13"/>
        <v>-7.9407426292499042E-2</v>
      </c>
      <c r="R19" s="95">
        <v>44390</v>
      </c>
      <c r="S19" s="95">
        <v>44700</v>
      </c>
      <c r="T19" s="115">
        <f t="shared" si="14"/>
        <v>-6.9351230425055924E-3</v>
      </c>
      <c r="U19" s="95">
        <v>37983</v>
      </c>
      <c r="V19" s="95">
        <v>39481</v>
      </c>
      <c r="W19" s="111">
        <f t="shared" si="15"/>
        <v>-3.7942301360147916E-2</v>
      </c>
      <c r="X19" s="96">
        <f t="shared" si="16"/>
        <v>539642</v>
      </c>
      <c r="Y19" s="97">
        <f t="shared" si="16"/>
        <v>539934</v>
      </c>
      <c r="Z19" s="119">
        <f t="shared" si="17"/>
        <v>-5.4080683935443959E-4</v>
      </c>
    </row>
    <row r="20" spans="1:26">
      <c r="A20" s="92">
        <v>45389</v>
      </c>
      <c r="B20" s="93">
        <v>14</v>
      </c>
      <c r="C20" s="94">
        <v>167291</v>
      </c>
      <c r="D20" s="95">
        <v>183755</v>
      </c>
      <c r="E20" s="111">
        <f t="shared" si="9"/>
        <v>-8.9597561971102829E-2</v>
      </c>
      <c r="F20" s="94">
        <v>54500</v>
      </c>
      <c r="G20" s="95">
        <v>78617</v>
      </c>
      <c r="H20" s="111">
        <f t="shared" si="10"/>
        <v>-0.30676571225053106</v>
      </c>
      <c r="I20" s="94">
        <v>72013</v>
      </c>
      <c r="J20" s="95">
        <v>88711</v>
      </c>
      <c r="K20" s="111">
        <f t="shared" si="11"/>
        <v>-0.18822919367383978</v>
      </c>
      <c r="L20" s="94">
        <v>57675</v>
      </c>
      <c r="M20" s="95">
        <v>61543</v>
      </c>
      <c r="N20" s="111">
        <f t="shared" si="12"/>
        <v>-6.2850364785597065E-2</v>
      </c>
      <c r="O20" s="94">
        <v>98430</v>
      </c>
      <c r="P20" s="95">
        <v>108540</v>
      </c>
      <c r="Q20" s="115">
        <f t="shared" si="13"/>
        <v>-9.3145384190160316E-2</v>
      </c>
      <c r="R20" s="95">
        <v>46846</v>
      </c>
      <c r="S20" s="95">
        <v>51025</v>
      </c>
      <c r="T20" s="115">
        <f t="shared" si="14"/>
        <v>-8.1901028907398338E-2</v>
      </c>
      <c r="U20" s="95">
        <v>42488</v>
      </c>
      <c r="V20" s="95">
        <v>41136</v>
      </c>
      <c r="W20" s="111">
        <f t="shared" si="15"/>
        <v>3.2866588875923766E-2</v>
      </c>
      <c r="X20" s="96">
        <f t="shared" si="16"/>
        <v>539243</v>
      </c>
      <c r="Y20" s="97">
        <f t="shared" si="16"/>
        <v>613327</v>
      </c>
      <c r="Z20" s="119">
        <f t="shared" si="17"/>
        <v>-0.12079037772672653</v>
      </c>
    </row>
    <row r="21" spans="1:26">
      <c r="A21" s="92">
        <v>45396</v>
      </c>
      <c r="B21" s="93">
        <v>15</v>
      </c>
      <c r="C21" s="94">
        <v>157056</v>
      </c>
      <c r="D21" s="95">
        <v>180647</v>
      </c>
      <c r="E21" s="111">
        <f t="shared" si="9"/>
        <v>-0.13059170647727336</v>
      </c>
      <c r="F21" s="94">
        <v>48685</v>
      </c>
      <c r="G21" s="95">
        <v>73811</v>
      </c>
      <c r="H21" s="111">
        <f t="shared" si="10"/>
        <v>-0.34040996599422851</v>
      </c>
      <c r="I21" s="94">
        <v>65724</v>
      </c>
      <c r="J21" s="95">
        <v>75561</v>
      </c>
      <c r="K21" s="111">
        <f t="shared" si="11"/>
        <v>-0.13018620717036566</v>
      </c>
      <c r="L21" s="94">
        <v>51648</v>
      </c>
      <c r="M21" s="95">
        <v>65087</v>
      </c>
      <c r="N21" s="111">
        <f t="shared" si="12"/>
        <v>-0.20647748398297663</v>
      </c>
      <c r="O21" s="94">
        <v>99534</v>
      </c>
      <c r="P21" s="95">
        <v>113820</v>
      </c>
      <c r="Q21" s="115">
        <f t="shared" si="13"/>
        <v>-0.12551396942540854</v>
      </c>
      <c r="R21" s="95">
        <v>41617</v>
      </c>
      <c r="S21" s="95">
        <v>53285</v>
      </c>
      <c r="T21" s="115">
        <f t="shared" si="14"/>
        <v>-0.21897344468424509</v>
      </c>
      <c r="U21" s="95">
        <v>36941</v>
      </c>
      <c r="V21" s="95">
        <v>44449</v>
      </c>
      <c r="W21" s="111">
        <f t="shared" si="15"/>
        <v>-0.16891268644963892</v>
      </c>
      <c r="X21" s="96">
        <f t="shared" si="16"/>
        <v>501205</v>
      </c>
      <c r="Y21" s="97">
        <f t="shared" si="16"/>
        <v>606660</v>
      </c>
      <c r="Z21" s="119">
        <f t="shared" si="17"/>
        <v>-0.17382883328388224</v>
      </c>
    </row>
    <row r="22" spans="1:26">
      <c r="A22" s="92">
        <v>45403</v>
      </c>
      <c r="B22" s="93">
        <v>16</v>
      </c>
      <c r="C22" s="94">
        <v>159213</v>
      </c>
      <c r="D22" s="95">
        <v>166235</v>
      </c>
      <c r="E22" s="111">
        <f t="shared" si="9"/>
        <v>-4.2241405239570484E-2</v>
      </c>
      <c r="F22" s="94">
        <v>47877</v>
      </c>
      <c r="G22" s="95">
        <v>58142</v>
      </c>
      <c r="H22" s="111">
        <f t="shared" si="10"/>
        <v>-0.17655051425819546</v>
      </c>
      <c r="I22" s="94">
        <v>68291</v>
      </c>
      <c r="J22" s="95">
        <v>73748</v>
      </c>
      <c r="K22" s="111">
        <f t="shared" si="11"/>
        <v>-7.3995226989206492E-2</v>
      </c>
      <c r="L22" s="94">
        <v>57439</v>
      </c>
      <c r="M22" s="95">
        <v>61693</v>
      </c>
      <c r="N22" s="111">
        <f t="shared" si="12"/>
        <v>-6.8954338417648683E-2</v>
      </c>
      <c r="O22" s="94">
        <v>103408</v>
      </c>
      <c r="P22" s="95">
        <v>113224</v>
      </c>
      <c r="Q22" s="115">
        <f t="shared" si="13"/>
        <v>-8.6695400268494316E-2</v>
      </c>
      <c r="R22" s="95">
        <v>42271</v>
      </c>
      <c r="S22" s="95">
        <v>47907</v>
      </c>
      <c r="T22" s="115">
        <f t="shared" si="14"/>
        <v>-0.11764460308514413</v>
      </c>
      <c r="U22" s="95">
        <v>41203</v>
      </c>
      <c r="V22" s="95">
        <v>40179</v>
      </c>
      <c r="W22" s="111">
        <f t="shared" si="15"/>
        <v>2.5485950372084919E-2</v>
      </c>
      <c r="X22" s="96">
        <f t="shared" si="16"/>
        <v>519702</v>
      </c>
      <c r="Y22" s="97">
        <f t="shared" si="16"/>
        <v>561128</v>
      </c>
      <c r="Z22" s="119">
        <f t="shared" si="17"/>
        <v>-7.3826292753168613E-2</v>
      </c>
    </row>
    <row r="23" spans="1:26">
      <c r="A23" s="92">
        <v>45410</v>
      </c>
      <c r="B23" s="93">
        <v>17</v>
      </c>
      <c r="C23" s="94">
        <v>165535</v>
      </c>
      <c r="D23" s="95">
        <v>159538</v>
      </c>
      <c r="E23" s="111">
        <f t="shared" si="9"/>
        <v>3.7589790520126863E-2</v>
      </c>
      <c r="F23" s="94">
        <v>50435</v>
      </c>
      <c r="G23" s="95">
        <v>59063</v>
      </c>
      <c r="H23" s="111">
        <f t="shared" si="10"/>
        <v>-0.14608130301542421</v>
      </c>
      <c r="I23" s="94">
        <v>70851</v>
      </c>
      <c r="J23" s="95">
        <v>71424</v>
      </c>
      <c r="K23" s="111">
        <f t="shared" si="11"/>
        <v>-8.0225134408602149E-3</v>
      </c>
      <c r="L23" s="94">
        <v>55843</v>
      </c>
      <c r="M23" s="95">
        <v>64791</v>
      </c>
      <c r="N23" s="111">
        <f t="shared" si="12"/>
        <v>-0.13810560108657066</v>
      </c>
      <c r="O23" s="94">
        <v>108317</v>
      </c>
      <c r="P23" s="95">
        <v>119861</v>
      </c>
      <c r="Q23" s="115">
        <f t="shared" si="13"/>
        <v>-9.6311560891365833E-2</v>
      </c>
      <c r="R23" s="95">
        <v>46927</v>
      </c>
      <c r="S23" s="95">
        <v>48438</v>
      </c>
      <c r="T23" s="115">
        <f t="shared" si="14"/>
        <v>-3.119451670176308E-2</v>
      </c>
      <c r="U23" s="95">
        <v>40891</v>
      </c>
      <c r="V23" s="95">
        <v>49477</v>
      </c>
      <c r="W23" s="111">
        <f t="shared" si="15"/>
        <v>-0.17353517796147705</v>
      </c>
      <c r="X23" s="96">
        <f t="shared" ref="X23:X58" si="18">C23+F23+I23+L23+O23+R23+U23</f>
        <v>538799</v>
      </c>
      <c r="Y23" s="97">
        <f t="shared" ref="Y23:Y58" si="19">D23+G23+J23+M23+P23+S23+V23</f>
        <v>572592</v>
      </c>
      <c r="Z23" s="119">
        <f t="shared" ref="Z23:Z58" si="20">(X23-Y23)/Y23</f>
        <v>-5.9017590186380531E-2</v>
      </c>
    </row>
    <row r="24" spans="1:26">
      <c r="A24" s="92">
        <v>45417</v>
      </c>
      <c r="B24" s="93">
        <v>18</v>
      </c>
      <c r="C24" s="94">
        <v>176677</v>
      </c>
      <c r="D24" s="95">
        <v>180837</v>
      </c>
      <c r="E24" s="111">
        <f t="shared" si="9"/>
        <v>-2.3004141851501628E-2</v>
      </c>
      <c r="F24" s="94">
        <v>53218</v>
      </c>
      <c r="G24" s="95">
        <v>61962</v>
      </c>
      <c r="H24" s="111">
        <f t="shared" si="10"/>
        <v>-0.14111875020173656</v>
      </c>
      <c r="I24" s="94">
        <v>76371</v>
      </c>
      <c r="J24" s="95">
        <v>77485</v>
      </c>
      <c r="K24" s="111">
        <f t="shared" si="11"/>
        <v>-1.4376976188939794E-2</v>
      </c>
      <c r="L24" s="94">
        <v>62723</v>
      </c>
      <c r="M24" s="95">
        <v>63248</v>
      </c>
      <c r="N24" s="111">
        <f t="shared" si="12"/>
        <v>-8.3006577283076151E-3</v>
      </c>
      <c r="O24" s="94">
        <v>114999</v>
      </c>
      <c r="P24" s="95">
        <v>111792</v>
      </c>
      <c r="Q24" s="115">
        <f t="shared" si="13"/>
        <v>2.8687204808930871E-2</v>
      </c>
      <c r="R24" s="95">
        <v>52075</v>
      </c>
      <c r="S24" s="95">
        <v>50424</v>
      </c>
      <c r="T24" s="115">
        <f t="shared" si="14"/>
        <v>3.2742344915119785E-2</v>
      </c>
      <c r="U24" s="95">
        <v>49186</v>
      </c>
      <c r="V24" s="95">
        <v>46396</v>
      </c>
      <c r="W24" s="111">
        <f t="shared" si="15"/>
        <v>6.0134494352961462E-2</v>
      </c>
      <c r="X24" s="96">
        <f t="shared" si="18"/>
        <v>585249</v>
      </c>
      <c r="Y24" s="97">
        <f t="shared" si="19"/>
        <v>592144</v>
      </c>
      <c r="Z24" s="119">
        <f t="shared" si="20"/>
        <v>-1.1644127104217894E-2</v>
      </c>
    </row>
    <row r="25" spans="1:26">
      <c r="A25" s="92">
        <v>45424</v>
      </c>
      <c r="B25" s="93">
        <v>19</v>
      </c>
      <c r="C25" s="94">
        <v>175535</v>
      </c>
      <c r="D25" s="95">
        <v>165887</v>
      </c>
      <c r="E25" s="111">
        <f t="shared" si="9"/>
        <v>5.8160072820655023E-2</v>
      </c>
      <c r="F25" s="94">
        <v>52487</v>
      </c>
      <c r="G25" s="95">
        <v>60498</v>
      </c>
      <c r="H25" s="111">
        <f t="shared" si="10"/>
        <v>-0.13241760058183741</v>
      </c>
      <c r="I25" s="94">
        <v>79085</v>
      </c>
      <c r="J25" s="95">
        <v>76618</v>
      </c>
      <c r="K25" s="111">
        <f t="shared" si="11"/>
        <v>3.2198700044375993E-2</v>
      </c>
      <c r="L25" s="94">
        <v>58166</v>
      </c>
      <c r="M25" s="95">
        <v>58462</v>
      </c>
      <c r="N25" s="111">
        <f t="shared" si="12"/>
        <v>-5.0631179227532417E-3</v>
      </c>
      <c r="O25" s="94">
        <v>109423</v>
      </c>
      <c r="P25" s="95">
        <v>112006</v>
      </c>
      <c r="Q25" s="115">
        <f t="shared" si="13"/>
        <v>-2.3061264575112046E-2</v>
      </c>
      <c r="R25" s="95">
        <v>42586</v>
      </c>
      <c r="S25" s="95">
        <v>45404</v>
      </c>
      <c r="T25" s="115">
        <f t="shared" si="14"/>
        <v>-6.2065016298123513E-2</v>
      </c>
      <c r="U25" s="95">
        <v>43542</v>
      </c>
      <c r="V25" s="95">
        <v>43632</v>
      </c>
      <c r="W25" s="111">
        <f t="shared" si="15"/>
        <v>-2.0627062706270625E-3</v>
      </c>
      <c r="X25" s="96">
        <f t="shared" si="18"/>
        <v>560824</v>
      </c>
      <c r="Y25" s="97">
        <f t="shared" si="19"/>
        <v>562507</v>
      </c>
      <c r="Z25" s="119">
        <f t="shared" si="20"/>
        <v>-2.99196276668557E-3</v>
      </c>
    </row>
    <row r="26" spans="1:26">
      <c r="A26" s="92">
        <v>45431</v>
      </c>
      <c r="B26" s="93">
        <v>20</v>
      </c>
      <c r="C26" s="94">
        <v>165720</v>
      </c>
      <c r="D26" s="95">
        <v>167632</v>
      </c>
      <c r="E26" s="111">
        <f t="shared" si="9"/>
        <v>-1.1405936813973465E-2</v>
      </c>
      <c r="F26" s="94">
        <v>50159</v>
      </c>
      <c r="G26" s="95">
        <v>60465</v>
      </c>
      <c r="H26" s="111">
        <f t="shared" si="10"/>
        <v>-0.17044571239560077</v>
      </c>
      <c r="I26" s="94">
        <v>75436</v>
      </c>
      <c r="J26" s="95">
        <v>67577</v>
      </c>
      <c r="K26" s="111">
        <f t="shared" si="11"/>
        <v>0.11629696494369386</v>
      </c>
      <c r="L26" s="94">
        <v>61438</v>
      </c>
      <c r="M26" s="95">
        <v>66315</v>
      </c>
      <c r="N26" s="111">
        <f t="shared" si="12"/>
        <v>-7.3542939003242103E-2</v>
      </c>
      <c r="O26" s="94">
        <v>107235</v>
      </c>
      <c r="P26" s="95">
        <v>110371</v>
      </c>
      <c r="Q26" s="115">
        <f t="shared" si="13"/>
        <v>-2.8413260729720669E-2</v>
      </c>
      <c r="R26" s="95">
        <v>44125</v>
      </c>
      <c r="S26" s="95">
        <v>46715</v>
      </c>
      <c r="T26" s="115">
        <f t="shared" si="14"/>
        <v>-5.5442577330621856E-2</v>
      </c>
      <c r="U26" s="95">
        <v>44902</v>
      </c>
      <c r="V26" s="95">
        <v>44922</v>
      </c>
      <c r="W26" s="111">
        <f t="shared" si="15"/>
        <v>-4.4521615244201058E-4</v>
      </c>
      <c r="X26" s="96">
        <f t="shared" si="18"/>
        <v>549015</v>
      </c>
      <c r="Y26" s="97">
        <f t="shared" si="19"/>
        <v>563997</v>
      </c>
      <c r="Z26" s="119">
        <f t="shared" si="20"/>
        <v>-2.6563971084952578E-2</v>
      </c>
    </row>
    <row r="27" spans="1:26">
      <c r="A27" s="92">
        <v>45438</v>
      </c>
      <c r="B27" s="93">
        <v>21</v>
      </c>
      <c r="C27" s="94">
        <v>158250</v>
      </c>
      <c r="D27" s="95">
        <v>174045</v>
      </c>
      <c r="E27" s="111">
        <f t="shared" si="9"/>
        <v>-9.0752391622856157E-2</v>
      </c>
      <c r="F27" s="94">
        <v>49232</v>
      </c>
      <c r="G27" s="95">
        <v>63453</v>
      </c>
      <c r="H27" s="111">
        <f t="shared" si="10"/>
        <v>-0.22411863899264023</v>
      </c>
      <c r="I27" s="94">
        <v>74953</v>
      </c>
      <c r="J27" s="95">
        <v>87095</v>
      </c>
      <c r="K27" s="111">
        <f t="shared" si="11"/>
        <v>-0.13941098800160745</v>
      </c>
      <c r="L27" s="94">
        <v>56866</v>
      </c>
      <c r="M27" s="95">
        <v>70250</v>
      </c>
      <c r="N27" s="111">
        <f t="shared" si="12"/>
        <v>-0.19051957295373664</v>
      </c>
      <c r="O27" s="94">
        <v>103405</v>
      </c>
      <c r="P27" s="95">
        <v>102486</v>
      </c>
      <c r="Q27" s="115">
        <f t="shared" si="13"/>
        <v>8.9670784302246162E-3</v>
      </c>
      <c r="R27" s="95">
        <v>42259</v>
      </c>
      <c r="S27" s="95">
        <v>45182</v>
      </c>
      <c r="T27" s="115">
        <f t="shared" si="14"/>
        <v>-6.4693904652295159E-2</v>
      </c>
      <c r="U27" s="95">
        <v>43102</v>
      </c>
      <c r="V27" s="95">
        <v>42349</v>
      </c>
      <c r="W27" s="111">
        <f t="shared" si="15"/>
        <v>1.7780821270868261E-2</v>
      </c>
      <c r="X27" s="96">
        <f t="shared" si="18"/>
        <v>528067</v>
      </c>
      <c r="Y27" s="97">
        <f t="shared" si="19"/>
        <v>584860</v>
      </c>
      <c r="Z27" s="119">
        <f t="shared" si="20"/>
        <v>-9.710529015490886E-2</v>
      </c>
    </row>
    <row r="28" spans="1:26">
      <c r="A28" s="92">
        <v>45445</v>
      </c>
      <c r="B28" s="93">
        <v>22</v>
      </c>
      <c r="C28" s="94">
        <v>173777</v>
      </c>
      <c r="D28" s="95">
        <v>175894</v>
      </c>
      <c r="E28" s="111">
        <f t="shared" si="9"/>
        <v>-1.2035657839380536E-2</v>
      </c>
      <c r="F28" s="94">
        <v>52425</v>
      </c>
      <c r="G28" s="95">
        <v>69331</v>
      </c>
      <c r="H28" s="111">
        <f t="shared" si="10"/>
        <v>-0.24384474477506454</v>
      </c>
      <c r="I28" s="94">
        <v>78498</v>
      </c>
      <c r="J28" s="95">
        <v>77741</v>
      </c>
      <c r="K28" s="111">
        <f t="shared" si="11"/>
        <v>9.7374615711143409E-3</v>
      </c>
      <c r="L28" s="94">
        <v>60968</v>
      </c>
      <c r="M28" s="95">
        <v>74808</v>
      </c>
      <c r="N28" s="111">
        <f t="shared" si="12"/>
        <v>-0.18500695112822158</v>
      </c>
      <c r="O28" s="94">
        <v>96723</v>
      </c>
      <c r="P28" s="95">
        <v>103277</v>
      </c>
      <c r="Q28" s="115">
        <f t="shared" si="13"/>
        <v>-6.3460402606582297E-2</v>
      </c>
      <c r="R28" s="95">
        <v>41460</v>
      </c>
      <c r="S28" s="95">
        <v>50779</v>
      </c>
      <c r="T28" s="115">
        <f t="shared" si="14"/>
        <v>-0.18352074676539515</v>
      </c>
      <c r="U28" s="95">
        <v>48783</v>
      </c>
      <c r="V28" s="95">
        <v>43611</v>
      </c>
      <c r="W28" s="111">
        <f t="shared" si="15"/>
        <v>0.11859393272339547</v>
      </c>
      <c r="X28" s="96">
        <f t="shared" si="18"/>
        <v>552634</v>
      </c>
      <c r="Y28" s="97">
        <f t="shared" si="19"/>
        <v>595441</v>
      </c>
      <c r="Z28" s="119">
        <f t="shared" si="20"/>
        <v>-7.1891253709435526E-2</v>
      </c>
    </row>
    <row r="29" spans="1:26">
      <c r="A29" s="92">
        <v>45452</v>
      </c>
      <c r="B29" s="93">
        <v>23</v>
      </c>
      <c r="C29" s="94">
        <v>174493</v>
      </c>
      <c r="D29" s="95">
        <v>173003</v>
      </c>
      <c r="E29" s="111">
        <f t="shared" si="9"/>
        <v>8.612567412125802E-3</v>
      </c>
      <c r="F29" s="94">
        <v>50103</v>
      </c>
      <c r="G29" s="95">
        <v>64747</v>
      </c>
      <c r="H29" s="111">
        <f t="shared" si="10"/>
        <v>-0.22617264120345343</v>
      </c>
      <c r="I29" s="94">
        <v>76440</v>
      </c>
      <c r="J29" s="95">
        <v>71909</v>
      </c>
      <c r="K29" s="111">
        <f t="shared" si="11"/>
        <v>6.301019343892976E-2</v>
      </c>
      <c r="L29" s="94">
        <v>56788</v>
      </c>
      <c r="M29" s="95">
        <v>67634</v>
      </c>
      <c r="N29" s="111">
        <f t="shared" si="12"/>
        <v>-0.16036313096963065</v>
      </c>
      <c r="O29" s="94">
        <v>96449</v>
      </c>
      <c r="P29" s="95">
        <v>100411</v>
      </c>
      <c r="Q29" s="115">
        <f t="shared" si="13"/>
        <v>-3.945782832558186E-2</v>
      </c>
      <c r="R29" s="95">
        <v>52610</v>
      </c>
      <c r="S29" s="95">
        <v>56250</v>
      </c>
      <c r="T29" s="115">
        <f t="shared" si="14"/>
        <v>-6.4711111111111108E-2</v>
      </c>
      <c r="U29" s="95">
        <v>47352</v>
      </c>
      <c r="V29" s="95">
        <v>43313</v>
      </c>
      <c r="W29" s="111">
        <f t="shared" si="15"/>
        <v>9.3251448756724309E-2</v>
      </c>
      <c r="X29" s="96">
        <f t="shared" si="18"/>
        <v>554235</v>
      </c>
      <c r="Y29" s="97">
        <f t="shared" si="19"/>
        <v>577267</v>
      </c>
      <c r="Z29" s="119">
        <f t="shared" si="20"/>
        <v>-3.9898348597789235E-2</v>
      </c>
    </row>
    <row r="30" spans="1:26">
      <c r="A30" s="92">
        <v>45459</v>
      </c>
      <c r="B30" s="93">
        <v>24</v>
      </c>
      <c r="C30" s="94">
        <v>186942</v>
      </c>
      <c r="D30" s="95">
        <v>174156</v>
      </c>
      <c r="E30" s="111">
        <f t="shared" si="9"/>
        <v>7.3416936539654101E-2</v>
      </c>
      <c r="F30" s="94">
        <v>66269</v>
      </c>
      <c r="G30" s="95">
        <v>64225</v>
      </c>
      <c r="H30" s="111">
        <f t="shared" si="10"/>
        <v>3.1825613079019072E-2</v>
      </c>
      <c r="I30" s="94">
        <v>91427</v>
      </c>
      <c r="J30" s="95">
        <v>73459</v>
      </c>
      <c r="K30" s="111">
        <f t="shared" si="11"/>
        <v>0.2445990280292408</v>
      </c>
      <c r="L30" s="94">
        <v>69449</v>
      </c>
      <c r="M30" s="95">
        <v>72524</v>
      </c>
      <c r="N30" s="111">
        <f t="shared" si="12"/>
        <v>-4.2399757321714193E-2</v>
      </c>
      <c r="O30" s="94">
        <v>108225</v>
      </c>
      <c r="P30" s="95">
        <v>107931</v>
      </c>
      <c r="Q30" s="115">
        <f t="shared" si="13"/>
        <v>2.7239625316174223E-3</v>
      </c>
      <c r="R30" s="95">
        <v>58170</v>
      </c>
      <c r="S30" s="95">
        <v>53724</v>
      </c>
      <c r="T30" s="115">
        <f t="shared" si="14"/>
        <v>8.27563100290373E-2</v>
      </c>
      <c r="U30" s="95">
        <v>47666</v>
      </c>
      <c r="V30" s="95">
        <v>42485</v>
      </c>
      <c r="W30" s="111">
        <f t="shared" si="15"/>
        <v>0.12194892314934683</v>
      </c>
      <c r="X30" s="96">
        <f t="shared" si="18"/>
        <v>628148</v>
      </c>
      <c r="Y30" s="97">
        <f t="shared" si="19"/>
        <v>588504</v>
      </c>
      <c r="Z30" s="119">
        <f t="shared" si="20"/>
        <v>6.7364028111958463E-2</v>
      </c>
    </row>
    <row r="31" spans="1:26">
      <c r="A31" s="92">
        <v>45466</v>
      </c>
      <c r="B31" s="93">
        <v>25</v>
      </c>
      <c r="C31" s="94">
        <v>185341</v>
      </c>
      <c r="D31" s="95">
        <v>165916</v>
      </c>
      <c r="E31" s="111">
        <f t="shared" si="9"/>
        <v>0.11707731623231032</v>
      </c>
      <c r="F31" s="94">
        <v>67843</v>
      </c>
      <c r="G31" s="95">
        <v>59075</v>
      </c>
      <c r="H31" s="111">
        <f t="shared" si="10"/>
        <v>0.14842149809564115</v>
      </c>
      <c r="I31" s="94">
        <v>90005</v>
      </c>
      <c r="J31" s="95">
        <v>78349</v>
      </c>
      <c r="K31" s="111">
        <f t="shared" si="11"/>
        <v>0.14877024595080984</v>
      </c>
      <c r="L31" s="94">
        <v>68994</v>
      </c>
      <c r="M31" s="95">
        <v>70088</v>
      </c>
      <c r="N31" s="111">
        <f t="shared" si="12"/>
        <v>-1.5608948750142678E-2</v>
      </c>
      <c r="O31" s="94">
        <v>105253</v>
      </c>
      <c r="P31" s="95">
        <v>109405</v>
      </c>
      <c r="Q31" s="115">
        <f t="shared" si="13"/>
        <v>-3.7950733513093554E-2</v>
      </c>
      <c r="R31" s="95">
        <v>54278</v>
      </c>
      <c r="S31" s="95">
        <v>46241</v>
      </c>
      <c r="T31" s="115">
        <f t="shared" si="14"/>
        <v>0.17380679483575182</v>
      </c>
      <c r="U31" s="95">
        <v>43817</v>
      </c>
      <c r="V31" s="95">
        <v>41967</v>
      </c>
      <c r="W31" s="111">
        <f t="shared" si="15"/>
        <v>4.4082255105201709E-2</v>
      </c>
      <c r="X31" s="96">
        <f t="shared" si="18"/>
        <v>615531</v>
      </c>
      <c r="Y31" s="97">
        <f t="shared" si="19"/>
        <v>571041</v>
      </c>
      <c r="Z31" s="119">
        <f t="shared" si="20"/>
        <v>7.791034268992944E-2</v>
      </c>
    </row>
    <row r="32" spans="1:26">
      <c r="A32" s="92">
        <v>45473</v>
      </c>
      <c r="B32" s="93">
        <v>26</v>
      </c>
      <c r="C32" s="94">
        <v>175138</v>
      </c>
      <c r="D32" s="95">
        <v>161999</v>
      </c>
      <c r="E32" s="111">
        <f t="shared" si="9"/>
        <v>8.1105438922462483E-2</v>
      </c>
      <c r="F32" s="94">
        <v>61416</v>
      </c>
      <c r="G32" s="95">
        <v>59291</v>
      </c>
      <c r="H32" s="111">
        <f t="shared" si="10"/>
        <v>3.5840178104602723E-2</v>
      </c>
      <c r="I32" s="94">
        <v>91638</v>
      </c>
      <c r="J32" s="95">
        <v>75522</v>
      </c>
      <c r="K32" s="111">
        <f t="shared" si="11"/>
        <v>0.21339477238420593</v>
      </c>
      <c r="L32" s="94">
        <v>65836</v>
      </c>
      <c r="M32" s="95">
        <v>65860</v>
      </c>
      <c r="N32" s="111">
        <f t="shared" si="12"/>
        <v>-3.6440935317339813E-4</v>
      </c>
      <c r="O32" s="94">
        <v>111659</v>
      </c>
      <c r="P32" s="95">
        <v>116808</v>
      </c>
      <c r="Q32" s="115">
        <f t="shared" si="13"/>
        <v>-4.4080884870899256E-2</v>
      </c>
      <c r="R32" s="95">
        <v>51694</v>
      </c>
      <c r="S32" s="95">
        <v>51153</v>
      </c>
      <c r="T32" s="115">
        <f t="shared" si="14"/>
        <v>1.0576114792876273E-2</v>
      </c>
      <c r="U32" s="95">
        <v>44765</v>
      </c>
      <c r="V32" s="95">
        <v>45620</v>
      </c>
      <c r="W32" s="111">
        <f t="shared" si="15"/>
        <v>-1.8741779921087241E-2</v>
      </c>
      <c r="X32" s="96">
        <f t="shared" si="18"/>
        <v>602146</v>
      </c>
      <c r="Y32" s="97">
        <f t="shared" si="19"/>
        <v>576253</v>
      </c>
      <c r="Z32" s="119">
        <f t="shared" si="20"/>
        <v>4.4933388633117743E-2</v>
      </c>
    </row>
    <row r="33" spans="1:26">
      <c r="A33" s="92">
        <v>45480</v>
      </c>
      <c r="B33" s="93">
        <v>27</v>
      </c>
      <c r="C33" s="94">
        <v>184616</v>
      </c>
      <c r="D33" s="95">
        <v>164017</v>
      </c>
      <c r="E33" s="111">
        <f t="shared" si="9"/>
        <v>0.12559063999463471</v>
      </c>
      <c r="F33" s="94">
        <v>65288</v>
      </c>
      <c r="G33" s="95">
        <v>60436</v>
      </c>
      <c r="H33" s="111">
        <f t="shared" si="10"/>
        <v>8.0283274869283203E-2</v>
      </c>
      <c r="I33" s="94">
        <v>92455</v>
      </c>
      <c r="J33" s="95">
        <v>77668</v>
      </c>
      <c r="K33" s="111">
        <f t="shared" si="11"/>
        <v>0.19038728948859246</v>
      </c>
      <c r="L33" s="94">
        <v>86338</v>
      </c>
      <c r="M33" s="95">
        <v>65516</v>
      </c>
      <c r="N33" s="111">
        <f t="shared" si="12"/>
        <v>0.31781549545149279</v>
      </c>
      <c r="O33" s="94">
        <v>112189</v>
      </c>
      <c r="P33" s="95">
        <v>113291</v>
      </c>
      <c r="Q33" s="115">
        <f t="shared" si="13"/>
        <v>-9.7271627931609754E-3</v>
      </c>
      <c r="R33" s="95">
        <v>56662</v>
      </c>
      <c r="S33" s="95">
        <v>50674</v>
      </c>
      <c r="T33" s="115">
        <f t="shared" si="14"/>
        <v>0.1181671073923511</v>
      </c>
      <c r="U33" s="95">
        <v>48071</v>
      </c>
      <c r="V33" s="95">
        <v>47492</v>
      </c>
      <c r="W33" s="111">
        <f t="shared" si="15"/>
        <v>1.2191526994020046E-2</v>
      </c>
      <c r="X33" s="96">
        <f t="shared" si="18"/>
        <v>645619</v>
      </c>
      <c r="Y33" s="97">
        <f t="shared" si="19"/>
        <v>579094</v>
      </c>
      <c r="Z33" s="119">
        <f t="shared" si="20"/>
        <v>0.11487772278766487</v>
      </c>
    </row>
    <row r="34" spans="1:26">
      <c r="A34" s="92">
        <v>45487</v>
      </c>
      <c r="B34" s="93">
        <v>28</v>
      </c>
      <c r="C34" s="94">
        <v>178549</v>
      </c>
      <c r="D34" s="95">
        <v>172276</v>
      </c>
      <c r="E34" s="111">
        <f t="shared" ref="E34:E58" si="21">(C34-D34)/D34</f>
        <v>3.6412500870695863E-2</v>
      </c>
      <c r="F34" s="94">
        <v>57681</v>
      </c>
      <c r="G34" s="95">
        <v>59402</v>
      </c>
      <c r="H34" s="111">
        <f t="shared" si="10"/>
        <v>-2.8972088481869298E-2</v>
      </c>
      <c r="I34" s="94">
        <v>85401</v>
      </c>
      <c r="J34" s="95">
        <v>84712</v>
      </c>
      <c r="K34" s="111">
        <f t="shared" si="11"/>
        <v>8.1334403626404754E-3</v>
      </c>
      <c r="L34" s="94">
        <v>95847</v>
      </c>
      <c r="M34" s="95">
        <v>67923</v>
      </c>
      <c r="N34" s="111">
        <f t="shared" si="12"/>
        <v>0.41111258336645906</v>
      </c>
      <c r="O34" s="94">
        <v>108256</v>
      </c>
      <c r="P34" s="95">
        <v>115322</v>
      </c>
      <c r="Q34" s="115">
        <f t="shared" si="13"/>
        <v>-6.1271916893567577E-2</v>
      </c>
      <c r="R34" s="95">
        <v>52555</v>
      </c>
      <c r="S34" s="95">
        <v>49722</v>
      </c>
      <c r="T34" s="115">
        <f t="shared" si="14"/>
        <v>5.6976790957724947E-2</v>
      </c>
      <c r="U34" s="95">
        <v>45390</v>
      </c>
      <c r="V34" s="95">
        <v>46171</v>
      </c>
      <c r="W34" s="111">
        <f t="shared" si="15"/>
        <v>-1.6915379783847002E-2</v>
      </c>
      <c r="X34" s="96">
        <f t="shared" si="18"/>
        <v>623679</v>
      </c>
      <c r="Y34" s="97">
        <f t="shared" si="19"/>
        <v>595528</v>
      </c>
      <c r="Z34" s="119">
        <f t="shared" si="20"/>
        <v>4.7270657299069062E-2</v>
      </c>
    </row>
    <row r="35" spans="1:26">
      <c r="A35" s="92">
        <v>45494</v>
      </c>
      <c r="B35" s="93">
        <v>29</v>
      </c>
      <c r="C35" s="94">
        <v>170891</v>
      </c>
      <c r="D35" s="95">
        <v>165018</v>
      </c>
      <c r="E35" s="111">
        <f t="shared" si="21"/>
        <v>3.559005684228387E-2</v>
      </c>
      <c r="F35" s="94">
        <v>55440</v>
      </c>
      <c r="G35" s="95">
        <v>67803</v>
      </c>
      <c r="H35" s="111">
        <f t="shared" si="10"/>
        <v>-0.18233706473164904</v>
      </c>
      <c r="I35" s="94">
        <v>82263</v>
      </c>
      <c r="J35" s="95">
        <v>84063</v>
      </c>
      <c r="K35" s="111">
        <f t="shared" si="11"/>
        <v>-2.1412512044538024E-2</v>
      </c>
      <c r="L35" s="94">
        <v>86807</v>
      </c>
      <c r="M35" s="95">
        <v>71524</v>
      </c>
      <c r="N35" s="111">
        <f t="shared" si="12"/>
        <v>0.2136765281583804</v>
      </c>
      <c r="O35" s="94">
        <v>114264</v>
      </c>
      <c r="P35" s="95">
        <v>114283</v>
      </c>
      <c r="Q35" s="115">
        <f t="shared" si="13"/>
        <v>-1.6625394853127761E-4</v>
      </c>
      <c r="R35" s="95">
        <v>48708</v>
      </c>
      <c r="S35" s="95">
        <v>54320</v>
      </c>
      <c r="T35" s="115">
        <f t="shared" si="14"/>
        <v>-0.10331369661266568</v>
      </c>
      <c r="U35" s="95">
        <v>49356</v>
      </c>
      <c r="V35" s="95">
        <v>47865</v>
      </c>
      <c r="W35" s="111">
        <f t="shared" si="15"/>
        <v>3.1150109683484802E-2</v>
      </c>
      <c r="X35" s="96">
        <f t="shared" si="18"/>
        <v>607729</v>
      </c>
      <c r="Y35" s="97">
        <f t="shared" si="19"/>
        <v>604876</v>
      </c>
      <c r="Z35" s="119">
        <f t="shared" si="20"/>
        <v>4.7166692016214892E-3</v>
      </c>
    </row>
    <row r="36" spans="1:26">
      <c r="A36" s="92">
        <v>45501</v>
      </c>
      <c r="B36" s="93">
        <v>30</v>
      </c>
      <c r="C36" s="94">
        <v>173014</v>
      </c>
      <c r="D36" s="95">
        <v>173387</v>
      </c>
      <c r="E36" s="111">
        <f t="shared" si="21"/>
        <v>-2.1512570146550781E-3</v>
      </c>
      <c r="F36" s="94">
        <v>59805</v>
      </c>
      <c r="G36" s="95">
        <v>68292</v>
      </c>
      <c r="H36" s="111">
        <f t="shared" si="10"/>
        <v>-0.12427517132314181</v>
      </c>
      <c r="I36" s="94">
        <v>84636</v>
      </c>
      <c r="J36" s="95">
        <v>86773</v>
      </c>
      <c r="K36" s="111">
        <f t="shared" si="11"/>
        <v>-2.4627476288707317E-2</v>
      </c>
      <c r="L36" s="94">
        <v>64013</v>
      </c>
      <c r="M36" s="95">
        <v>68347</v>
      </c>
      <c r="N36" s="111">
        <f t="shared" si="12"/>
        <v>-6.3411707902321979E-2</v>
      </c>
      <c r="O36" s="94">
        <v>113644</v>
      </c>
      <c r="P36" s="95">
        <v>109576</v>
      </c>
      <c r="Q36" s="115">
        <f t="shared" si="13"/>
        <v>3.7124917865225961E-2</v>
      </c>
      <c r="R36" s="95">
        <v>49854</v>
      </c>
      <c r="S36" s="95">
        <v>58195</v>
      </c>
      <c r="T36" s="115">
        <f t="shared" si="14"/>
        <v>-0.14332846464472893</v>
      </c>
      <c r="U36" s="95">
        <v>46749</v>
      </c>
      <c r="V36" s="95">
        <v>42908</v>
      </c>
      <c r="W36" s="111">
        <f t="shared" si="15"/>
        <v>8.9517106367111035E-2</v>
      </c>
      <c r="X36" s="96">
        <f t="shared" si="18"/>
        <v>591715</v>
      </c>
      <c r="Y36" s="97">
        <f t="shared" si="19"/>
        <v>607478</v>
      </c>
      <c r="Z36" s="119">
        <f t="shared" si="20"/>
        <v>-2.5948264793128312E-2</v>
      </c>
    </row>
    <row r="37" spans="1:26">
      <c r="A37" s="92">
        <v>45508</v>
      </c>
      <c r="B37" s="93">
        <v>31</v>
      </c>
      <c r="C37" s="94">
        <v>171814</v>
      </c>
      <c r="D37" s="95">
        <v>165369</v>
      </c>
      <c r="E37" s="111">
        <f t="shared" si="21"/>
        <v>3.8973447260369234E-2</v>
      </c>
      <c r="F37" s="94">
        <v>62008</v>
      </c>
      <c r="G37" s="95">
        <v>62636</v>
      </c>
      <c r="H37" s="111">
        <f t="shared" si="10"/>
        <v>-1.0026183025735998E-2</v>
      </c>
      <c r="I37" s="94">
        <v>84604</v>
      </c>
      <c r="J37" s="95">
        <v>85731</v>
      </c>
      <c r="K37" s="111">
        <f t="shared" si="11"/>
        <v>-1.3145769908201235E-2</v>
      </c>
      <c r="L37" s="94">
        <v>63023</v>
      </c>
      <c r="M37" s="95">
        <v>68276</v>
      </c>
      <c r="N37" s="111">
        <f t="shared" si="12"/>
        <v>-7.6937723358134633E-2</v>
      </c>
      <c r="O37" s="94">
        <v>90549</v>
      </c>
      <c r="P37" s="95">
        <v>104315</v>
      </c>
      <c r="Q37" s="115">
        <f t="shared" si="13"/>
        <v>-0.1319656808704405</v>
      </c>
      <c r="R37" s="95">
        <v>50221</v>
      </c>
      <c r="S37" s="95">
        <v>41545</v>
      </c>
      <c r="T37" s="115">
        <f t="shared" si="14"/>
        <v>0.20883379468046695</v>
      </c>
      <c r="U37" s="95">
        <v>46096</v>
      </c>
      <c r="V37" s="95">
        <v>49029</v>
      </c>
      <c r="W37" s="111">
        <f t="shared" si="15"/>
        <v>-5.9821738154969509E-2</v>
      </c>
      <c r="X37" s="96">
        <f>C37+F37+I37+L37+O37+R37+U37</f>
        <v>568315</v>
      </c>
      <c r="Y37" s="97">
        <f t="shared" si="19"/>
        <v>576901</v>
      </c>
      <c r="Z37" s="119">
        <f t="shared" si="20"/>
        <v>-1.4882969521633694E-2</v>
      </c>
    </row>
    <row r="38" spans="1:26">
      <c r="A38" s="92">
        <v>45515</v>
      </c>
      <c r="B38" s="93">
        <v>32</v>
      </c>
      <c r="C38" s="94">
        <v>169181</v>
      </c>
      <c r="D38" s="95">
        <v>162568</v>
      </c>
      <c r="E38" s="112">
        <f t="shared" si="21"/>
        <v>4.0678362285320603E-2</v>
      </c>
      <c r="F38" s="94">
        <v>61024</v>
      </c>
      <c r="G38" s="95">
        <v>58004</v>
      </c>
      <c r="H38" s="111">
        <f t="shared" si="10"/>
        <v>5.2065374801737813E-2</v>
      </c>
      <c r="I38" s="94">
        <v>77289</v>
      </c>
      <c r="J38" s="95">
        <v>74570</v>
      </c>
      <c r="K38" s="112">
        <f t="shared" si="11"/>
        <v>3.6462384336864689E-2</v>
      </c>
      <c r="L38" s="94">
        <v>58730</v>
      </c>
      <c r="M38" s="95">
        <v>68667</v>
      </c>
      <c r="N38" s="112">
        <f t="shared" si="12"/>
        <v>-0.14471288974325366</v>
      </c>
      <c r="O38" s="94">
        <v>97591</v>
      </c>
      <c r="P38" s="95">
        <v>105717</v>
      </c>
      <c r="Q38" s="115">
        <f t="shared" si="13"/>
        <v>-7.6865593991505624E-2</v>
      </c>
      <c r="R38" s="95">
        <v>46336</v>
      </c>
      <c r="S38" s="95">
        <v>45059</v>
      </c>
      <c r="T38" s="115">
        <f t="shared" si="14"/>
        <v>2.8340620075900488E-2</v>
      </c>
      <c r="U38" s="95">
        <v>45599</v>
      </c>
      <c r="V38" s="95">
        <v>49132</v>
      </c>
      <c r="W38" s="111">
        <f t="shared" si="15"/>
        <v>-7.1908328584222095E-2</v>
      </c>
      <c r="X38" s="96">
        <f t="shared" si="18"/>
        <v>555750</v>
      </c>
      <c r="Y38" s="97">
        <f t="shared" si="19"/>
        <v>563717</v>
      </c>
      <c r="Z38" s="119">
        <f t="shared" si="20"/>
        <v>-1.413297807233062E-2</v>
      </c>
    </row>
    <row r="39" spans="1:26">
      <c r="A39" s="92">
        <v>45522</v>
      </c>
      <c r="B39" s="93">
        <v>33</v>
      </c>
      <c r="C39" s="94">
        <v>173875</v>
      </c>
      <c r="D39" s="95">
        <v>163754</v>
      </c>
      <c r="E39" s="111">
        <f t="shared" si="21"/>
        <v>6.1806123819876158E-2</v>
      </c>
      <c r="F39" s="94">
        <v>65049</v>
      </c>
      <c r="G39" s="95">
        <v>47257</v>
      </c>
      <c r="H39" s="111">
        <f t="shared" si="10"/>
        <v>0.37649448758914023</v>
      </c>
      <c r="I39" s="94">
        <v>82889</v>
      </c>
      <c r="J39" s="95">
        <v>74099</v>
      </c>
      <c r="K39" s="111">
        <f t="shared" si="11"/>
        <v>0.11862508265968502</v>
      </c>
      <c r="L39" s="94">
        <v>62517</v>
      </c>
      <c r="M39" s="95">
        <v>80514</v>
      </c>
      <c r="N39" s="111">
        <f t="shared" si="12"/>
        <v>-0.22352634324465309</v>
      </c>
      <c r="O39" s="94">
        <v>108637</v>
      </c>
      <c r="P39" s="95">
        <v>106042</v>
      </c>
      <c r="Q39" s="115">
        <f t="shared" si="13"/>
        <v>2.4471435846174158E-2</v>
      </c>
      <c r="R39" s="95">
        <v>51768</v>
      </c>
      <c r="S39" s="95">
        <v>42905</v>
      </c>
      <c r="T39" s="115">
        <f t="shared" si="14"/>
        <v>0.20657266052907586</v>
      </c>
      <c r="U39" s="95">
        <v>47644</v>
      </c>
      <c r="V39" s="95">
        <v>45772</v>
      </c>
      <c r="W39" s="111">
        <f t="shared" si="15"/>
        <v>4.0898365813160885E-2</v>
      </c>
      <c r="X39" s="96">
        <f t="shared" si="18"/>
        <v>592379</v>
      </c>
      <c r="Y39" s="97">
        <f t="shared" si="19"/>
        <v>560343</v>
      </c>
      <c r="Z39" s="119">
        <f t="shared" si="20"/>
        <v>5.7172124930622847E-2</v>
      </c>
    </row>
    <row r="40" spans="1:26">
      <c r="A40" s="92">
        <v>45529</v>
      </c>
      <c r="B40" s="93">
        <v>34</v>
      </c>
      <c r="C40" s="94">
        <v>182115</v>
      </c>
      <c r="D40" s="95">
        <v>182836</v>
      </c>
      <c r="E40" s="111">
        <f t="shared" si="21"/>
        <v>-3.9434247084819182E-3</v>
      </c>
      <c r="F40" s="94">
        <v>60468</v>
      </c>
      <c r="G40" s="95">
        <v>59669</v>
      </c>
      <c r="H40" s="111">
        <f t="shared" si="10"/>
        <v>1.3390537800197758E-2</v>
      </c>
      <c r="I40" s="94">
        <v>80855</v>
      </c>
      <c r="J40" s="95">
        <v>84853</v>
      </c>
      <c r="K40" s="111">
        <f t="shared" si="11"/>
        <v>-4.7116778428576478E-2</v>
      </c>
      <c r="L40" s="94">
        <v>77405</v>
      </c>
      <c r="M40" s="95">
        <v>84343</v>
      </c>
      <c r="N40" s="111">
        <f t="shared" si="12"/>
        <v>-8.2259345766690778E-2</v>
      </c>
      <c r="O40" s="94">
        <v>122277</v>
      </c>
      <c r="P40" s="95">
        <v>105353</v>
      </c>
      <c r="Q40" s="115">
        <f t="shared" si="13"/>
        <v>0.16064089299782636</v>
      </c>
      <c r="R40" s="95">
        <v>46468</v>
      </c>
      <c r="S40" s="95">
        <v>42196</v>
      </c>
      <c r="T40" s="115">
        <f t="shared" si="14"/>
        <v>0.1012418238695611</v>
      </c>
      <c r="U40" s="95">
        <v>47577</v>
      </c>
      <c r="V40" s="95">
        <v>49565</v>
      </c>
      <c r="W40" s="111">
        <f t="shared" si="15"/>
        <v>-4.0108947846262483E-2</v>
      </c>
      <c r="X40" s="96">
        <f t="shared" si="18"/>
        <v>617165</v>
      </c>
      <c r="Y40" s="97">
        <f t="shared" si="19"/>
        <v>608815</v>
      </c>
      <c r="Z40" s="119">
        <f t="shared" si="20"/>
        <v>1.3715167990276193E-2</v>
      </c>
    </row>
    <row r="41" spans="1:26">
      <c r="A41" s="92">
        <v>45536</v>
      </c>
      <c r="B41" s="93">
        <v>35</v>
      </c>
      <c r="C41" s="94">
        <v>176071</v>
      </c>
      <c r="D41" s="95">
        <v>169082</v>
      </c>
      <c r="E41" s="111">
        <f t="shared" si="21"/>
        <v>4.1334973563123219E-2</v>
      </c>
      <c r="F41" s="94">
        <v>53091</v>
      </c>
      <c r="G41" s="95">
        <v>50370</v>
      </c>
      <c r="H41" s="111">
        <f t="shared" si="10"/>
        <v>5.4020250148898157E-2</v>
      </c>
      <c r="I41" s="94">
        <v>74376</v>
      </c>
      <c r="J41" s="95">
        <v>75806</v>
      </c>
      <c r="K41" s="111">
        <f t="shared" si="11"/>
        <v>-1.8863942168166108E-2</v>
      </c>
      <c r="L41" s="94">
        <v>61725</v>
      </c>
      <c r="M41" s="95">
        <v>75990</v>
      </c>
      <c r="N41" s="111">
        <f t="shared" si="12"/>
        <v>-0.18772206869324912</v>
      </c>
      <c r="O41" s="94">
        <v>100741</v>
      </c>
      <c r="P41" s="95">
        <v>104261</v>
      </c>
      <c r="Q41" s="115">
        <f t="shared" si="13"/>
        <v>-3.3761425652928709E-2</v>
      </c>
      <c r="R41" s="95">
        <v>44196</v>
      </c>
      <c r="S41" s="95">
        <v>44759</v>
      </c>
      <c r="T41" s="115">
        <f t="shared" si="14"/>
        <v>-1.2578475837261779E-2</v>
      </c>
      <c r="U41" s="95">
        <v>43277</v>
      </c>
      <c r="V41" s="95">
        <v>44177</v>
      </c>
      <c r="W41" s="111">
        <f t="shared" si="15"/>
        <v>-2.0372592072798061E-2</v>
      </c>
      <c r="X41" s="96">
        <f t="shared" si="18"/>
        <v>553477</v>
      </c>
      <c r="Y41" s="97">
        <f t="shared" si="19"/>
        <v>564445</v>
      </c>
      <c r="Z41" s="119">
        <f t="shared" si="20"/>
        <v>-1.9431476937522698E-2</v>
      </c>
    </row>
    <row r="42" spans="1:26">
      <c r="A42" s="92">
        <v>45543</v>
      </c>
      <c r="B42" s="93">
        <v>36</v>
      </c>
      <c r="C42" s="94">
        <v>197086</v>
      </c>
      <c r="D42" s="95">
        <v>189122</v>
      </c>
      <c r="E42" s="111">
        <f t="shared" si="21"/>
        <v>4.2110383773437253E-2</v>
      </c>
      <c r="F42" s="94">
        <v>67677</v>
      </c>
      <c r="G42" s="95">
        <v>60130</v>
      </c>
      <c r="H42" s="111">
        <f t="shared" si="10"/>
        <v>0.1255113919840346</v>
      </c>
      <c r="I42" s="94">
        <v>85949</v>
      </c>
      <c r="J42" s="95">
        <v>86797</v>
      </c>
      <c r="K42" s="111">
        <f t="shared" si="11"/>
        <v>-9.7699229236033504E-3</v>
      </c>
      <c r="L42" s="94">
        <v>76168</v>
      </c>
      <c r="M42" s="95">
        <v>77957</v>
      </c>
      <c r="N42" s="111">
        <f t="shared" si="12"/>
        <v>-2.2948548558820888E-2</v>
      </c>
      <c r="O42" s="94">
        <v>134581</v>
      </c>
      <c r="P42" s="95">
        <v>120020</v>
      </c>
      <c r="Q42" s="115">
        <f t="shared" si="13"/>
        <v>0.12132144642559574</v>
      </c>
      <c r="R42" s="95">
        <v>52648</v>
      </c>
      <c r="S42" s="95">
        <v>52697</v>
      </c>
      <c r="T42" s="115">
        <f t="shared" si="14"/>
        <v>-9.2984420365485696E-4</v>
      </c>
      <c r="U42" s="95">
        <v>52472</v>
      </c>
      <c r="V42" s="95">
        <v>53221</v>
      </c>
      <c r="W42" s="111">
        <f t="shared" si="15"/>
        <v>-1.4073392082072866E-2</v>
      </c>
      <c r="X42" s="96">
        <f t="shared" si="18"/>
        <v>666581</v>
      </c>
      <c r="Y42" s="97">
        <f t="shared" si="19"/>
        <v>639944</v>
      </c>
      <c r="Z42" s="119">
        <f t="shared" si="20"/>
        <v>4.1623954596027149E-2</v>
      </c>
    </row>
    <row r="43" spans="1:26">
      <c r="A43" s="92">
        <v>45550</v>
      </c>
      <c r="B43" s="93">
        <v>37</v>
      </c>
      <c r="C43" s="94">
        <v>157476</v>
      </c>
      <c r="D43" s="95">
        <v>163013</v>
      </c>
      <c r="E43" s="111">
        <f t="shared" si="21"/>
        <v>-3.3966616159447405E-2</v>
      </c>
      <c r="F43" s="94">
        <v>50079</v>
      </c>
      <c r="G43" s="95">
        <v>47970</v>
      </c>
      <c r="H43" s="111">
        <f t="shared" si="10"/>
        <v>4.3964978111319573E-2</v>
      </c>
      <c r="I43" s="94">
        <v>67099</v>
      </c>
      <c r="J43" s="95">
        <v>66743</v>
      </c>
      <c r="K43" s="111">
        <f t="shared" si="11"/>
        <v>5.3338926928666675E-3</v>
      </c>
      <c r="L43" s="98">
        <v>42639</v>
      </c>
      <c r="M43" s="99">
        <v>63902</v>
      </c>
      <c r="N43" s="121">
        <f t="shared" si="12"/>
        <v>-0.33274388908015401</v>
      </c>
      <c r="O43" s="98">
        <v>44936</v>
      </c>
      <c r="P43" s="99">
        <v>100765</v>
      </c>
      <c r="Q43" s="122">
        <f t="shared" si="13"/>
        <v>-0.55405150597925867</v>
      </c>
      <c r="R43" s="95">
        <v>42177</v>
      </c>
      <c r="S43" s="95">
        <v>42948</v>
      </c>
      <c r="T43" s="115">
        <f t="shared" si="14"/>
        <v>-1.79519418832076E-2</v>
      </c>
      <c r="U43" s="95">
        <v>40207</v>
      </c>
      <c r="V43" s="95">
        <v>46191</v>
      </c>
      <c r="W43" s="111">
        <f t="shared" si="15"/>
        <v>-0.12954904635102077</v>
      </c>
      <c r="X43" s="96">
        <f t="shared" si="18"/>
        <v>444613</v>
      </c>
      <c r="Y43" s="97">
        <f t="shared" si="19"/>
        <v>531532</v>
      </c>
      <c r="Z43" s="119">
        <f t="shared" si="20"/>
        <v>-0.16352543214707674</v>
      </c>
    </row>
    <row r="44" spans="1:26">
      <c r="A44" s="92">
        <v>45557</v>
      </c>
      <c r="B44" s="93">
        <v>38</v>
      </c>
      <c r="C44" s="94">
        <v>168411</v>
      </c>
      <c r="D44" s="95">
        <v>157574</v>
      </c>
      <c r="E44" s="111">
        <f t="shared" si="21"/>
        <v>6.8774036325789781E-2</v>
      </c>
      <c r="F44" s="94">
        <v>52640</v>
      </c>
      <c r="G44" s="95">
        <v>47537</v>
      </c>
      <c r="H44" s="111">
        <f t="shared" si="10"/>
        <v>0.10734796053600354</v>
      </c>
      <c r="I44" s="94">
        <v>68350</v>
      </c>
      <c r="J44" s="95">
        <v>71733</v>
      </c>
      <c r="K44" s="111">
        <f t="shared" si="11"/>
        <v>-4.7160999818772392E-2</v>
      </c>
      <c r="L44" s="94">
        <v>52768</v>
      </c>
      <c r="M44" s="95">
        <v>60716</v>
      </c>
      <c r="N44" s="111">
        <f t="shared" si="12"/>
        <v>-0.13090453916595296</v>
      </c>
      <c r="O44" s="94">
        <v>72932</v>
      </c>
      <c r="P44" s="95">
        <v>100953</v>
      </c>
      <c r="Q44" s="115">
        <f t="shared" si="13"/>
        <v>-0.27756480738561506</v>
      </c>
      <c r="R44" s="95">
        <v>45766</v>
      </c>
      <c r="S44" s="95">
        <v>42739</v>
      </c>
      <c r="T44" s="115">
        <f t="shared" si="14"/>
        <v>7.0825241582629442E-2</v>
      </c>
      <c r="U44" s="95">
        <v>41087</v>
      </c>
      <c r="V44" s="95">
        <v>42223</v>
      </c>
      <c r="W44" s="111">
        <f t="shared" si="15"/>
        <v>-2.6904767543755773E-2</v>
      </c>
      <c r="X44" s="96">
        <f t="shared" si="18"/>
        <v>501954</v>
      </c>
      <c r="Y44" s="97">
        <f t="shared" si="19"/>
        <v>523475</v>
      </c>
      <c r="Z44" s="119">
        <f t="shared" si="20"/>
        <v>-4.1111800945603898E-2</v>
      </c>
    </row>
    <row r="45" spans="1:26">
      <c r="A45" s="92">
        <v>45564</v>
      </c>
      <c r="B45" s="93">
        <v>39</v>
      </c>
      <c r="C45" s="94">
        <v>158941</v>
      </c>
      <c r="D45" s="95">
        <v>167967</v>
      </c>
      <c r="E45" s="111">
        <f t="shared" si="21"/>
        <v>-5.3736745908422485E-2</v>
      </c>
      <c r="F45" s="94">
        <v>49944</v>
      </c>
      <c r="G45" s="95">
        <v>48645</v>
      </c>
      <c r="H45" s="111">
        <f t="shared" si="10"/>
        <v>2.6703669441874807E-2</v>
      </c>
      <c r="I45" s="94">
        <v>65278</v>
      </c>
      <c r="J45" s="95">
        <v>67797</v>
      </c>
      <c r="K45" s="111">
        <f t="shared" si="11"/>
        <v>-3.7155036358540935E-2</v>
      </c>
      <c r="L45" s="94">
        <v>49018</v>
      </c>
      <c r="M45" s="95">
        <v>62503</v>
      </c>
      <c r="N45" s="111">
        <f t="shared" si="12"/>
        <v>-0.21574964401708718</v>
      </c>
      <c r="O45" s="94">
        <v>82249</v>
      </c>
      <c r="P45" s="95">
        <v>103748</v>
      </c>
      <c r="Q45" s="115">
        <f t="shared" si="13"/>
        <v>-0.20722327177391373</v>
      </c>
      <c r="R45" s="95">
        <v>46302</v>
      </c>
      <c r="S45" s="95">
        <v>49144</v>
      </c>
      <c r="T45" s="115">
        <f t="shared" si="14"/>
        <v>-5.7830050463942698E-2</v>
      </c>
      <c r="U45" s="95">
        <v>42261</v>
      </c>
      <c r="V45" s="95">
        <v>45708</v>
      </c>
      <c r="W45" s="111">
        <f t="shared" si="15"/>
        <v>-7.5413494355473884E-2</v>
      </c>
      <c r="X45" s="96">
        <f t="shared" si="18"/>
        <v>493993</v>
      </c>
      <c r="Y45" s="97">
        <f t="shared" si="19"/>
        <v>545512</v>
      </c>
      <c r="Z45" s="119">
        <f t="shared" si="20"/>
        <v>-9.4441552156506181E-2</v>
      </c>
    </row>
    <row r="46" spans="1:26">
      <c r="A46" s="92">
        <v>45571</v>
      </c>
      <c r="B46" s="93">
        <v>40</v>
      </c>
      <c r="C46" s="94">
        <v>173757</v>
      </c>
      <c r="D46" s="95">
        <v>197235</v>
      </c>
      <c r="E46" s="111">
        <f t="shared" si="21"/>
        <v>-0.11903566811164347</v>
      </c>
      <c r="F46" s="94">
        <v>50858</v>
      </c>
      <c r="G46" s="95">
        <v>44904</v>
      </c>
      <c r="H46" s="111">
        <f t="shared" si="10"/>
        <v>0.13259397826474256</v>
      </c>
      <c r="I46" s="94">
        <v>74183</v>
      </c>
      <c r="J46" s="95">
        <v>73403</v>
      </c>
      <c r="K46" s="111">
        <f t="shared" si="11"/>
        <v>1.0626268681116576E-2</v>
      </c>
      <c r="L46" s="94">
        <v>56048</v>
      </c>
      <c r="M46" s="95">
        <v>57801</v>
      </c>
      <c r="N46" s="111">
        <f t="shared" si="12"/>
        <v>-3.0328195013927094E-2</v>
      </c>
      <c r="O46" s="94">
        <v>90010</v>
      </c>
      <c r="P46" s="95">
        <v>102118</v>
      </c>
      <c r="Q46" s="115">
        <f t="shared" si="13"/>
        <v>-0.11856871462425821</v>
      </c>
      <c r="R46" s="95">
        <v>49833</v>
      </c>
      <c r="S46" s="95">
        <v>42811</v>
      </c>
      <c r="T46" s="115">
        <f t="shared" si="14"/>
        <v>0.16402326504870243</v>
      </c>
      <c r="U46" s="95">
        <v>43738</v>
      </c>
      <c r="V46" s="95">
        <v>43109</v>
      </c>
      <c r="W46" s="111">
        <f t="shared" si="15"/>
        <v>1.4590920689415204E-2</v>
      </c>
      <c r="X46" s="96">
        <f t="shared" si="18"/>
        <v>538427</v>
      </c>
      <c r="Y46" s="97">
        <f t="shared" si="19"/>
        <v>561381</v>
      </c>
      <c r="Z46" s="119">
        <f t="shared" si="20"/>
        <v>-4.0888451871367221E-2</v>
      </c>
    </row>
    <row r="47" spans="1:26">
      <c r="A47" s="92">
        <v>45578</v>
      </c>
      <c r="B47" s="93">
        <v>41</v>
      </c>
      <c r="C47" s="94">
        <v>161646</v>
      </c>
      <c r="D47" s="95">
        <v>193345</v>
      </c>
      <c r="E47" s="111">
        <f t="shared" si="21"/>
        <v>-0.16395045126587188</v>
      </c>
      <c r="F47" s="94">
        <v>46577</v>
      </c>
      <c r="G47" s="95">
        <v>47601</v>
      </c>
      <c r="H47" s="111">
        <f t="shared" si="10"/>
        <v>-2.1512153106027183E-2</v>
      </c>
      <c r="I47" s="94">
        <v>69160</v>
      </c>
      <c r="J47" s="95">
        <v>71039</v>
      </c>
      <c r="K47" s="111">
        <f t="shared" si="11"/>
        <v>-2.6450259716493757E-2</v>
      </c>
      <c r="L47" s="94">
        <v>48903</v>
      </c>
      <c r="M47" s="95">
        <v>58586</v>
      </c>
      <c r="N47" s="111">
        <f t="shared" si="12"/>
        <v>-0.16527839415560031</v>
      </c>
      <c r="O47" s="94">
        <v>95284</v>
      </c>
      <c r="P47" s="95">
        <v>103131</v>
      </c>
      <c r="Q47" s="115">
        <f t="shared" si="13"/>
        <v>-7.6087694291726057E-2</v>
      </c>
      <c r="R47" s="95">
        <v>44995</v>
      </c>
      <c r="S47" s="95">
        <v>44239</v>
      </c>
      <c r="T47" s="115">
        <f t="shared" si="14"/>
        <v>1.7088993874183413E-2</v>
      </c>
      <c r="U47" s="95">
        <v>37232</v>
      </c>
      <c r="V47" s="95">
        <v>45189</v>
      </c>
      <c r="W47" s="111">
        <f t="shared" si="15"/>
        <v>-0.17608267498727567</v>
      </c>
      <c r="X47" s="96">
        <f t="shared" si="18"/>
        <v>503797</v>
      </c>
      <c r="Y47" s="97">
        <f t="shared" si="19"/>
        <v>563130</v>
      </c>
      <c r="Z47" s="119">
        <f t="shared" si="20"/>
        <v>-0.10536288246053309</v>
      </c>
    </row>
    <row r="48" spans="1:26">
      <c r="A48" s="92">
        <v>45585</v>
      </c>
      <c r="B48" s="93">
        <v>42</v>
      </c>
      <c r="C48" s="94">
        <v>169554</v>
      </c>
      <c r="D48" s="95">
        <v>195152</v>
      </c>
      <c r="E48" s="111">
        <f t="shared" si="21"/>
        <v>-0.13116954988931703</v>
      </c>
      <c r="F48" s="94">
        <v>48730</v>
      </c>
      <c r="G48" s="95">
        <v>52130</v>
      </c>
      <c r="H48" s="111">
        <f t="shared" si="10"/>
        <v>-6.5221561480913098E-2</v>
      </c>
      <c r="I48" s="94">
        <v>72354</v>
      </c>
      <c r="J48" s="95">
        <v>68849</v>
      </c>
      <c r="K48" s="111">
        <f t="shared" si="11"/>
        <v>5.0908509927522549E-2</v>
      </c>
      <c r="L48" s="94">
        <v>54834</v>
      </c>
      <c r="M48" s="95">
        <v>57291</v>
      </c>
      <c r="N48" s="111">
        <f t="shared" si="12"/>
        <v>-4.2886317222600411E-2</v>
      </c>
      <c r="O48" s="94">
        <v>102691</v>
      </c>
      <c r="P48" s="95">
        <v>90807</v>
      </c>
      <c r="Q48" s="115">
        <f t="shared" si="13"/>
        <v>0.13087096809717313</v>
      </c>
      <c r="R48" s="95">
        <v>49849</v>
      </c>
      <c r="S48" s="95">
        <v>43676</v>
      </c>
      <c r="T48" s="115">
        <f t="shared" si="14"/>
        <v>0.14133620294898799</v>
      </c>
      <c r="U48" s="95">
        <v>40224</v>
      </c>
      <c r="V48" s="95">
        <v>30610</v>
      </c>
      <c r="W48" s="111">
        <f t="shared" si="15"/>
        <v>0.31408036589349886</v>
      </c>
      <c r="X48" s="96">
        <f t="shared" si="18"/>
        <v>538236</v>
      </c>
      <c r="Y48" s="97">
        <f t="shared" si="19"/>
        <v>538515</v>
      </c>
      <c r="Z48" s="119">
        <f t="shared" si="20"/>
        <v>-5.1809141806634916E-4</v>
      </c>
    </row>
    <row r="49" spans="1:26">
      <c r="A49" s="92">
        <v>45592</v>
      </c>
      <c r="B49" s="93">
        <v>43</v>
      </c>
      <c r="C49" s="94">
        <v>170319</v>
      </c>
      <c r="D49" s="95">
        <v>210918</v>
      </c>
      <c r="E49" s="111">
        <f t="shared" si="21"/>
        <v>-0.19248712769891616</v>
      </c>
      <c r="F49" s="94">
        <v>48130</v>
      </c>
      <c r="G49" s="95">
        <v>53232</v>
      </c>
      <c r="H49" s="111">
        <f t="shared" si="10"/>
        <v>-9.5844604749023149E-2</v>
      </c>
      <c r="I49" s="94">
        <v>71353</v>
      </c>
      <c r="J49" s="95">
        <v>80147</v>
      </c>
      <c r="K49" s="111">
        <f t="shared" si="11"/>
        <v>-0.10972338328321708</v>
      </c>
      <c r="L49" s="94">
        <v>53196</v>
      </c>
      <c r="M49" s="95">
        <v>61513</v>
      </c>
      <c r="N49" s="111">
        <f t="shared" si="12"/>
        <v>-0.13520719197567993</v>
      </c>
      <c r="O49" s="94">
        <v>102805</v>
      </c>
      <c r="P49" s="95">
        <v>97606</v>
      </c>
      <c r="Q49" s="115">
        <f t="shared" si="13"/>
        <v>5.3265168124910355E-2</v>
      </c>
      <c r="R49" s="95">
        <v>45773</v>
      </c>
      <c r="S49" s="95">
        <v>47235</v>
      </c>
      <c r="T49" s="115">
        <f t="shared" si="14"/>
        <v>-3.0951624854451149E-2</v>
      </c>
      <c r="U49" s="95">
        <v>43454</v>
      </c>
      <c r="V49" s="95">
        <v>46670</v>
      </c>
      <c r="W49" s="111">
        <f t="shared" si="15"/>
        <v>-6.8909363616884503E-2</v>
      </c>
      <c r="X49" s="96">
        <f t="shared" si="18"/>
        <v>535030</v>
      </c>
      <c r="Y49" s="97">
        <f t="shared" si="19"/>
        <v>597321</v>
      </c>
      <c r="Z49" s="119">
        <f t="shared" si="20"/>
        <v>-0.10428396122018144</v>
      </c>
    </row>
    <row r="50" spans="1:26">
      <c r="A50" s="92">
        <v>45599</v>
      </c>
      <c r="B50" s="93">
        <v>44</v>
      </c>
      <c r="C50" s="94">
        <v>183281</v>
      </c>
      <c r="D50" s="95">
        <v>192806</v>
      </c>
      <c r="E50" s="111">
        <f t="shared" si="21"/>
        <v>-4.9401989564640106E-2</v>
      </c>
      <c r="F50" s="94">
        <v>51475</v>
      </c>
      <c r="G50" s="95">
        <v>49866</v>
      </c>
      <c r="H50" s="111">
        <f t="shared" si="10"/>
        <v>3.2266474150723944E-2</v>
      </c>
      <c r="I50" s="94">
        <v>78604</v>
      </c>
      <c r="J50" s="95">
        <v>88212</v>
      </c>
      <c r="K50" s="111">
        <f t="shared" si="11"/>
        <v>-0.10891942139391465</v>
      </c>
      <c r="L50" s="94">
        <v>62243</v>
      </c>
      <c r="M50" s="95">
        <v>66047</v>
      </c>
      <c r="N50" s="111">
        <f t="shared" si="12"/>
        <v>-5.7595348766787291E-2</v>
      </c>
      <c r="O50" s="94">
        <v>115041</v>
      </c>
      <c r="P50" s="95">
        <v>103645</v>
      </c>
      <c r="Q50" s="115">
        <f t="shared" si="13"/>
        <v>0.10995224082203676</v>
      </c>
      <c r="R50" s="95">
        <v>43840</v>
      </c>
      <c r="S50" s="95">
        <v>39701</v>
      </c>
      <c r="T50" s="115">
        <f t="shared" si="14"/>
        <v>0.10425430089922168</v>
      </c>
      <c r="U50" s="95">
        <v>49922</v>
      </c>
      <c r="V50" s="95">
        <v>47323</v>
      </c>
      <c r="W50" s="111">
        <f t="shared" si="15"/>
        <v>5.4920440377828963E-2</v>
      </c>
      <c r="X50" s="96">
        <f t="shared" si="18"/>
        <v>584406</v>
      </c>
      <c r="Y50" s="97">
        <f t="shared" si="19"/>
        <v>587600</v>
      </c>
      <c r="Z50" s="119">
        <f t="shared" si="20"/>
        <v>-5.4356705241660995E-3</v>
      </c>
    </row>
    <row r="51" spans="1:26">
      <c r="A51" s="92">
        <v>45606</v>
      </c>
      <c r="B51" s="93">
        <v>45</v>
      </c>
      <c r="C51" s="94">
        <v>174393</v>
      </c>
      <c r="D51" s="95">
        <v>173630</v>
      </c>
      <c r="E51" s="111">
        <f t="shared" si="21"/>
        <v>4.3944018890744686E-3</v>
      </c>
      <c r="F51" s="94">
        <v>49876</v>
      </c>
      <c r="G51" s="95">
        <v>47146</v>
      </c>
      <c r="H51" s="111">
        <f t="shared" si="10"/>
        <v>5.7905230560386885E-2</v>
      </c>
      <c r="I51" s="94">
        <v>64388</v>
      </c>
      <c r="J51" s="95">
        <v>71287</v>
      </c>
      <c r="K51" s="111">
        <f t="shared" si="11"/>
        <v>-9.6777813626607936E-2</v>
      </c>
      <c r="L51" s="94">
        <v>55039</v>
      </c>
      <c r="M51" s="95">
        <v>56485</v>
      </c>
      <c r="N51" s="111">
        <f t="shared" si="12"/>
        <v>-2.5599716738957244E-2</v>
      </c>
      <c r="O51" s="94">
        <v>112326</v>
      </c>
      <c r="P51" s="95">
        <v>104347</v>
      </c>
      <c r="Q51" s="115">
        <f t="shared" si="13"/>
        <v>7.6466022022674343E-2</v>
      </c>
      <c r="R51" s="95">
        <v>46779</v>
      </c>
      <c r="S51" s="95">
        <v>40881</v>
      </c>
      <c r="T51" s="115">
        <f t="shared" si="14"/>
        <v>0.14427240038159536</v>
      </c>
      <c r="U51" s="95">
        <v>41396</v>
      </c>
      <c r="V51" s="95">
        <v>43793</v>
      </c>
      <c r="W51" s="111">
        <f t="shared" si="15"/>
        <v>-5.4734774964035351E-2</v>
      </c>
      <c r="X51" s="96">
        <f t="shared" si="18"/>
        <v>544197</v>
      </c>
      <c r="Y51" s="97">
        <f t="shared" si="19"/>
        <v>537569</v>
      </c>
      <c r="Z51" s="119">
        <f t="shared" si="20"/>
        <v>1.2329580016704832E-2</v>
      </c>
    </row>
    <row r="52" spans="1:26">
      <c r="A52" s="92">
        <v>45613</v>
      </c>
      <c r="B52" s="93">
        <v>46</v>
      </c>
      <c r="C52" s="94">
        <v>196518</v>
      </c>
      <c r="D52" s="95">
        <v>207892</v>
      </c>
      <c r="E52" s="111">
        <f t="shared" si="21"/>
        <v>-5.4711099994227769E-2</v>
      </c>
      <c r="F52" s="94">
        <v>56214</v>
      </c>
      <c r="G52" s="95">
        <v>50070</v>
      </c>
      <c r="H52" s="111">
        <f t="shared" si="10"/>
        <v>0.12270820850808868</v>
      </c>
      <c r="I52" s="94">
        <v>77369</v>
      </c>
      <c r="J52" s="95">
        <v>76015</v>
      </c>
      <c r="K52" s="111">
        <f t="shared" si="11"/>
        <v>1.781227389331053E-2</v>
      </c>
      <c r="L52" s="94">
        <v>60246</v>
      </c>
      <c r="M52" s="95">
        <v>63098</v>
      </c>
      <c r="N52" s="111">
        <f t="shared" si="12"/>
        <v>-4.5199530888459225E-2</v>
      </c>
      <c r="O52" s="94">
        <v>132152</v>
      </c>
      <c r="P52" s="95">
        <v>119290</v>
      </c>
      <c r="Q52" s="115">
        <f t="shared" si="13"/>
        <v>0.10782127588230363</v>
      </c>
      <c r="R52" s="95">
        <v>49537</v>
      </c>
      <c r="S52" s="95">
        <v>41366</v>
      </c>
      <c r="T52" s="115">
        <f t="shared" si="14"/>
        <v>0.1975293719479766</v>
      </c>
      <c r="U52" s="95">
        <v>47660</v>
      </c>
      <c r="V52" s="95">
        <v>47919</v>
      </c>
      <c r="W52" s="111">
        <f t="shared" si="15"/>
        <v>-5.4049541935349233E-3</v>
      </c>
      <c r="X52" s="96">
        <f t="shared" si="18"/>
        <v>619696</v>
      </c>
      <c r="Y52" s="97">
        <f t="shared" si="19"/>
        <v>605650</v>
      </c>
      <c r="Z52" s="119">
        <f t="shared" si="20"/>
        <v>2.3191612317345001E-2</v>
      </c>
    </row>
    <row r="53" spans="1:26">
      <c r="A53" s="92">
        <v>45620</v>
      </c>
      <c r="B53" s="93">
        <v>47</v>
      </c>
      <c r="C53" s="94">
        <v>193734</v>
      </c>
      <c r="D53" s="95">
        <v>222335</v>
      </c>
      <c r="E53" s="111">
        <f t="shared" si="21"/>
        <v>-0.12863921559808397</v>
      </c>
      <c r="F53" s="94">
        <v>56634</v>
      </c>
      <c r="G53" s="95">
        <v>52649</v>
      </c>
      <c r="H53" s="111">
        <f t="shared" si="10"/>
        <v>7.5689946627666246E-2</v>
      </c>
      <c r="I53" s="94">
        <v>66166</v>
      </c>
      <c r="J53" s="95">
        <v>77770</v>
      </c>
      <c r="K53" s="111">
        <f t="shared" si="11"/>
        <v>-0.14920920663494922</v>
      </c>
      <c r="L53" s="94">
        <v>61290</v>
      </c>
      <c r="M53" s="95">
        <v>58896</v>
      </c>
      <c r="N53" s="111">
        <f t="shared" si="12"/>
        <v>4.0647921760391198E-2</v>
      </c>
      <c r="O53" s="94">
        <v>129967</v>
      </c>
      <c r="P53" s="95">
        <v>115428</v>
      </c>
      <c r="Q53" s="115">
        <f t="shared" si="13"/>
        <v>0.12595730671934019</v>
      </c>
      <c r="R53" s="95">
        <v>49533</v>
      </c>
      <c r="S53" s="95">
        <v>41704</v>
      </c>
      <c r="T53" s="115">
        <f t="shared" si="14"/>
        <v>0.1877277958948782</v>
      </c>
      <c r="U53" s="95">
        <v>45116</v>
      </c>
      <c r="V53" s="95">
        <v>45107</v>
      </c>
      <c r="W53" s="111">
        <f t="shared" si="15"/>
        <v>1.9952557252754562E-4</v>
      </c>
      <c r="X53" s="96">
        <f t="shared" si="18"/>
        <v>602440</v>
      </c>
      <c r="Y53" s="97">
        <f t="shared" si="19"/>
        <v>613889</v>
      </c>
      <c r="Z53" s="119">
        <f t="shared" si="20"/>
        <v>-1.8649951375574413E-2</v>
      </c>
    </row>
    <row r="54" spans="1:26">
      <c r="A54" s="92">
        <v>45627</v>
      </c>
      <c r="B54" s="93">
        <v>48</v>
      </c>
      <c r="C54" s="94">
        <v>196959</v>
      </c>
      <c r="D54" s="95">
        <v>215847</v>
      </c>
      <c r="E54" s="111">
        <f t="shared" si="21"/>
        <v>-8.7506428164394218E-2</v>
      </c>
      <c r="F54" s="94">
        <v>60891</v>
      </c>
      <c r="G54" s="95">
        <v>47859</v>
      </c>
      <c r="H54" s="111">
        <f t="shared" si="10"/>
        <v>0.27229988090014418</v>
      </c>
      <c r="I54" s="94">
        <v>78604</v>
      </c>
      <c r="J54" s="95">
        <v>69910</v>
      </c>
      <c r="K54" s="111">
        <f t="shared" si="11"/>
        <v>0.12435989128879989</v>
      </c>
      <c r="L54" s="94">
        <v>58669</v>
      </c>
      <c r="M54" s="95">
        <v>61990</v>
      </c>
      <c r="N54" s="111">
        <f t="shared" si="12"/>
        <v>-5.3573156960800131E-2</v>
      </c>
      <c r="O54" s="94">
        <v>114156</v>
      </c>
      <c r="P54" s="95">
        <v>119323</v>
      </c>
      <c r="Q54" s="115">
        <f t="shared" si="13"/>
        <v>-4.330263235084602E-2</v>
      </c>
      <c r="R54" s="95">
        <v>53970</v>
      </c>
      <c r="S54" s="95">
        <v>42658</v>
      </c>
      <c r="T54" s="115">
        <f t="shared" si="14"/>
        <v>0.2651788644568428</v>
      </c>
      <c r="U54" s="95">
        <v>47379</v>
      </c>
      <c r="V54" s="95">
        <v>48358</v>
      </c>
      <c r="W54" s="111">
        <f t="shared" si="15"/>
        <v>-2.0244840564125895E-2</v>
      </c>
      <c r="X54" s="96">
        <f t="shared" si="18"/>
        <v>610628</v>
      </c>
      <c r="Y54" s="97">
        <f t="shared" si="19"/>
        <v>605945</v>
      </c>
      <c r="Z54" s="119">
        <f t="shared" si="20"/>
        <v>7.7284241969155613E-3</v>
      </c>
    </row>
    <row r="55" spans="1:26">
      <c r="A55" s="92">
        <v>45634</v>
      </c>
      <c r="B55" s="93">
        <v>49</v>
      </c>
      <c r="C55" s="94">
        <v>249816</v>
      </c>
      <c r="D55" s="95">
        <v>272595</v>
      </c>
      <c r="E55" s="111">
        <f t="shared" si="21"/>
        <v>-8.3563528311230942E-2</v>
      </c>
      <c r="F55" s="94">
        <v>57299</v>
      </c>
      <c r="G55" s="95">
        <v>53979</v>
      </c>
      <c r="H55" s="111">
        <f t="shared" si="10"/>
        <v>6.150540024824469E-2</v>
      </c>
      <c r="I55" s="94">
        <v>63544</v>
      </c>
      <c r="J55" s="95">
        <v>78846</v>
      </c>
      <c r="K55" s="111">
        <f t="shared" si="11"/>
        <v>-0.19407452502346345</v>
      </c>
      <c r="L55" s="94">
        <v>58880</v>
      </c>
      <c r="M55" s="95">
        <v>60969</v>
      </c>
      <c r="N55" s="111">
        <f t="shared" si="12"/>
        <v>-3.4263314143253128E-2</v>
      </c>
      <c r="O55" s="94">
        <v>131623</v>
      </c>
      <c r="P55" s="95">
        <v>132436</v>
      </c>
      <c r="Q55" s="115">
        <f t="shared" si="13"/>
        <v>-6.1388142196985712E-3</v>
      </c>
      <c r="R55" s="95">
        <v>47609</v>
      </c>
      <c r="S55" s="95">
        <v>43438</v>
      </c>
      <c r="T55" s="115">
        <f t="shared" si="14"/>
        <v>9.6021916294488696E-2</v>
      </c>
      <c r="U55" s="95">
        <v>48118</v>
      </c>
      <c r="V55" s="95">
        <v>53953</v>
      </c>
      <c r="W55" s="111">
        <f t="shared" si="15"/>
        <v>-0.10814968583767354</v>
      </c>
      <c r="X55" s="96">
        <f t="shared" si="18"/>
        <v>656889</v>
      </c>
      <c r="Y55" s="97">
        <f t="shared" si="19"/>
        <v>696216</v>
      </c>
      <c r="Z55" s="119">
        <f t="shared" si="20"/>
        <v>-5.6486779964838502E-2</v>
      </c>
    </row>
    <row r="56" spans="1:26">
      <c r="A56" s="92">
        <v>45641</v>
      </c>
      <c r="B56" s="93">
        <v>50</v>
      </c>
      <c r="C56" s="94">
        <v>221306</v>
      </c>
      <c r="D56" s="95">
        <v>232435</v>
      </c>
      <c r="E56" s="111">
        <f t="shared" si="21"/>
        <v>-4.7880052487792285E-2</v>
      </c>
      <c r="F56" s="94">
        <v>59853</v>
      </c>
      <c r="G56" s="95">
        <v>58103</v>
      </c>
      <c r="H56" s="111">
        <f t="shared" si="10"/>
        <v>3.011892673355937E-2</v>
      </c>
      <c r="I56" s="94">
        <v>81124</v>
      </c>
      <c r="J56" s="95">
        <v>82799</v>
      </c>
      <c r="K56" s="111">
        <f t="shared" si="11"/>
        <v>-2.0229712919238155E-2</v>
      </c>
      <c r="L56" s="94">
        <v>64611</v>
      </c>
      <c r="M56" s="95">
        <v>68896</v>
      </c>
      <c r="N56" s="111">
        <f t="shared" si="12"/>
        <v>-6.219519275429633E-2</v>
      </c>
      <c r="O56" s="94">
        <v>159738</v>
      </c>
      <c r="P56" s="95">
        <v>148506</v>
      </c>
      <c r="Q56" s="115">
        <f t="shared" si="13"/>
        <v>7.5633307745141612E-2</v>
      </c>
      <c r="R56" s="95">
        <v>51210</v>
      </c>
      <c r="S56" s="95">
        <v>45383</v>
      </c>
      <c r="T56" s="115">
        <f t="shared" si="14"/>
        <v>0.12839609545424499</v>
      </c>
      <c r="U56" s="95">
        <v>52064</v>
      </c>
      <c r="V56" s="95">
        <v>57556</v>
      </c>
      <c r="W56" s="111">
        <f t="shared" si="15"/>
        <v>-9.5420112586003192E-2</v>
      </c>
      <c r="X56" s="96">
        <f t="shared" si="18"/>
        <v>689906</v>
      </c>
      <c r="Y56" s="97">
        <f t="shared" si="19"/>
        <v>693678</v>
      </c>
      <c r="Z56" s="119">
        <f t="shared" si="20"/>
        <v>-5.4376814602740756E-3</v>
      </c>
    </row>
    <row r="57" spans="1:26">
      <c r="A57" s="92">
        <v>45648</v>
      </c>
      <c r="B57" s="93">
        <v>51</v>
      </c>
      <c r="C57" s="94">
        <v>244344</v>
      </c>
      <c r="D57" s="95">
        <v>246598</v>
      </c>
      <c r="E57" s="111">
        <f t="shared" si="21"/>
        <v>-9.1403823226465751E-3</v>
      </c>
      <c r="F57" s="94">
        <v>68731</v>
      </c>
      <c r="G57" s="95">
        <v>70847</v>
      </c>
      <c r="H57" s="111">
        <f t="shared" si="10"/>
        <v>-2.9867178567899839E-2</v>
      </c>
      <c r="I57" s="94">
        <v>90737</v>
      </c>
      <c r="J57" s="95">
        <v>92222</v>
      </c>
      <c r="K57" s="111">
        <f t="shared" si="11"/>
        <v>-1.6102448439634796E-2</v>
      </c>
      <c r="L57" s="94">
        <v>72902</v>
      </c>
      <c r="M57" s="95">
        <v>81161</v>
      </c>
      <c r="N57" s="111">
        <f t="shared" si="12"/>
        <v>-0.1017606978721307</v>
      </c>
      <c r="O57" s="94">
        <v>178335</v>
      </c>
      <c r="P57" s="95">
        <v>164275</v>
      </c>
      <c r="Q57" s="115">
        <f t="shared" si="13"/>
        <v>8.5588190534165276E-2</v>
      </c>
      <c r="R57" s="95">
        <v>59386</v>
      </c>
      <c r="S57" s="95">
        <v>43859</v>
      </c>
      <c r="T57" s="115">
        <f t="shared" si="14"/>
        <v>0.35402083950842472</v>
      </c>
      <c r="U57" s="95">
        <v>60838</v>
      </c>
      <c r="V57" s="95">
        <v>64123</v>
      </c>
      <c r="W57" s="111">
        <f t="shared" si="15"/>
        <v>-5.1229667981847388E-2</v>
      </c>
      <c r="X57" s="96">
        <f t="shared" si="18"/>
        <v>775273</v>
      </c>
      <c r="Y57" s="97">
        <f t="shared" si="19"/>
        <v>763085</v>
      </c>
      <c r="Z57" s="119">
        <f t="shared" si="20"/>
        <v>1.5972008360798602E-2</v>
      </c>
    </row>
    <row r="58" spans="1:26" ht="14" thickBot="1">
      <c r="A58" s="100">
        <v>45655</v>
      </c>
      <c r="B58" s="101">
        <v>52</v>
      </c>
      <c r="C58" s="102">
        <v>224095</v>
      </c>
      <c r="D58" s="103">
        <v>191626</v>
      </c>
      <c r="E58" s="113">
        <f t="shared" si="21"/>
        <v>0.16943942888752048</v>
      </c>
      <c r="F58" s="102">
        <v>75224</v>
      </c>
      <c r="G58" s="103">
        <v>62324</v>
      </c>
      <c r="H58" s="113">
        <f t="shared" si="10"/>
        <v>0.20698286374430397</v>
      </c>
      <c r="I58" s="102">
        <v>86164</v>
      </c>
      <c r="J58" s="103">
        <v>82273</v>
      </c>
      <c r="K58" s="113">
        <f t="shared" si="11"/>
        <v>4.7293765877019195E-2</v>
      </c>
      <c r="L58" s="102">
        <v>66398</v>
      </c>
      <c r="M58" s="103">
        <v>61581</v>
      </c>
      <c r="N58" s="113">
        <f t="shared" si="12"/>
        <v>7.8222178918822369E-2</v>
      </c>
      <c r="O58" s="102">
        <v>135170</v>
      </c>
      <c r="P58" s="103">
        <v>122318</v>
      </c>
      <c r="Q58" s="116">
        <f t="shared" si="13"/>
        <v>0.10507039029415131</v>
      </c>
      <c r="R58" s="103">
        <v>52264</v>
      </c>
      <c r="S58" s="103">
        <v>38863</v>
      </c>
      <c r="T58" s="116">
        <f t="shared" si="14"/>
        <v>0.34482669891670742</v>
      </c>
      <c r="U58" s="103">
        <v>48026</v>
      </c>
      <c r="V58" s="103">
        <v>43720</v>
      </c>
      <c r="W58" s="117">
        <f t="shared" si="15"/>
        <v>9.8490393412625804E-2</v>
      </c>
      <c r="X58" s="124">
        <f t="shared" si="18"/>
        <v>687341</v>
      </c>
      <c r="Y58" s="125">
        <f t="shared" si="19"/>
        <v>602705</v>
      </c>
      <c r="Z58" s="120">
        <f t="shared" si="20"/>
        <v>0.14042690868667093</v>
      </c>
    </row>
    <row r="59" spans="1:26" ht="5.75" customHeight="1"/>
    <row r="60" spans="1:26" s="105" customFormat="1">
      <c r="A60" s="593" t="s">
        <v>29</v>
      </c>
      <c r="B60" s="593"/>
      <c r="C60" s="104">
        <f>SUM(C7:C58)</f>
        <v>9119934</v>
      </c>
      <c r="D60" s="104">
        <f>SUM(D7:D58)</f>
        <v>9612010</v>
      </c>
      <c r="E60" s="123">
        <f>(C60-D60)/D60</f>
        <v>-5.11938710009665E-2</v>
      </c>
      <c r="F60" s="104">
        <f>SUM(F7:F58)</f>
        <v>2869058</v>
      </c>
      <c r="G60" s="104">
        <f>SUM(G7:G58)</f>
        <v>2965516</v>
      </c>
      <c r="H60" s="123">
        <f>(F60-G60)/G60</f>
        <v>-3.2526548499485421E-2</v>
      </c>
      <c r="I60" s="104">
        <f>SUM(I7:I58)</f>
        <v>3910648</v>
      </c>
      <c r="J60" s="104">
        <f>SUM(J7:J58)</f>
        <v>3972317</v>
      </c>
      <c r="K60" s="123">
        <f>(I60-J60)/J60</f>
        <v>-1.5524692515728225E-2</v>
      </c>
      <c r="L60" s="104">
        <f>SUM(L7:L58)</f>
        <v>3168984</v>
      </c>
      <c r="M60" s="104">
        <f>SUM(M7:M58)</f>
        <v>3289303</v>
      </c>
      <c r="N60" s="123">
        <f>(L60-M60)/M60</f>
        <v>-3.6578874004614355E-2</v>
      </c>
      <c r="O60" s="104">
        <f>SUM(O7:O58)</f>
        <v>5532402</v>
      </c>
      <c r="P60" s="104">
        <f>SUM(P7:P58)</f>
        <v>5655797</v>
      </c>
      <c r="Q60" s="123">
        <f>(O60-P60)/P60</f>
        <v>-2.1817437931382615E-2</v>
      </c>
      <c r="R60" s="104">
        <f>SUM(R7:R58)</f>
        <v>2462448</v>
      </c>
      <c r="S60" s="104">
        <f>SUM(S7:S58)</f>
        <v>2373015</v>
      </c>
      <c r="T60" s="123">
        <f>(R60-S60)/S60</f>
        <v>3.7687498814798895E-2</v>
      </c>
      <c r="U60" s="104">
        <f>SUM(U7:U58)</f>
        <v>2299041</v>
      </c>
      <c r="V60" s="104">
        <f>SUM(V7:V58)</f>
        <v>2292151</v>
      </c>
      <c r="W60" s="123">
        <f>(U60-V60)/V60</f>
        <v>3.0059101690944443E-3</v>
      </c>
      <c r="X60" s="104">
        <f>SUM(X7:X58)</f>
        <v>29362515</v>
      </c>
      <c r="Y60" s="104">
        <f>SUM(Y7:Y58)</f>
        <v>30160109</v>
      </c>
      <c r="Z60" s="123">
        <f>(X60-Y60)/Y60</f>
        <v>-2.6445328828221409E-2</v>
      </c>
    </row>
    <row r="61" spans="1:26" ht="5.75" customHeight="1"/>
    <row r="62" spans="1:26">
      <c r="A62" s="594" t="s">
        <v>34</v>
      </c>
      <c r="B62" s="594"/>
      <c r="C62" s="595">
        <f>C60+F60+I60+L60+O60+R60+U60</f>
        <v>29362515</v>
      </c>
      <c r="D62" s="595"/>
      <c r="E62" s="106"/>
      <c r="Y62" s="107">
        <f>X60-Y60</f>
        <v>-797594</v>
      </c>
    </row>
    <row r="63" spans="1:26">
      <c r="S63" s="107">
        <f>R57-S57</f>
        <v>15527</v>
      </c>
    </row>
  </sheetData>
  <mergeCells count="11">
    <mergeCell ref="U4:W4"/>
    <mergeCell ref="X4:Z4"/>
    <mergeCell ref="A60:B60"/>
    <mergeCell ref="A62:B62"/>
    <mergeCell ref="C62:D62"/>
    <mergeCell ref="C4:E4"/>
    <mergeCell ref="F4:H4"/>
    <mergeCell ref="I4:K4"/>
    <mergeCell ref="L4:N4"/>
    <mergeCell ref="O4:Q4"/>
    <mergeCell ref="R4:T4"/>
  </mergeCells>
  <pageMargins left="0.7" right="0.7" top="0.75" bottom="0.75" header="0.3" footer="0.3"/>
  <pageSetup orientation="portrait" r:id="rId1"/>
  <ignoredErrors>
    <ignoredError sqref="E60 K60:W60 H60:J60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81C700DC-9607-C741-AC17-C2938FD34F7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E7:E58</xm:sqref>
        </x14:conditionalFormatting>
        <x14:conditionalFormatting xmlns:xm="http://schemas.microsoft.com/office/excel/2006/main">
          <x14:cfRule type="iconSet" priority="2" id="{42EA37CA-5A7B-404B-BBF8-6541D9C00B1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E60 H60 K60 N60 Q60 T60 W60 Z60</xm:sqref>
        </x14:conditionalFormatting>
        <x14:conditionalFormatting xmlns:xm="http://schemas.microsoft.com/office/excel/2006/main">
          <x14:cfRule type="iconSet" priority="10" id="{975CD510-3CA9-C247-A41C-AFEA9B3323F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H7:H8</xm:sqref>
        </x14:conditionalFormatting>
        <x14:conditionalFormatting xmlns:xm="http://schemas.microsoft.com/office/excel/2006/main">
          <x14:cfRule type="iconSet" priority="12" id="{0C0F09D5-FD64-444F-BFE9-0A8FD41ABC1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H9:H58</xm:sqref>
        </x14:conditionalFormatting>
        <x14:conditionalFormatting xmlns:xm="http://schemas.microsoft.com/office/excel/2006/main">
          <x14:cfRule type="iconSet" priority="9" id="{42A190F0-DD88-6B42-A961-3D0654F3853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K7:K8</xm:sqref>
        </x14:conditionalFormatting>
        <x14:conditionalFormatting xmlns:xm="http://schemas.microsoft.com/office/excel/2006/main">
          <x14:cfRule type="iconSet" priority="11" id="{F2A0F8BC-4B1D-024A-ACC2-E631191DDC3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K9:K58</xm:sqref>
        </x14:conditionalFormatting>
        <x14:conditionalFormatting xmlns:xm="http://schemas.microsoft.com/office/excel/2006/main">
          <x14:cfRule type="iconSet" priority="8" id="{55BD3BFE-DDA9-4B4D-A8C6-822AE61A705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N7:N58</xm:sqref>
        </x14:conditionalFormatting>
        <x14:conditionalFormatting xmlns:xm="http://schemas.microsoft.com/office/excel/2006/main">
          <x14:cfRule type="iconSet" priority="14" id="{6F693092-F62A-AA4A-83C5-506DE652B04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Q7:Q56</xm:sqref>
        </x14:conditionalFormatting>
        <x14:conditionalFormatting xmlns:xm="http://schemas.microsoft.com/office/excel/2006/main">
          <x14:cfRule type="iconSet" priority="7" id="{26CFAD43-F7AA-284B-9DCF-7EF19785B20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Q7:Q58</xm:sqref>
        </x14:conditionalFormatting>
        <x14:conditionalFormatting xmlns:xm="http://schemas.microsoft.com/office/excel/2006/main">
          <x14:cfRule type="iconSet" priority="5" id="{5209FB68-E976-1F42-A606-5B26227863B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T7</xm:sqref>
        </x14:conditionalFormatting>
        <x14:conditionalFormatting xmlns:xm="http://schemas.microsoft.com/office/excel/2006/main">
          <x14:cfRule type="iconSet" priority="6" id="{45EAAE44-D651-D241-A5E5-129B8A6B26E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T8:T57</xm:sqref>
        </x14:conditionalFormatting>
        <x14:conditionalFormatting xmlns:xm="http://schemas.microsoft.com/office/excel/2006/main">
          <x14:cfRule type="iconSet" priority="1" id="{AD209043-445E-334F-ADF1-A6EEE42D422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T58</xm:sqref>
        </x14:conditionalFormatting>
        <x14:conditionalFormatting xmlns:xm="http://schemas.microsoft.com/office/excel/2006/main">
          <x14:cfRule type="iconSet" priority="4" id="{D8BFDDCF-B02F-4542-A037-DD8DFDD8832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W7:W58</xm:sqref>
        </x14:conditionalFormatting>
        <x14:conditionalFormatting xmlns:xm="http://schemas.microsoft.com/office/excel/2006/main">
          <x14:cfRule type="iconSet" priority="3" id="{D61757F4-FA0D-174B-9FDB-ACF1CD05319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Z7:Z58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B676-FFAE-4FE8-BFFC-39F51DF8FDC2}">
  <dimension ref="A1:Z31"/>
  <sheetViews>
    <sheetView zoomScale="130" zoomScaleNormal="130" workbookViewId="0">
      <selection activeCell="U29" sqref="U29"/>
    </sheetView>
  </sheetViews>
  <sheetFormatPr baseColWidth="10" defaultColWidth="11" defaultRowHeight="15"/>
  <cols>
    <col min="1" max="1" width="6.1640625" style="2" customWidth="1"/>
    <col min="2" max="2" width="5.83203125" style="2" customWidth="1"/>
    <col min="3" max="4" width="8" style="2" customWidth="1"/>
    <col min="5" max="5" width="6.6640625" style="2" customWidth="1"/>
    <col min="6" max="7" width="8" style="2" customWidth="1"/>
    <col min="8" max="8" width="6.6640625" style="2" customWidth="1"/>
    <col min="9" max="10" width="8" style="2" customWidth="1"/>
    <col min="11" max="11" width="6.6640625" style="2" customWidth="1"/>
    <col min="12" max="13" width="8" style="2" customWidth="1"/>
    <col min="14" max="14" width="6.6640625" style="2" customWidth="1"/>
    <col min="15" max="16" width="8" style="2" customWidth="1"/>
    <col min="17" max="17" width="6.6640625" style="2" customWidth="1"/>
    <col min="18" max="19" width="8" style="2" customWidth="1"/>
    <col min="20" max="20" width="7.5" style="2" customWidth="1"/>
    <col min="21" max="22" width="8" style="2" customWidth="1"/>
    <col min="23" max="23" width="6.6640625" style="2" customWidth="1"/>
    <col min="24" max="25" width="9" style="2" customWidth="1"/>
    <col min="26" max="26" width="8" style="2" customWidth="1"/>
    <col min="27" max="16384" width="11" style="2"/>
  </cols>
  <sheetData>
    <row r="1" spans="1:26">
      <c r="A1" s="1" t="s">
        <v>26</v>
      </c>
      <c r="V1" s="1"/>
      <c r="Z1" s="1">
        <v>2023</v>
      </c>
    </row>
    <row r="2" spans="1:26" ht="16" thickBot="1"/>
    <row r="3" spans="1:26" s="3" customFormat="1">
      <c r="A3" s="13" t="s">
        <v>27</v>
      </c>
      <c r="B3" s="13" t="s">
        <v>28</v>
      </c>
      <c r="C3" s="601" t="s">
        <v>1</v>
      </c>
      <c r="D3" s="602"/>
      <c r="E3" s="603"/>
      <c r="F3" s="601" t="s">
        <v>2</v>
      </c>
      <c r="G3" s="602"/>
      <c r="H3" s="603"/>
      <c r="I3" s="601" t="s">
        <v>3</v>
      </c>
      <c r="J3" s="602"/>
      <c r="K3" s="602"/>
      <c r="L3" s="601" t="s">
        <v>4</v>
      </c>
      <c r="M3" s="602"/>
      <c r="N3" s="603"/>
      <c r="O3" s="602" t="s">
        <v>5</v>
      </c>
      <c r="P3" s="602"/>
      <c r="Q3" s="603"/>
      <c r="R3" s="601" t="s">
        <v>6</v>
      </c>
      <c r="S3" s="602"/>
      <c r="T3" s="603"/>
      <c r="U3" s="601" t="s">
        <v>7</v>
      </c>
      <c r="V3" s="602"/>
      <c r="W3" s="602"/>
      <c r="X3" s="597" t="s">
        <v>29</v>
      </c>
      <c r="Y3" s="598"/>
      <c r="Z3" s="599"/>
    </row>
    <row r="4" spans="1:26" s="3" customFormat="1" ht="16" thickBot="1">
      <c r="A4" s="13"/>
      <c r="B4" s="13"/>
      <c r="C4" s="14">
        <v>2023</v>
      </c>
      <c r="D4" s="15">
        <v>2022</v>
      </c>
      <c r="E4" s="16" t="s">
        <v>40</v>
      </c>
      <c r="F4" s="14">
        <v>2023</v>
      </c>
      <c r="G4" s="15">
        <v>2022</v>
      </c>
      <c r="H4" s="16" t="s">
        <v>40</v>
      </c>
      <c r="I4" s="14">
        <v>2023</v>
      </c>
      <c r="J4" s="15">
        <v>2022</v>
      </c>
      <c r="K4" s="15" t="s">
        <v>40</v>
      </c>
      <c r="L4" s="14">
        <v>2023</v>
      </c>
      <c r="M4" s="15">
        <v>2022</v>
      </c>
      <c r="N4" s="16" t="s">
        <v>40</v>
      </c>
      <c r="O4" s="15">
        <v>2023</v>
      </c>
      <c r="P4" s="15">
        <v>2022</v>
      </c>
      <c r="Q4" s="16" t="s">
        <v>40</v>
      </c>
      <c r="R4" s="14">
        <v>2023</v>
      </c>
      <c r="S4" s="15">
        <v>2022</v>
      </c>
      <c r="T4" s="16" t="s">
        <v>40</v>
      </c>
      <c r="U4" s="14">
        <v>2023</v>
      </c>
      <c r="V4" s="15">
        <v>2022</v>
      </c>
      <c r="W4" s="15" t="s">
        <v>40</v>
      </c>
      <c r="X4" s="17">
        <v>2023</v>
      </c>
      <c r="Y4" s="18">
        <v>2022</v>
      </c>
      <c r="Z4" s="19" t="s">
        <v>40</v>
      </c>
    </row>
    <row r="5" spans="1:26" ht="5.75" customHeight="1" thickBot="1"/>
    <row r="6" spans="1:26">
      <c r="A6" s="20">
        <v>45144</v>
      </c>
      <c r="B6" s="4">
        <v>31</v>
      </c>
      <c r="C6" s="27">
        <v>201828</v>
      </c>
      <c r="D6" s="28">
        <v>209895</v>
      </c>
      <c r="E6" s="39">
        <f t="shared" ref="E6:E27" si="0">(C6-D6)/D6</f>
        <v>-3.8433502465518472E-2</v>
      </c>
      <c r="F6" s="40">
        <v>62636</v>
      </c>
      <c r="G6" s="28">
        <v>59268</v>
      </c>
      <c r="H6" s="41">
        <f t="shared" ref="H6:H27" si="1">(F6-G6)/G6</f>
        <v>5.6826618073834108E-2</v>
      </c>
      <c r="I6" s="40">
        <v>85068</v>
      </c>
      <c r="J6" s="28">
        <v>82464</v>
      </c>
      <c r="K6" s="29">
        <f t="shared" ref="K6:K27" si="2">(I6-J6)/J6</f>
        <v>3.1577415599534343E-2</v>
      </c>
      <c r="L6" s="40">
        <v>68276</v>
      </c>
      <c r="M6" s="28">
        <v>59913</v>
      </c>
      <c r="N6" s="41">
        <f t="shared" ref="N6:N27" si="3">(L6-M6)/M6</f>
        <v>0.13958573264566956</v>
      </c>
      <c r="O6" s="42">
        <v>104315</v>
      </c>
      <c r="P6" s="28">
        <v>100920</v>
      </c>
      <c r="Q6" s="41">
        <f t="shared" ref="Q6:Q27" si="4">(O6-P6)/P6</f>
        <v>3.3640507332540627E-2</v>
      </c>
      <c r="R6" s="40">
        <v>41545</v>
      </c>
      <c r="S6" s="52"/>
      <c r="T6" s="28"/>
      <c r="U6" s="61">
        <v>49029</v>
      </c>
      <c r="V6" s="55">
        <v>37226</v>
      </c>
      <c r="W6" s="56">
        <f t="shared" ref="W6:W29" si="5">(U6-V6)/V6</f>
        <v>0.31706334282490733</v>
      </c>
      <c r="X6" s="48">
        <f t="shared" ref="X6:Y8" si="6">C6+F6+I6+L6+O6+R6+U6</f>
        <v>612697</v>
      </c>
      <c r="Y6" s="30">
        <f t="shared" si="6"/>
        <v>549686</v>
      </c>
      <c r="Z6" s="31">
        <f>(X6-Y6)/Y6</f>
        <v>0.11463089836743159</v>
      </c>
    </row>
    <row r="7" spans="1:26">
      <c r="A7" s="20">
        <v>45151</v>
      </c>
      <c r="B7" s="4">
        <v>32</v>
      </c>
      <c r="C7" s="32">
        <v>196105</v>
      </c>
      <c r="D7" s="5">
        <v>190640</v>
      </c>
      <c r="E7" s="6">
        <f t="shared" si="0"/>
        <v>2.8666596726814941E-2</v>
      </c>
      <c r="F7" s="21">
        <v>58004</v>
      </c>
      <c r="G7" s="5">
        <v>46235</v>
      </c>
      <c r="H7" s="6">
        <f t="shared" si="1"/>
        <v>0.25454742078511949</v>
      </c>
      <c r="I7" s="21">
        <v>70601</v>
      </c>
      <c r="J7" s="5">
        <v>73149</v>
      </c>
      <c r="K7" s="9">
        <f t="shared" si="2"/>
        <v>-3.4833012071251827E-2</v>
      </c>
      <c r="L7" s="21">
        <v>69880</v>
      </c>
      <c r="M7" s="5">
        <v>57891</v>
      </c>
      <c r="N7" s="6">
        <f t="shared" si="3"/>
        <v>0.2070960943842739</v>
      </c>
      <c r="O7" s="22">
        <v>105717</v>
      </c>
      <c r="P7" s="5">
        <v>103700</v>
      </c>
      <c r="Q7" s="6">
        <f t="shared" si="4"/>
        <v>1.9450337512054001E-2</v>
      </c>
      <c r="R7" s="21">
        <v>45049</v>
      </c>
      <c r="S7" s="53"/>
      <c r="T7" s="59"/>
      <c r="U7" s="21">
        <v>49132</v>
      </c>
      <c r="V7" s="5">
        <v>34571</v>
      </c>
      <c r="W7" s="6">
        <f t="shared" si="5"/>
        <v>0.42119117179138582</v>
      </c>
      <c r="X7" s="49">
        <f t="shared" si="6"/>
        <v>594488</v>
      </c>
      <c r="Y7" s="33">
        <f t="shared" si="6"/>
        <v>506186</v>
      </c>
      <c r="Z7" s="34">
        <f>(X7-Y7)/Y7</f>
        <v>0.17444575709324239</v>
      </c>
    </row>
    <row r="8" spans="1:26">
      <c r="A8" s="20">
        <v>45157</v>
      </c>
      <c r="B8" s="4">
        <v>33</v>
      </c>
      <c r="C8" s="32">
        <v>187843</v>
      </c>
      <c r="D8" s="5">
        <v>199833</v>
      </c>
      <c r="E8" s="7">
        <f t="shared" si="0"/>
        <v>-6.0000100083569784E-2</v>
      </c>
      <c r="F8" s="21">
        <v>47257</v>
      </c>
      <c r="G8" s="5">
        <v>58992</v>
      </c>
      <c r="H8" s="7">
        <f t="shared" si="1"/>
        <v>-0.19892527800379711</v>
      </c>
      <c r="I8" s="21">
        <v>62633</v>
      </c>
      <c r="J8" s="5">
        <v>81534</v>
      </c>
      <c r="K8" s="9">
        <f t="shared" si="2"/>
        <v>-0.23181740132950671</v>
      </c>
      <c r="L8" s="21">
        <v>80514</v>
      </c>
      <c r="M8" s="5">
        <v>69249</v>
      </c>
      <c r="N8" s="6">
        <f t="shared" si="3"/>
        <v>0.16267382922497076</v>
      </c>
      <c r="O8" s="22">
        <v>106042</v>
      </c>
      <c r="P8" s="5">
        <v>131001</v>
      </c>
      <c r="Q8" s="7">
        <f t="shared" si="4"/>
        <v>-0.19052526316593002</v>
      </c>
      <c r="R8" s="21">
        <v>42905</v>
      </c>
      <c r="S8" s="53"/>
      <c r="T8" s="59"/>
      <c r="U8" s="21">
        <v>45772</v>
      </c>
      <c r="V8" s="5">
        <v>35403</v>
      </c>
      <c r="W8" s="6">
        <f t="shared" si="5"/>
        <v>0.29288478377538629</v>
      </c>
      <c r="X8" s="49">
        <f t="shared" si="6"/>
        <v>572966</v>
      </c>
      <c r="Y8" s="33">
        <f t="shared" si="6"/>
        <v>576012</v>
      </c>
      <c r="Z8" s="35">
        <f>(X8-Y8)/Y8</f>
        <v>-5.2880842760220275E-3</v>
      </c>
    </row>
    <row r="9" spans="1:26">
      <c r="A9" s="20">
        <v>45165</v>
      </c>
      <c r="B9" s="4">
        <v>34</v>
      </c>
      <c r="C9" s="32">
        <v>220128</v>
      </c>
      <c r="D9" s="5">
        <v>225977</v>
      </c>
      <c r="E9" s="7">
        <f t="shared" si="0"/>
        <v>-2.5883165100873098E-2</v>
      </c>
      <c r="F9" s="21">
        <v>59669</v>
      </c>
      <c r="G9" s="5">
        <v>53733</v>
      </c>
      <c r="H9" s="6">
        <f t="shared" si="1"/>
        <v>0.11047214933095119</v>
      </c>
      <c r="I9" s="21">
        <v>84853</v>
      </c>
      <c r="J9" s="5">
        <v>88644</v>
      </c>
      <c r="K9" s="9">
        <f t="shared" si="2"/>
        <v>-4.2766571905599925E-2</v>
      </c>
      <c r="L9" s="21">
        <v>84343</v>
      </c>
      <c r="M9" s="5">
        <v>71180</v>
      </c>
      <c r="N9" s="6">
        <f t="shared" si="3"/>
        <v>0.18492554088227031</v>
      </c>
      <c r="O9" s="22">
        <v>106353</v>
      </c>
      <c r="P9" s="5">
        <v>102843</v>
      </c>
      <c r="Q9" s="6">
        <f t="shared" si="4"/>
        <v>3.4129692832764506E-2</v>
      </c>
      <c r="R9" s="21">
        <v>42196</v>
      </c>
      <c r="S9" s="53"/>
      <c r="T9" s="59"/>
      <c r="U9" s="21">
        <v>49565</v>
      </c>
      <c r="V9" s="5">
        <v>34186</v>
      </c>
      <c r="W9" s="6">
        <f t="shared" si="5"/>
        <v>0.44986251681975076</v>
      </c>
      <c r="X9" s="49">
        <f t="shared" ref="X9:X27" si="7">C9+F9+I9+L9+O9+R9+U9</f>
        <v>647107</v>
      </c>
      <c r="Y9" s="33">
        <f t="shared" ref="Y9:Y27" si="8">D9+G9+J9+M9+P9+S9+V9</f>
        <v>576563</v>
      </c>
      <c r="Z9" s="34">
        <f t="shared" ref="Z9:Z27" si="9">(X9-Y9)/Y9</f>
        <v>0.1223526310221086</v>
      </c>
    </row>
    <row r="10" spans="1:26">
      <c r="A10" s="20">
        <v>45172</v>
      </c>
      <c r="B10" s="4">
        <v>35</v>
      </c>
      <c r="C10" s="32">
        <v>205260</v>
      </c>
      <c r="D10" s="5">
        <v>206808</v>
      </c>
      <c r="E10" s="7">
        <f t="shared" si="0"/>
        <v>-7.4852036671695489E-3</v>
      </c>
      <c r="F10" s="21">
        <v>48743</v>
      </c>
      <c r="G10" s="5">
        <v>52006</v>
      </c>
      <c r="H10" s="7">
        <f t="shared" si="1"/>
        <v>-6.2742760450717222E-2</v>
      </c>
      <c r="I10" s="21">
        <v>75806</v>
      </c>
      <c r="J10" s="5">
        <v>81478</v>
      </c>
      <c r="K10" s="9">
        <f t="shared" si="2"/>
        <v>-6.9613883502295096E-2</v>
      </c>
      <c r="L10" s="21">
        <v>75990</v>
      </c>
      <c r="M10" s="5">
        <v>62289</v>
      </c>
      <c r="N10" s="6">
        <f t="shared" si="3"/>
        <v>0.21995858016664258</v>
      </c>
      <c r="O10" s="22">
        <v>102565</v>
      </c>
      <c r="P10" s="5">
        <v>103951</v>
      </c>
      <c r="Q10" s="7">
        <f t="shared" si="4"/>
        <v>-1.3333205067772316E-2</v>
      </c>
      <c r="R10" s="21">
        <v>44579</v>
      </c>
      <c r="S10" s="53"/>
      <c r="T10" s="59"/>
      <c r="U10" s="21">
        <v>44177</v>
      </c>
      <c r="V10" s="5">
        <v>32874</v>
      </c>
      <c r="W10" s="6">
        <f t="shared" si="5"/>
        <v>0.34382794913913733</v>
      </c>
      <c r="X10" s="49">
        <f t="shared" si="7"/>
        <v>597120</v>
      </c>
      <c r="Y10" s="33">
        <f t="shared" si="8"/>
        <v>539406</v>
      </c>
      <c r="Z10" s="34">
        <f t="shared" si="9"/>
        <v>0.10699547279785541</v>
      </c>
    </row>
    <row r="11" spans="1:26">
      <c r="A11" s="20">
        <v>45179</v>
      </c>
      <c r="B11" s="4">
        <v>36</v>
      </c>
      <c r="C11" s="32">
        <v>195600</v>
      </c>
      <c r="D11" s="5">
        <v>212619</v>
      </c>
      <c r="E11" s="7">
        <f>(C11-D11)/D11</f>
        <v>-8.0044586796100062E-2</v>
      </c>
      <c r="F11" s="21">
        <v>52133</v>
      </c>
      <c r="G11" s="5">
        <v>49975</v>
      </c>
      <c r="H11" s="6">
        <f t="shared" si="1"/>
        <v>4.3181590795397698E-2</v>
      </c>
      <c r="I11" s="21">
        <v>76218</v>
      </c>
      <c r="J11" s="5">
        <v>78165</v>
      </c>
      <c r="K11" s="9">
        <f t="shared" si="2"/>
        <v>-2.4908846670504702E-2</v>
      </c>
      <c r="L11" s="21">
        <v>65646</v>
      </c>
      <c r="M11" s="5">
        <v>64286</v>
      </c>
      <c r="N11" s="6">
        <f t="shared" si="3"/>
        <v>2.1155461531282085E-2</v>
      </c>
      <c r="O11" s="22">
        <v>99924</v>
      </c>
      <c r="P11" s="5">
        <v>105135</v>
      </c>
      <c r="Q11" s="7">
        <f t="shared" si="4"/>
        <v>-4.9564845199029817E-2</v>
      </c>
      <c r="R11" s="21">
        <v>45959</v>
      </c>
      <c r="S11" s="53">
        <v>41993</v>
      </c>
      <c r="T11" s="8">
        <f t="shared" ref="T11:T27" si="10">(R11-S11)/S11</f>
        <v>9.4444312147262635E-2</v>
      </c>
      <c r="U11" s="21">
        <v>40065</v>
      </c>
      <c r="V11" s="5">
        <v>28069</v>
      </c>
      <c r="W11" s="6">
        <f t="shared" si="5"/>
        <v>0.42737539634472194</v>
      </c>
      <c r="X11" s="49">
        <f t="shared" si="7"/>
        <v>575545</v>
      </c>
      <c r="Y11" s="33">
        <f t="shared" si="8"/>
        <v>580242</v>
      </c>
      <c r="Z11" s="35">
        <f t="shared" si="9"/>
        <v>-8.0948983355220751E-3</v>
      </c>
    </row>
    <row r="12" spans="1:26">
      <c r="A12" s="20">
        <v>45186</v>
      </c>
      <c r="B12" s="4">
        <v>37</v>
      </c>
      <c r="C12" s="32">
        <v>196399</v>
      </c>
      <c r="D12" s="5">
        <v>209503</v>
      </c>
      <c r="E12" s="7">
        <f t="shared" si="0"/>
        <v>-6.2548030338467703E-2</v>
      </c>
      <c r="F12" s="21">
        <v>47970</v>
      </c>
      <c r="G12" s="5">
        <v>48187</v>
      </c>
      <c r="H12" s="23">
        <f t="shared" si="1"/>
        <v>-4.50328926888995E-3</v>
      </c>
      <c r="I12" s="21">
        <v>66743</v>
      </c>
      <c r="J12" s="5">
        <v>80302</v>
      </c>
      <c r="K12" s="9">
        <f t="shared" si="2"/>
        <v>-0.16885009090682673</v>
      </c>
      <c r="L12" s="21">
        <v>63902</v>
      </c>
      <c r="M12" s="5">
        <v>82389</v>
      </c>
      <c r="N12" s="7">
        <f t="shared" si="3"/>
        <v>-0.2243867506584617</v>
      </c>
      <c r="O12" s="22">
        <v>99056</v>
      </c>
      <c r="P12" s="5">
        <v>100466</v>
      </c>
      <c r="Q12" s="7">
        <f t="shared" si="4"/>
        <v>-1.4034598769733043E-2</v>
      </c>
      <c r="R12" s="21">
        <v>42948</v>
      </c>
      <c r="S12" s="53">
        <v>38137</v>
      </c>
      <c r="T12" s="8">
        <f t="shared" si="10"/>
        <v>0.12615045756089888</v>
      </c>
      <c r="U12" s="21">
        <v>40798</v>
      </c>
      <c r="V12" s="5">
        <v>37502</v>
      </c>
      <c r="W12" s="6">
        <f t="shared" si="5"/>
        <v>8.7888645938883264E-2</v>
      </c>
      <c r="X12" s="49">
        <f t="shared" si="7"/>
        <v>557816</v>
      </c>
      <c r="Y12" s="33">
        <f t="shared" si="8"/>
        <v>596486</v>
      </c>
      <c r="Z12" s="35">
        <f t="shared" si="9"/>
        <v>-6.4829685860187836E-2</v>
      </c>
    </row>
    <row r="13" spans="1:26">
      <c r="A13" s="20">
        <v>45193</v>
      </c>
      <c r="B13" s="4">
        <v>38</v>
      </c>
      <c r="C13" s="32">
        <v>189424</v>
      </c>
      <c r="D13" s="5">
        <v>190324</v>
      </c>
      <c r="E13" s="7">
        <f t="shared" si="0"/>
        <v>-4.7287782938567917E-3</v>
      </c>
      <c r="F13" s="21">
        <v>47537</v>
      </c>
      <c r="G13" s="5">
        <v>49585</v>
      </c>
      <c r="H13" s="7">
        <f t="shared" si="1"/>
        <v>-4.1302813350811735E-2</v>
      </c>
      <c r="I13" s="21">
        <v>71733</v>
      </c>
      <c r="J13" s="5">
        <v>72052</v>
      </c>
      <c r="K13" s="9">
        <f t="shared" si="2"/>
        <v>-4.4273580192083495E-3</v>
      </c>
      <c r="L13" s="21">
        <v>60716</v>
      </c>
      <c r="M13" s="5">
        <v>81877</v>
      </c>
      <c r="N13" s="7">
        <f t="shared" si="3"/>
        <v>-0.25844864858263006</v>
      </c>
      <c r="O13" s="22">
        <v>99254</v>
      </c>
      <c r="P13" s="5">
        <v>102332</v>
      </c>
      <c r="Q13" s="7">
        <f t="shared" si="4"/>
        <v>-3.0078567798928976E-2</v>
      </c>
      <c r="R13" s="21">
        <v>42739</v>
      </c>
      <c r="S13" s="53">
        <v>39364</v>
      </c>
      <c r="T13" s="8">
        <f t="shared" si="10"/>
        <v>8.5738237983944726E-2</v>
      </c>
      <c r="U13" s="21">
        <v>42223</v>
      </c>
      <c r="V13" s="5">
        <v>48686</v>
      </c>
      <c r="W13" s="7">
        <f t="shared" si="5"/>
        <v>-0.13274863410425994</v>
      </c>
      <c r="X13" s="49">
        <f t="shared" si="7"/>
        <v>553626</v>
      </c>
      <c r="Y13" s="33">
        <f t="shared" si="8"/>
        <v>584220</v>
      </c>
      <c r="Z13" s="35">
        <f t="shared" si="9"/>
        <v>-5.2367258909314984E-2</v>
      </c>
    </row>
    <row r="14" spans="1:26">
      <c r="A14" s="20">
        <v>45200</v>
      </c>
      <c r="B14" s="4">
        <v>39</v>
      </c>
      <c r="C14" s="32">
        <v>193231</v>
      </c>
      <c r="D14" s="5">
        <v>192866</v>
      </c>
      <c r="E14" s="6">
        <f t="shared" si="0"/>
        <v>1.8925056775170325E-3</v>
      </c>
      <c r="F14" s="21">
        <v>48601</v>
      </c>
      <c r="G14" s="5">
        <v>48494</v>
      </c>
      <c r="H14" s="23">
        <f t="shared" si="1"/>
        <v>2.2064585309522827E-3</v>
      </c>
      <c r="I14" s="21">
        <v>67797</v>
      </c>
      <c r="J14" s="5">
        <v>71711</v>
      </c>
      <c r="K14" s="9">
        <f t="shared" si="2"/>
        <v>-5.4580189929020653E-2</v>
      </c>
      <c r="L14" s="21">
        <v>62503</v>
      </c>
      <c r="M14" s="5">
        <v>78220</v>
      </c>
      <c r="N14" s="7">
        <f t="shared" si="3"/>
        <v>-0.2009332651495781</v>
      </c>
      <c r="O14" s="22">
        <v>101975</v>
      </c>
      <c r="P14" s="5">
        <v>103570</v>
      </c>
      <c r="Q14" s="7">
        <f t="shared" si="4"/>
        <v>-1.5400212416722989E-2</v>
      </c>
      <c r="R14" s="21">
        <v>47905</v>
      </c>
      <c r="S14" s="53">
        <v>47082</v>
      </c>
      <c r="T14" s="8">
        <f t="shared" si="10"/>
        <v>1.7480141030542459E-2</v>
      </c>
      <c r="U14" s="21">
        <v>45708</v>
      </c>
      <c r="V14" s="5">
        <v>37068</v>
      </c>
      <c r="W14" s="6">
        <f t="shared" si="5"/>
        <v>0.23308514082227258</v>
      </c>
      <c r="X14" s="49">
        <f t="shared" si="7"/>
        <v>567720</v>
      </c>
      <c r="Y14" s="33">
        <f t="shared" si="8"/>
        <v>579011</v>
      </c>
      <c r="Z14" s="35">
        <f t="shared" si="9"/>
        <v>-1.9500493082169425E-2</v>
      </c>
    </row>
    <row r="15" spans="1:26">
      <c r="A15" s="20">
        <v>45207</v>
      </c>
      <c r="B15" s="4">
        <v>40</v>
      </c>
      <c r="C15" s="32">
        <v>171120</v>
      </c>
      <c r="D15" s="5">
        <v>179749</v>
      </c>
      <c r="E15" s="7">
        <f t="shared" si="0"/>
        <v>-4.8005830352324627E-2</v>
      </c>
      <c r="F15" s="21">
        <v>44904</v>
      </c>
      <c r="G15" s="5">
        <v>47176</v>
      </c>
      <c r="H15" s="7">
        <f t="shared" si="1"/>
        <v>-4.816008139732067E-2</v>
      </c>
      <c r="I15" s="21">
        <v>73403</v>
      </c>
      <c r="J15" s="5">
        <v>71697</v>
      </c>
      <c r="K15" s="8">
        <f t="shared" si="2"/>
        <v>2.3794579968478457E-2</v>
      </c>
      <c r="L15" s="21">
        <v>57801</v>
      </c>
      <c r="M15" s="5">
        <v>66539</v>
      </c>
      <c r="N15" s="7">
        <f t="shared" si="3"/>
        <v>-0.13132148063541682</v>
      </c>
      <c r="O15" s="22">
        <f>6622+92860</f>
        <v>99482</v>
      </c>
      <c r="P15" s="5">
        <v>102819</v>
      </c>
      <c r="Q15" s="7">
        <f t="shared" si="4"/>
        <v>-3.2455090985129206E-2</v>
      </c>
      <c r="R15" s="21">
        <v>42811</v>
      </c>
      <c r="S15" s="53">
        <v>42013</v>
      </c>
      <c r="T15" s="8">
        <f t="shared" si="10"/>
        <v>1.8994120867350583E-2</v>
      </c>
      <c r="U15" s="21">
        <v>43109</v>
      </c>
      <c r="V15" s="5">
        <v>39892</v>
      </c>
      <c r="W15" s="6">
        <f t="shared" si="5"/>
        <v>8.0642735385540967E-2</v>
      </c>
      <c r="X15" s="49">
        <f t="shared" si="7"/>
        <v>532630</v>
      </c>
      <c r="Y15" s="33">
        <f t="shared" si="8"/>
        <v>549885</v>
      </c>
      <c r="Z15" s="35">
        <f t="shared" si="9"/>
        <v>-3.1379288396664755E-2</v>
      </c>
    </row>
    <row r="16" spans="1:26">
      <c r="A16" s="20">
        <v>45214</v>
      </c>
      <c r="B16" s="4">
        <v>41</v>
      </c>
      <c r="C16" s="32">
        <v>167418</v>
      </c>
      <c r="D16" s="5">
        <v>179442</v>
      </c>
      <c r="E16" s="7">
        <f t="shared" si="0"/>
        <v>-6.7007723944227104E-2</v>
      </c>
      <c r="F16" s="21">
        <v>47601</v>
      </c>
      <c r="G16" s="5">
        <v>46384</v>
      </c>
      <c r="H16" s="6">
        <f t="shared" si="1"/>
        <v>2.6237495688168334E-2</v>
      </c>
      <c r="I16" s="21">
        <v>71039</v>
      </c>
      <c r="J16" s="5">
        <v>71253</v>
      </c>
      <c r="K16" s="9">
        <f t="shared" si="2"/>
        <v>-3.0033823137271412E-3</v>
      </c>
      <c r="L16" s="21">
        <v>58586</v>
      </c>
      <c r="M16" s="5">
        <v>71628</v>
      </c>
      <c r="N16" s="7">
        <f t="shared" si="3"/>
        <v>-0.18207963366281343</v>
      </c>
      <c r="O16" s="22">
        <v>102512</v>
      </c>
      <c r="P16" s="5">
        <v>107369</v>
      </c>
      <c r="Q16" s="7">
        <f t="shared" si="4"/>
        <v>-4.5236520783466364E-2</v>
      </c>
      <c r="R16" s="21">
        <v>44239</v>
      </c>
      <c r="S16" s="53">
        <v>40917</v>
      </c>
      <c r="T16" s="8">
        <f t="shared" si="10"/>
        <v>8.1188747953173504E-2</v>
      </c>
      <c r="U16" s="21">
        <v>45189</v>
      </c>
      <c r="V16" s="5">
        <v>36358</v>
      </c>
      <c r="W16" s="6">
        <f t="shared" si="5"/>
        <v>0.24289014797293582</v>
      </c>
      <c r="X16" s="49">
        <f t="shared" si="7"/>
        <v>536584</v>
      </c>
      <c r="Y16" s="33">
        <f t="shared" si="8"/>
        <v>553351</v>
      </c>
      <c r="Z16" s="35">
        <f t="shared" si="9"/>
        <v>-3.0300839792464458E-2</v>
      </c>
    </row>
    <row r="17" spans="1:26">
      <c r="A17" s="20">
        <v>45221</v>
      </c>
      <c r="B17" s="4">
        <v>42</v>
      </c>
      <c r="C17" s="32">
        <v>169056</v>
      </c>
      <c r="D17" s="5">
        <v>187524</v>
      </c>
      <c r="E17" s="7">
        <f t="shared" si="0"/>
        <v>-9.8483394125551932E-2</v>
      </c>
      <c r="F17" s="21">
        <v>52130</v>
      </c>
      <c r="G17" s="5">
        <v>48539</v>
      </c>
      <c r="H17" s="6">
        <f t="shared" si="1"/>
        <v>7.3981746636725104E-2</v>
      </c>
      <c r="I17" s="21">
        <v>68849</v>
      </c>
      <c r="J17" s="5">
        <v>73668</v>
      </c>
      <c r="K17" s="9">
        <f t="shared" si="2"/>
        <v>-6.5415105608948254E-2</v>
      </c>
      <c r="L17" s="21">
        <v>50324</v>
      </c>
      <c r="M17" s="5">
        <v>82119</v>
      </c>
      <c r="N17" s="7">
        <f t="shared" si="3"/>
        <v>-0.38718201634213761</v>
      </c>
      <c r="O17" s="22">
        <v>91338</v>
      </c>
      <c r="P17" s="5">
        <v>103813</v>
      </c>
      <c r="Q17" s="7">
        <f t="shared" si="4"/>
        <v>-0.12016799437450031</v>
      </c>
      <c r="R17" s="21">
        <v>43676</v>
      </c>
      <c r="S17" s="53">
        <v>42114</v>
      </c>
      <c r="T17" s="8">
        <f t="shared" si="10"/>
        <v>3.7089803865697865E-2</v>
      </c>
      <c r="U17" s="21">
        <v>30610</v>
      </c>
      <c r="V17" s="5">
        <v>34180</v>
      </c>
      <c r="W17" s="7">
        <f t="shared" si="5"/>
        <v>-0.10444704505558806</v>
      </c>
      <c r="X17" s="49">
        <f t="shared" si="7"/>
        <v>505983</v>
      </c>
      <c r="Y17" s="33">
        <f t="shared" si="8"/>
        <v>571957</v>
      </c>
      <c r="Z17" s="35">
        <f t="shared" si="9"/>
        <v>-0.11534783209227267</v>
      </c>
    </row>
    <row r="18" spans="1:26">
      <c r="A18" s="20">
        <v>45228</v>
      </c>
      <c r="B18" s="4">
        <v>43</v>
      </c>
      <c r="C18" s="32">
        <v>183047</v>
      </c>
      <c r="D18" s="5">
        <v>204109</v>
      </c>
      <c r="E18" s="7">
        <f t="shared" si="0"/>
        <v>-0.10318996222606548</v>
      </c>
      <c r="F18" s="21">
        <v>53232</v>
      </c>
      <c r="G18" s="5">
        <v>44798</v>
      </c>
      <c r="H18" s="6">
        <f t="shared" si="1"/>
        <v>0.18826733336309656</v>
      </c>
      <c r="I18" s="21">
        <v>80147</v>
      </c>
      <c r="J18" s="5">
        <v>79186</v>
      </c>
      <c r="K18" s="8">
        <f t="shared" si="2"/>
        <v>1.2135983633470564E-2</v>
      </c>
      <c r="L18" s="21">
        <v>61513</v>
      </c>
      <c r="M18" s="5">
        <v>71631</v>
      </c>
      <c r="N18" s="7">
        <f t="shared" si="3"/>
        <v>-0.14125169270288004</v>
      </c>
      <c r="O18" s="22">
        <v>101340</v>
      </c>
      <c r="P18" s="5">
        <v>104449</v>
      </c>
      <c r="Q18" s="7">
        <f t="shared" si="4"/>
        <v>-2.976572298442302E-2</v>
      </c>
      <c r="R18" s="21">
        <v>47235</v>
      </c>
      <c r="S18" s="53">
        <v>38670</v>
      </c>
      <c r="T18" s="8">
        <f t="shared" si="10"/>
        <v>0.22148952676493405</v>
      </c>
      <c r="U18" s="21">
        <v>35514</v>
      </c>
      <c r="V18" s="5">
        <v>40438</v>
      </c>
      <c r="W18" s="7">
        <f t="shared" si="5"/>
        <v>-0.12176665512636629</v>
      </c>
      <c r="X18" s="49">
        <f t="shared" si="7"/>
        <v>562028</v>
      </c>
      <c r="Y18" s="33">
        <f t="shared" si="8"/>
        <v>583281</v>
      </c>
      <c r="Z18" s="35">
        <f t="shared" si="9"/>
        <v>-3.6436983203635982E-2</v>
      </c>
    </row>
    <row r="19" spans="1:26">
      <c r="A19" s="20">
        <v>45235</v>
      </c>
      <c r="B19" s="4">
        <v>44</v>
      </c>
      <c r="C19" s="32">
        <v>192806</v>
      </c>
      <c r="D19" s="5">
        <v>210086</v>
      </c>
      <c r="E19" s="7">
        <f t="shared" si="0"/>
        <v>-8.2252030120998063E-2</v>
      </c>
      <c r="F19" s="21">
        <v>49866</v>
      </c>
      <c r="G19" s="5">
        <v>49009</v>
      </c>
      <c r="H19" s="6">
        <f t="shared" si="1"/>
        <v>1.7486584096798548E-2</v>
      </c>
      <c r="I19" s="21">
        <v>88212</v>
      </c>
      <c r="J19" s="5">
        <v>82133</v>
      </c>
      <c r="K19" s="8">
        <f t="shared" si="2"/>
        <v>7.4014099083194326E-2</v>
      </c>
      <c r="L19" s="21">
        <v>66047</v>
      </c>
      <c r="M19" s="5">
        <v>72749</v>
      </c>
      <c r="N19" s="7">
        <f t="shared" si="3"/>
        <v>-9.2124977662923199E-2</v>
      </c>
      <c r="O19" s="22">
        <v>103645</v>
      </c>
      <c r="P19" s="5">
        <v>109420</v>
      </c>
      <c r="Q19" s="7">
        <f t="shared" si="4"/>
        <v>-5.277828550539207E-2</v>
      </c>
      <c r="R19" s="21">
        <v>39701</v>
      </c>
      <c r="S19" s="53">
        <v>38799</v>
      </c>
      <c r="T19" s="8">
        <f t="shared" si="10"/>
        <v>2.3248021856233408E-2</v>
      </c>
      <c r="U19" s="21">
        <v>36989</v>
      </c>
      <c r="V19" s="5">
        <v>48159</v>
      </c>
      <c r="W19" s="7">
        <f t="shared" si="5"/>
        <v>-0.23194003197740817</v>
      </c>
      <c r="X19" s="49">
        <f t="shared" si="7"/>
        <v>577266</v>
      </c>
      <c r="Y19" s="33">
        <f t="shared" si="8"/>
        <v>610355</v>
      </c>
      <c r="Z19" s="35">
        <f t="shared" si="9"/>
        <v>-5.4212712274004475E-2</v>
      </c>
    </row>
    <row r="20" spans="1:26">
      <c r="A20" s="20">
        <v>45242</v>
      </c>
      <c r="B20" s="4">
        <v>45</v>
      </c>
      <c r="C20" s="32">
        <v>173566</v>
      </c>
      <c r="D20" s="5">
        <v>183490</v>
      </c>
      <c r="E20" s="7">
        <f t="shared" si="0"/>
        <v>-5.4084691263829095E-2</v>
      </c>
      <c r="F20" s="21">
        <v>47146</v>
      </c>
      <c r="G20" s="5">
        <v>50563</v>
      </c>
      <c r="H20" s="7">
        <f t="shared" si="1"/>
        <v>-6.7579059786800622E-2</v>
      </c>
      <c r="I20" s="21">
        <v>69975</v>
      </c>
      <c r="J20" s="5">
        <v>71206</v>
      </c>
      <c r="K20" s="9">
        <f t="shared" si="2"/>
        <v>-1.7287868999803387E-2</v>
      </c>
      <c r="L20" s="21">
        <v>56485</v>
      </c>
      <c r="M20" s="5">
        <v>60173</v>
      </c>
      <c r="N20" s="7">
        <f t="shared" si="3"/>
        <v>-6.1289947318564804E-2</v>
      </c>
      <c r="O20" s="22">
        <v>104347</v>
      </c>
      <c r="P20" s="5">
        <v>109958</v>
      </c>
      <c r="Q20" s="7">
        <f t="shared" si="4"/>
        <v>-5.1028574546645084E-2</v>
      </c>
      <c r="R20" s="21">
        <v>40881</v>
      </c>
      <c r="S20" s="53">
        <v>42950</v>
      </c>
      <c r="T20" s="9">
        <f t="shared" si="10"/>
        <v>-4.8172293364377186E-2</v>
      </c>
      <c r="U20" s="21">
        <v>43793</v>
      </c>
      <c r="V20" s="5">
        <v>42149</v>
      </c>
      <c r="W20" s="6">
        <f t="shared" si="5"/>
        <v>3.900448409214928E-2</v>
      </c>
      <c r="X20" s="49">
        <f t="shared" si="7"/>
        <v>536193</v>
      </c>
      <c r="Y20" s="33">
        <f t="shared" si="8"/>
        <v>560489</v>
      </c>
      <c r="Z20" s="35">
        <f t="shared" si="9"/>
        <v>-4.3347862313087321E-2</v>
      </c>
    </row>
    <row r="21" spans="1:26">
      <c r="A21" s="20">
        <v>45249</v>
      </c>
      <c r="B21" s="4">
        <v>46</v>
      </c>
      <c r="C21" s="32">
        <v>207892</v>
      </c>
      <c r="D21" s="5">
        <v>188326</v>
      </c>
      <c r="E21" s="6">
        <f t="shared" si="0"/>
        <v>0.10389431092892112</v>
      </c>
      <c r="F21" s="21">
        <v>50070</v>
      </c>
      <c r="G21" s="5">
        <v>53139</v>
      </c>
      <c r="H21" s="7">
        <f t="shared" si="1"/>
        <v>-5.7754191836504265E-2</v>
      </c>
      <c r="I21" s="21">
        <v>76015</v>
      </c>
      <c r="J21" s="5">
        <v>81875</v>
      </c>
      <c r="K21" s="9">
        <f t="shared" si="2"/>
        <v>-7.1572519083969471E-2</v>
      </c>
      <c r="L21" s="21">
        <v>63098</v>
      </c>
      <c r="M21" s="5">
        <v>63560</v>
      </c>
      <c r="N21" s="7">
        <f t="shared" si="3"/>
        <v>-7.2687224669603524E-3</v>
      </c>
      <c r="O21" s="22">
        <v>119290</v>
      </c>
      <c r="P21" s="5">
        <v>126168</v>
      </c>
      <c r="Q21" s="7">
        <f t="shared" si="4"/>
        <v>-5.4514615433390402E-2</v>
      </c>
      <c r="R21" s="21">
        <v>41366</v>
      </c>
      <c r="S21" s="53">
        <v>38900</v>
      </c>
      <c r="T21" s="8">
        <f t="shared" si="10"/>
        <v>6.3393316195372751E-2</v>
      </c>
      <c r="U21" s="21">
        <v>47919</v>
      </c>
      <c r="V21" s="5">
        <v>48753</v>
      </c>
      <c r="W21" s="7">
        <f t="shared" si="5"/>
        <v>-1.7106639591409758E-2</v>
      </c>
      <c r="X21" s="49">
        <f t="shared" si="7"/>
        <v>605650</v>
      </c>
      <c r="Y21" s="33">
        <f t="shared" si="8"/>
        <v>600721</v>
      </c>
      <c r="Z21" s="34">
        <f t="shared" si="9"/>
        <v>8.205140156578512E-3</v>
      </c>
    </row>
    <row r="22" spans="1:26">
      <c r="A22" s="20">
        <v>45256</v>
      </c>
      <c r="B22" s="4">
        <v>47</v>
      </c>
      <c r="C22" s="32">
        <v>222335</v>
      </c>
      <c r="D22" s="5">
        <v>200045</v>
      </c>
      <c r="E22" s="6">
        <f t="shared" si="0"/>
        <v>0.11142492939088705</v>
      </c>
      <c r="F22" s="21">
        <v>52649</v>
      </c>
      <c r="G22" s="5">
        <v>51350</v>
      </c>
      <c r="H22" s="6">
        <f t="shared" si="1"/>
        <v>2.5296981499513146E-2</v>
      </c>
      <c r="I22" s="21">
        <v>77770</v>
      </c>
      <c r="J22" s="5">
        <v>83119</v>
      </c>
      <c r="K22" s="9">
        <f t="shared" si="2"/>
        <v>-6.4353517246357628E-2</v>
      </c>
      <c r="L22" s="21">
        <v>58896</v>
      </c>
      <c r="M22" s="5">
        <v>54350</v>
      </c>
      <c r="N22" s="6">
        <f t="shared" si="3"/>
        <v>8.3643054277828893E-2</v>
      </c>
      <c r="O22" s="22">
        <v>115428</v>
      </c>
      <c r="P22" s="5">
        <v>125511</v>
      </c>
      <c r="Q22" s="7">
        <f t="shared" si="4"/>
        <v>-8.0335588115782675E-2</v>
      </c>
      <c r="R22" s="21">
        <v>41704</v>
      </c>
      <c r="S22" s="53">
        <v>35848</v>
      </c>
      <c r="T22" s="8">
        <f t="shared" si="10"/>
        <v>0.16335639366212898</v>
      </c>
      <c r="U22" s="21">
        <v>45107</v>
      </c>
      <c r="V22" s="5">
        <v>42714</v>
      </c>
      <c r="W22" s="6">
        <f t="shared" si="5"/>
        <v>5.602378611228169E-2</v>
      </c>
      <c r="X22" s="49">
        <f t="shared" si="7"/>
        <v>613889</v>
      </c>
      <c r="Y22" s="33">
        <f t="shared" si="8"/>
        <v>592937</v>
      </c>
      <c r="Z22" s="34">
        <f t="shared" si="9"/>
        <v>3.5335963179899385E-2</v>
      </c>
    </row>
    <row r="23" spans="1:26">
      <c r="A23" s="20">
        <v>45263</v>
      </c>
      <c r="B23" s="4">
        <v>48</v>
      </c>
      <c r="C23" s="32">
        <v>215847</v>
      </c>
      <c r="D23" s="5">
        <v>177725</v>
      </c>
      <c r="E23" s="6">
        <f t="shared" si="0"/>
        <v>0.21449992966661977</v>
      </c>
      <c r="F23" s="21">
        <v>47859</v>
      </c>
      <c r="G23" s="5">
        <v>47587</v>
      </c>
      <c r="H23" s="6">
        <f t="shared" si="1"/>
        <v>5.715846764872759E-3</v>
      </c>
      <c r="I23" s="21">
        <v>69910</v>
      </c>
      <c r="J23" s="5">
        <v>68611</v>
      </c>
      <c r="K23" s="8">
        <f t="shared" si="2"/>
        <v>1.8932824182711225E-2</v>
      </c>
      <c r="L23" s="21">
        <v>61990</v>
      </c>
      <c r="M23" s="5">
        <v>59889</v>
      </c>
      <c r="N23" s="6">
        <f t="shared" si="3"/>
        <v>3.5081567566664994E-2</v>
      </c>
      <c r="O23" s="22">
        <v>119323</v>
      </c>
      <c r="P23" s="5">
        <v>120498</v>
      </c>
      <c r="Q23" s="7">
        <f t="shared" si="4"/>
        <v>-9.7511991900280509E-3</v>
      </c>
      <c r="R23" s="21">
        <v>42658</v>
      </c>
      <c r="S23" s="53">
        <v>37159</v>
      </c>
      <c r="T23" s="8">
        <f t="shared" si="10"/>
        <v>0.1479856831454022</v>
      </c>
      <c r="U23" s="21">
        <v>48358</v>
      </c>
      <c r="V23" s="5">
        <v>43455</v>
      </c>
      <c r="W23" s="62">
        <f t="shared" si="5"/>
        <v>0.11282936370958463</v>
      </c>
      <c r="X23" s="49">
        <f t="shared" si="7"/>
        <v>605945</v>
      </c>
      <c r="Y23" s="33">
        <f t="shared" si="8"/>
        <v>554924</v>
      </c>
      <c r="Z23" s="34">
        <f t="shared" si="9"/>
        <v>9.1942320029409427E-2</v>
      </c>
    </row>
    <row r="24" spans="1:26">
      <c r="A24" s="20">
        <v>45270</v>
      </c>
      <c r="B24" s="4">
        <v>49</v>
      </c>
      <c r="C24" s="32">
        <v>249312</v>
      </c>
      <c r="D24" s="5">
        <v>194648</v>
      </c>
      <c r="E24" s="6">
        <f t="shared" si="0"/>
        <v>0.28083514857589081</v>
      </c>
      <c r="F24" s="21">
        <v>53979</v>
      </c>
      <c r="G24" s="5">
        <v>52035</v>
      </c>
      <c r="H24" s="6">
        <f t="shared" si="1"/>
        <v>3.7359469587777458E-2</v>
      </c>
      <c r="I24" s="21">
        <v>78846</v>
      </c>
      <c r="J24" s="5">
        <v>80692</v>
      </c>
      <c r="K24" s="9">
        <f t="shared" si="2"/>
        <v>-2.2877112972785406E-2</v>
      </c>
      <c r="L24" s="21">
        <v>60969</v>
      </c>
      <c r="M24" s="5">
        <v>60334</v>
      </c>
      <c r="N24" s="6">
        <f t="shared" si="3"/>
        <v>1.0524745582921735E-2</v>
      </c>
      <c r="O24" s="22">
        <v>132436</v>
      </c>
      <c r="P24" s="5">
        <v>136247</v>
      </c>
      <c r="Q24" s="7">
        <f t="shared" si="4"/>
        <v>-2.7971258082746777E-2</v>
      </c>
      <c r="R24" s="21">
        <v>43438</v>
      </c>
      <c r="S24" s="53">
        <v>35993</v>
      </c>
      <c r="T24" s="8">
        <f t="shared" si="10"/>
        <v>0.20684577556747144</v>
      </c>
      <c r="U24" s="21">
        <v>53953</v>
      </c>
      <c r="V24" s="5">
        <v>48090</v>
      </c>
      <c r="W24" s="62">
        <f t="shared" si="5"/>
        <v>0.12191723851112497</v>
      </c>
      <c r="X24" s="49">
        <f t="shared" si="7"/>
        <v>672933</v>
      </c>
      <c r="Y24" s="33">
        <f t="shared" si="8"/>
        <v>608039</v>
      </c>
      <c r="Z24" s="34">
        <f t="shared" si="9"/>
        <v>0.10672670667506524</v>
      </c>
    </row>
    <row r="25" spans="1:26">
      <c r="A25" s="20">
        <v>45277</v>
      </c>
      <c r="B25" s="4">
        <v>50</v>
      </c>
      <c r="C25" s="32">
        <v>232435</v>
      </c>
      <c r="D25" s="5">
        <v>200231</v>
      </c>
      <c r="E25" s="6">
        <f t="shared" si="0"/>
        <v>0.16083423645689229</v>
      </c>
      <c r="F25" s="21">
        <v>58103</v>
      </c>
      <c r="G25" s="5">
        <v>67020</v>
      </c>
      <c r="H25" s="7">
        <f t="shared" si="1"/>
        <v>-0.13304983586988958</v>
      </c>
      <c r="I25" s="21">
        <v>82799</v>
      </c>
      <c r="J25" s="5">
        <v>89711</v>
      </c>
      <c r="K25" s="9">
        <f t="shared" si="2"/>
        <v>-7.7047407787227878E-2</v>
      </c>
      <c r="L25" s="21">
        <v>68896</v>
      </c>
      <c r="M25" s="5">
        <v>68941</v>
      </c>
      <c r="N25" s="7">
        <f t="shared" si="3"/>
        <v>-6.5273204624243918E-4</v>
      </c>
      <c r="O25" s="22">
        <v>148506</v>
      </c>
      <c r="P25" s="5">
        <v>155973</v>
      </c>
      <c r="Q25" s="7">
        <f t="shared" si="4"/>
        <v>-4.7873670442961279E-2</v>
      </c>
      <c r="R25" s="21">
        <v>45383</v>
      </c>
      <c r="S25" s="53">
        <v>41147</v>
      </c>
      <c r="T25" s="8">
        <f t="shared" si="10"/>
        <v>0.10294796704498506</v>
      </c>
      <c r="U25" s="21">
        <v>57556</v>
      </c>
      <c r="V25" s="5">
        <v>53099</v>
      </c>
      <c r="W25" s="62">
        <f t="shared" si="5"/>
        <v>8.3937550613005896E-2</v>
      </c>
      <c r="X25" s="49">
        <f t="shared" si="7"/>
        <v>693678</v>
      </c>
      <c r="Y25" s="33">
        <f t="shared" si="8"/>
        <v>676122</v>
      </c>
      <c r="Z25" s="34">
        <f t="shared" si="9"/>
        <v>2.596572807866036E-2</v>
      </c>
    </row>
    <row r="26" spans="1:26">
      <c r="A26" s="20">
        <v>45284</v>
      </c>
      <c r="B26" s="4">
        <v>51</v>
      </c>
      <c r="C26" s="32">
        <v>246598</v>
      </c>
      <c r="D26" s="5">
        <v>250341</v>
      </c>
      <c r="E26" s="7">
        <f t="shared" si="0"/>
        <v>-1.4951606009403174E-2</v>
      </c>
      <c r="F26" s="21">
        <v>70847</v>
      </c>
      <c r="G26" s="5">
        <v>76233</v>
      </c>
      <c r="H26" s="7">
        <f t="shared" si="1"/>
        <v>-7.0651817454383273E-2</v>
      </c>
      <c r="I26" s="21">
        <v>92222</v>
      </c>
      <c r="J26" s="5">
        <v>120619</v>
      </c>
      <c r="K26" s="9">
        <f t="shared" si="2"/>
        <v>-0.23542725441265472</v>
      </c>
      <c r="L26" s="21">
        <v>81161</v>
      </c>
      <c r="M26" s="5">
        <v>74032</v>
      </c>
      <c r="N26" s="6">
        <f t="shared" si="3"/>
        <v>9.6296196239464019E-2</v>
      </c>
      <c r="O26" s="22">
        <v>164275</v>
      </c>
      <c r="P26" s="5">
        <v>159125</v>
      </c>
      <c r="Q26" s="6">
        <f t="shared" si="4"/>
        <v>3.2364493322859386E-2</v>
      </c>
      <c r="R26" s="21">
        <v>43859</v>
      </c>
      <c r="S26" s="53">
        <v>38071</v>
      </c>
      <c r="T26" s="8">
        <f t="shared" si="10"/>
        <v>0.15203173018833233</v>
      </c>
      <c r="U26" s="21">
        <v>64123</v>
      </c>
      <c r="V26" s="5">
        <v>57090</v>
      </c>
      <c r="W26" s="62">
        <f t="shared" si="5"/>
        <v>0.1231914520931862</v>
      </c>
      <c r="X26" s="49">
        <f t="shared" si="7"/>
        <v>763085</v>
      </c>
      <c r="Y26" s="33">
        <f t="shared" si="8"/>
        <v>775511</v>
      </c>
      <c r="Z26" s="35">
        <f t="shared" si="9"/>
        <v>-1.6022983555358982E-2</v>
      </c>
    </row>
    <row r="27" spans="1:26" ht="16" thickBot="1">
      <c r="A27" s="20">
        <v>45291</v>
      </c>
      <c r="B27" s="4">
        <v>52</v>
      </c>
      <c r="C27" s="36">
        <v>191626</v>
      </c>
      <c r="D27" s="37">
        <v>186341</v>
      </c>
      <c r="E27" s="43">
        <f t="shared" si="0"/>
        <v>2.8361981528488095E-2</v>
      </c>
      <c r="F27" s="44">
        <v>62324</v>
      </c>
      <c r="G27" s="37">
        <v>66513</v>
      </c>
      <c r="H27" s="45">
        <f t="shared" si="1"/>
        <v>-6.2980169290213939E-2</v>
      </c>
      <c r="I27" s="44">
        <v>82273</v>
      </c>
      <c r="J27" s="37">
        <v>84488</v>
      </c>
      <c r="K27" s="46">
        <f t="shared" si="2"/>
        <v>-2.6216740838935708E-2</v>
      </c>
      <c r="L27" s="44">
        <v>61581</v>
      </c>
      <c r="M27" s="37">
        <v>58400</v>
      </c>
      <c r="N27" s="43">
        <f t="shared" si="3"/>
        <v>5.4469178082191781E-2</v>
      </c>
      <c r="O27" s="47">
        <v>122318</v>
      </c>
      <c r="P27" s="37">
        <v>127250</v>
      </c>
      <c r="Q27" s="45">
        <f t="shared" si="4"/>
        <v>-3.8758349705304521E-2</v>
      </c>
      <c r="R27" s="44">
        <v>38863</v>
      </c>
      <c r="S27" s="54">
        <v>38488</v>
      </c>
      <c r="T27" s="60">
        <f t="shared" si="10"/>
        <v>9.7432966119309922E-3</v>
      </c>
      <c r="U27" s="63">
        <v>43720</v>
      </c>
      <c r="V27" s="10">
        <v>37445</v>
      </c>
      <c r="W27" s="64">
        <f t="shared" si="5"/>
        <v>0.16757911603685405</v>
      </c>
      <c r="X27" s="50">
        <f t="shared" si="7"/>
        <v>602705</v>
      </c>
      <c r="Y27" s="38">
        <f t="shared" si="8"/>
        <v>598925</v>
      </c>
      <c r="Z27" s="51">
        <f t="shared" si="9"/>
        <v>6.3113077597361936E-3</v>
      </c>
    </row>
    <row r="28" spans="1:26" ht="5.75" customHeight="1">
      <c r="W28" s="57"/>
    </row>
    <row r="29" spans="1:26" s="11" customFormat="1">
      <c r="A29" s="604" t="s">
        <v>29</v>
      </c>
      <c r="B29" s="604"/>
      <c r="C29" s="12">
        <f>SUM(C6:C27)</f>
        <v>4408876</v>
      </c>
      <c r="D29" s="24">
        <f>SUM(D6:D27)</f>
        <v>4380522</v>
      </c>
      <c r="E29" s="12"/>
      <c r="F29" s="12">
        <f>SUM(F6:F27)</f>
        <v>1163260</v>
      </c>
      <c r="G29" s="24">
        <f>SUM(G6:G27)</f>
        <v>1166821</v>
      </c>
      <c r="H29" s="12"/>
      <c r="I29" s="12">
        <f>SUM(I6:I27)</f>
        <v>1672912</v>
      </c>
      <c r="J29" s="24">
        <f>SUM(J6:J27)</f>
        <v>1767757</v>
      </c>
      <c r="K29" s="12"/>
      <c r="L29" s="12">
        <f>SUM(L6:L27)</f>
        <v>1439117</v>
      </c>
      <c r="M29" s="24">
        <f>SUM(M6:M27)</f>
        <v>1491639</v>
      </c>
      <c r="N29" s="12"/>
      <c r="O29" s="12">
        <f>SUM(O6:O27)</f>
        <v>2449441</v>
      </c>
      <c r="P29" s="24">
        <f>SUM(P6:P27)</f>
        <v>2542518</v>
      </c>
      <c r="Q29" s="12"/>
      <c r="R29" s="12">
        <f>SUM(R6:R27)</f>
        <v>951639</v>
      </c>
      <c r="S29" s="24">
        <f>SUM(S8:S27)</f>
        <v>677645</v>
      </c>
      <c r="T29" s="12"/>
      <c r="U29" s="12">
        <f>SUM(U6:U27)</f>
        <v>1002409</v>
      </c>
      <c r="V29" s="24">
        <f>SUM(V6:V27)</f>
        <v>897407</v>
      </c>
      <c r="W29" s="58">
        <f t="shared" si="5"/>
        <v>0.11700599616450506</v>
      </c>
      <c r="X29" s="12">
        <f>SUM(X6:X27)</f>
        <v>13087654</v>
      </c>
      <c r="Y29" s="24">
        <f>SUM(Y8:Y27)</f>
        <v>11868437</v>
      </c>
      <c r="Z29" s="26">
        <f>(X29-Y29)/Y29</f>
        <v>0.10272768014861602</v>
      </c>
    </row>
    <row r="30" spans="1:26" ht="5.75" customHeight="1"/>
    <row r="31" spans="1:26">
      <c r="A31" s="600" t="s">
        <v>34</v>
      </c>
      <c r="B31" s="600"/>
      <c r="C31" s="605">
        <f>C29+F29+I29+L29+O29+R29+U29</f>
        <v>13087654</v>
      </c>
      <c r="D31" s="605"/>
      <c r="E31" s="25"/>
    </row>
  </sheetData>
  <mergeCells count="11">
    <mergeCell ref="X3:Z3"/>
    <mergeCell ref="A31:B31"/>
    <mergeCell ref="C3:E3"/>
    <mergeCell ref="F3:H3"/>
    <mergeCell ref="I3:K3"/>
    <mergeCell ref="U3:W3"/>
    <mergeCell ref="L3:N3"/>
    <mergeCell ref="O3:Q3"/>
    <mergeCell ref="R3:T3"/>
    <mergeCell ref="A29:B29"/>
    <mergeCell ref="C31:D31"/>
  </mergeCells>
  <pageMargins left="0.7" right="0.7" top="0.75" bottom="0.75" header="0.3" footer="0.3"/>
  <ignoredErrors>
    <ignoredError sqref="X9:X10 W29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815B-4A36-D94C-A538-8E2A132670E1}">
  <dimension ref="A1:G14"/>
  <sheetViews>
    <sheetView showGridLines="0" workbookViewId="0">
      <selection activeCell="N37" sqref="N37"/>
    </sheetView>
  </sheetViews>
  <sheetFormatPr baseColWidth="10" defaultColWidth="11" defaultRowHeight="18"/>
  <cols>
    <col min="1" max="16384" width="11" style="334"/>
  </cols>
  <sheetData>
    <row r="1" spans="1:7">
      <c r="A1" s="514"/>
      <c r="B1" s="514"/>
      <c r="C1" s="514"/>
      <c r="D1" s="514"/>
      <c r="E1" s="514"/>
      <c r="F1" s="514"/>
      <c r="G1" s="514"/>
    </row>
    <row r="2" spans="1:7">
      <c r="A2" s="514"/>
      <c r="B2" s="515" t="s">
        <v>77</v>
      </c>
      <c r="C2" s="515"/>
      <c r="D2" s="515"/>
      <c r="E2" s="515"/>
      <c r="F2" s="514"/>
      <c r="G2" s="514"/>
    </row>
    <row r="3" spans="1:7">
      <c r="A3" s="514"/>
      <c r="B3" s="514"/>
      <c r="C3" s="514"/>
      <c r="D3" s="514"/>
      <c r="E3" s="514"/>
      <c r="F3" s="514"/>
      <c r="G3" s="514"/>
    </row>
    <row r="4" spans="1:7">
      <c r="A4" s="514"/>
      <c r="B4" s="519"/>
      <c r="C4" s="520">
        <v>26</v>
      </c>
      <c r="D4" s="520">
        <v>25</v>
      </c>
      <c r="E4" s="520" t="s">
        <v>75</v>
      </c>
      <c r="F4" s="520">
        <v>24</v>
      </c>
      <c r="G4" s="520" t="s">
        <v>8</v>
      </c>
    </row>
    <row r="5" spans="1:7" ht="8" customHeight="1">
      <c r="A5" s="514"/>
      <c r="B5" s="514"/>
      <c r="C5" s="514"/>
      <c r="D5" s="514"/>
      <c r="E5" s="514"/>
      <c r="F5" s="514"/>
      <c r="G5" s="514"/>
    </row>
    <row r="6" spans="1:7">
      <c r="A6" s="514"/>
      <c r="B6" s="521" t="s">
        <v>1</v>
      </c>
      <c r="C6" s="522">
        <v>32408</v>
      </c>
      <c r="D6" s="523">
        <v>31165</v>
      </c>
      <c r="E6" s="524">
        <f>C6/D6-1</f>
        <v>3.9884485801379821E-2</v>
      </c>
      <c r="F6" s="523">
        <v>34521</v>
      </c>
      <c r="G6" s="525">
        <v>6.7000000000000004E-2</v>
      </c>
    </row>
    <row r="7" spans="1:7">
      <c r="A7" s="514"/>
      <c r="B7" s="515" t="s">
        <v>2</v>
      </c>
      <c r="C7" s="526">
        <v>14906</v>
      </c>
      <c r="D7" s="516">
        <v>12260</v>
      </c>
      <c r="E7" s="527">
        <f t="shared" ref="E7:E14" si="0">C7/D7-1</f>
        <v>0.21582381729200661</v>
      </c>
      <c r="F7" s="516">
        <v>12772</v>
      </c>
      <c r="G7" s="518">
        <v>-0.04</v>
      </c>
    </row>
    <row r="8" spans="1:7">
      <c r="A8" s="514"/>
      <c r="B8" s="515" t="s">
        <v>3</v>
      </c>
      <c r="C8" s="526">
        <v>14486</v>
      </c>
      <c r="D8" s="516">
        <v>13421</v>
      </c>
      <c r="E8" s="527">
        <f t="shared" si="0"/>
        <v>7.9353252365695459E-2</v>
      </c>
      <c r="F8" s="516">
        <v>18290</v>
      </c>
      <c r="G8" s="518">
        <v>-0.26600000000000001</v>
      </c>
    </row>
    <row r="9" spans="1:7">
      <c r="A9" s="514"/>
      <c r="B9" s="515" t="s">
        <v>4</v>
      </c>
      <c r="C9" s="526">
        <v>9053</v>
      </c>
      <c r="D9" s="516">
        <v>9585</v>
      </c>
      <c r="E9" s="527">
        <f t="shared" si="0"/>
        <v>-5.5503390714658374E-2</v>
      </c>
      <c r="F9" s="516">
        <v>12263</v>
      </c>
      <c r="G9" s="518">
        <v>-0.218</v>
      </c>
    </row>
    <row r="10" spans="1:7">
      <c r="A10" s="514"/>
      <c r="B10" s="515" t="s">
        <v>5</v>
      </c>
      <c r="C10" s="526">
        <v>18929</v>
      </c>
      <c r="D10" s="516">
        <v>18769</v>
      </c>
      <c r="E10" s="527">
        <f t="shared" si="0"/>
        <v>8.5246949757578072E-3</v>
      </c>
      <c r="F10" s="516">
        <v>15652</v>
      </c>
      <c r="G10" s="518">
        <v>0.19900000000000001</v>
      </c>
    </row>
    <row r="11" spans="1:7">
      <c r="A11" s="514"/>
      <c r="B11" s="515" t="s">
        <v>6</v>
      </c>
      <c r="C11" s="526">
        <v>10800</v>
      </c>
      <c r="D11" s="516">
        <v>6721</v>
      </c>
      <c r="E11" s="527">
        <f t="shared" si="0"/>
        <v>0.60690373456330904</v>
      </c>
      <c r="F11" s="516">
        <v>8398</v>
      </c>
      <c r="G11" s="518">
        <v>-0.2</v>
      </c>
    </row>
    <row r="12" spans="1:7" ht="19" thickBot="1">
      <c r="A12" s="514"/>
      <c r="B12" s="528" t="s">
        <v>7</v>
      </c>
      <c r="C12" s="529">
        <v>5544</v>
      </c>
      <c r="D12" s="530">
        <v>6142</v>
      </c>
      <c r="E12" s="531">
        <f t="shared" si="0"/>
        <v>-9.736242266362749E-2</v>
      </c>
      <c r="F12" s="530">
        <v>7291</v>
      </c>
      <c r="G12" s="532">
        <v>-0.158</v>
      </c>
    </row>
    <row r="13" spans="1:7" ht="9" customHeight="1">
      <c r="A13" s="514"/>
      <c r="B13" s="515"/>
      <c r="C13" s="515"/>
      <c r="D13" s="516"/>
      <c r="E13" s="517"/>
      <c r="F13" s="516"/>
      <c r="G13" s="518"/>
    </row>
    <row r="14" spans="1:7" ht="19" thickBot="1">
      <c r="A14" s="514"/>
      <c r="B14" s="533" t="s">
        <v>34</v>
      </c>
      <c r="C14" s="534">
        <f>SUM(C6:C12)</f>
        <v>106126</v>
      </c>
      <c r="D14" s="534">
        <v>103738</v>
      </c>
      <c r="E14" s="535">
        <f t="shared" si="0"/>
        <v>2.3019529969731334E-2</v>
      </c>
      <c r="F14" s="534">
        <v>109187</v>
      </c>
      <c r="G14" s="536">
        <v>-0.05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CDF3-12A6-2646-A557-FA12F8622118}">
  <dimension ref="B2:G14"/>
  <sheetViews>
    <sheetView showGridLines="0" workbookViewId="0">
      <selection activeCell="E6" sqref="E6:E12"/>
    </sheetView>
  </sheetViews>
  <sheetFormatPr baseColWidth="10" defaultColWidth="10.83203125" defaultRowHeight="15.75" customHeight="1"/>
  <cols>
    <col min="1" max="1" width="10.83203125" style="66"/>
    <col min="2" max="2" width="8.5" style="66" customWidth="1"/>
    <col min="3" max="6" width="11.33203125" style="66" customWidth="1"/>
    <col min="7" max="16384" width="10.83203125" style="66"/>
  </cols>
  <sheetData>
    <row r="2" spans="2:7" ht="16">
      <c r="B2" s="65" t="s">
        <v>78</v>
      </c>
      <c r="C2" s="65"/>
    </row>
    <row r="4" spans="2:7" ht="16">
      <c r="B4" s="225" t="s">
        <v>79</v>
      </c>
      <c r="C4" s="226">
        <v>2026</v>
      </c>
      <c r="D4" s="226">
        <v>2025</v>
      </c>
      <c r="E4" s="226" t="s">
        <v>80</v>
      </c>
      <c r="F4" s="226">
        <v>2024</v>
      </c>
      <c r="G4" s="226" t="s">
        <v>81</v>
      </c>
    </row>
    <row r="6" spans="2:7" ht="16">
      <c r="B6" s="227" t="s">
        <v>1</v>
      </c>
      <c r="C6" s="228">
        <v>31061</v>
      </c>
      <c r="D6" s="229">
        <v>28624</v>
      </c>
      <c r="E6" s="242">
        <f>C6/D6-1</f>
        <v>8.5138345444382368E-2</v>
      </c>
      <c r="F6" s="229">
        <v>29996</v>
      </c>
      <c r="G6" s="231">
        <f>D6/F6-1</f>
        <v>-4.5739431924256557E-2</v>
      </c>
    </row>
    <row r="7" spans="2:7" ht="16">
      <c r="B7" s="65" t="s">
        <v>2</v>
      </c>
      <c r="C7" s="69">
        <v>10940</v>
      </c>
      <c r="D7" s="68">
        <v>9709</v>
      </c>
      <c r="E7" s="241">
        <f t="shared" ref="E7:E14" si="0">C7/D7-1</f>
        <v>0.12678957668142954</v>
      </c>
      <c r="F7" s="68">
        <v>8327</v>
      </c>
      <c r="G7" s="232">
        <f t="shared" ref="G7:G12" si="1">D7/F7-1</f>
        <v>0.1659661342620391</v>
      </c>
    </row>
    <row r="8" spans="2:7" ht="16">
      <c r="B8" s="65" t="s">
        <v>3</v>
      </c>
      <c r="C8" s="69">
        <v>13870</v>
      </c>
      <c r="D8" s="68">
        <v>17963</v>
      </c>
      <c r="E8" s="241">
        <f t="shared" si="0"/>
        <v>-0.22785726214997493</v>
      </c>
      <c r="F8" s="68">
        <v>13981</v>
      </c>
      <c r="G8" s="232">
        <f t="shared" si="1"/>
        <v>0.28481510621557837</v>
      </c>
    </row>
    <row r="9" spans="2:7" ht="16">
      <c r="B9" s="65" t="s">
        <v>4</v>
      </c>
      <c r="C9" s="69">
        <v>7898</v>
      </c>
      <c r="D9" s="68">
        <v>8910</v>
      </c>
      <c r="E9" s="241">
        <f t="shared" si="0"/>
        <v>-0.11358024691358026</v>
      </c>
      <c r="F9" s="68">
        <v>8781</v>
      </c>
      <c r="G9" s="232">
        <f t="shared" si="1"/>
        <v>1.4690809702767371E-2</v>
      </c>
    </row>
    <row r="10" spans="2:7" ht="16">
      <c r="B10" s="65" t="s">
        <v>5</v>
      </c>
      <c r="C10" s="69">
        <v>18321</v>
      </c>
      <c r="D10" s="68">
        <v>18447</v>
      </c>
      <c r="E10" s="241">
        <f t="shared" si="0"/>
        <v>-6.8303789234022139E-3</v>
      </c>
      <c r="F10" s="68">
        <v>15555</v>
      </c>
      <c r="G10" s="232">
        <f t="shared" si="1"/>
        <v>0.1859209257473482</v>
      </c>
    </row>
    <row r="11" spans="2:7" ht="16">
      <c r="B11" s="65" t="s">
        <v>6</v>
      </c>
      <c r="C11" s="69">
        <v>8486</v>
      </c>
      <c r="D11" s="68">
        <v>6160</v>
      </c>
      <c r="E11" s="241">
        <f t="shared" si="0"/>
        <v>0.37759740259740249</v>
      </c>
      <c r="F11" s="68">
        <v>6077</v>
      </c>
      <c r="G11" s="232">
        <f t="shared" si="1"/>
        <v>1.3658054961329658E-2</v>
      </c>
    </row>
    <row r="12" spans="2:7" ht="16">
      <c r="B12" s="233" t="s">
        <v>7</v>
      </c>
      <c r="C12" s="234">
        <v>5848</v>
      </c>
      <c r="D12" s="235">
        <v>5903</v>
      </c>
      <c r="E12" s="243">
        <f t="shared" si="0"/>
        <v>-9.3172962900219813E-3</v>
      </c>
      <c r="F12" s="235">
        <v>5626</v>
      </c>
      <c r="G12" s="237">
        <f t="shared" si="1"/>
        <v>4.9235691432634177E-2</v>
      </c>
    </row>
    <row r="13" spans="2:7" ht="8" customHeight="1">
      <c r="C13" s="68"/>
      <c r="E13" s="224"/>
    </row>
    <row r="14" spans="2:7" ht="16">
      <c r="B14" s="65" t="s">
        <v>29</v>
      </c>
      <c r="C14" s="69">
        <f>SUM(C6:C12)</f>
        <v>96424</v>
      </c>
      <c r="D14" s="69">
        <f>SUM(D6:D12)</f>
        <v>95716</v>
      </c>
      <c r="E14" s="241">
        <f t="shared" si="0"/>
        <v>7.3968824438965797E-3</v>
      </c>
      <c r="F14" s="69">
        <f>SUM(F6:F12)</f>
        <v>88343</v>
      </c>
      <c r="G14" s="188">
        <f>D14/F14-1</f>
        <v>8.345879130208389E-2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5D17-8E2C-CE4D-A2B7-06A6F16B724E}">
  <dimension ref="B2:G14"/>
  <sheetViews>
    <sheetView showGridLines="0" zoomScale="110" zoomScaleNormal="110" workbookViewId="0"/>
  </sheetViews>
  <sheetFormatPr baseColWidth="10" defaultColWidth="10.83203125" defaultRowHeight="16"/>
  <cols>
    <col min="1" max="1" width="10.83203125" style="66"/>
    <col min="2" max="2" width="7" style="66" customWidth="1"/>
    <col min="3" max="3" width="11.1640625" style="159" customWidth="1"/>
    <col min="4" max="4" width="11.1640625" style="66" customWidth="1"/>
    <col min="5" max="5" width="13" style="66" customWidth="1"/>
    <col min="6" max="6" width="11.1640625" style="66" customWidth="1"/>
    <col min="7" max="7" width="12.5" style="66" customWidth="1"/>
    <col min="8" max="16384" width="10.83203125" style="66"/>
  </cols>
  <sheetData>
    <row r="2" spans="2:7">
      <c r="B2" s="65" t="s">
        <v>82</v>
      </c>
      <c r="C2" s="67"/>
    </row>
    <row r="4" spans="2:7" ht="17" thickBot="1">
      <c r="B4" s="225" t="s">
        <v>79</v>
      </c>
      <c r="C4" s="226">
        <v>2026</v>
      </c>
      <c r="D4" s="226">
        <v>2025</v>
      </c>
      <c r="E4" s="226" t="s">
        <v>83</v>
      </c>
      <c r="F4" s="226">
        <v>2024</v>
      </c>
      <c r="G4" s="226" t="s">
        <v>84</v>
      </c>
    </row>
    <row r="5" spans="2:7" ht="9" customHeight="1"/>
    <row r="6" spans="2:7">
      <c r="B6" s="227" t="s">
        <v>1</v>
      </c>
      <c r="C6" s="228">
        <v>32678</v>
      </c>
      <c r="D6" s="229">
        <v>26914</v>
      </c>
      <c r="E6" s="230">
        <f t="shared" ref="E6:E12" si="0">C6/D6-1</f>
        <v>0.21416363231032176</v>
      </c>
      <c r="F6" s="229">
        <v>25320</v>
      </c>
      <c r="G6" s="231">
        <f>D6/F6-1</f>
        <v>6.2954186413902047E-2</v>
      </c>
    </row>
    <row r="7" spans="2:7">
      <c r="B7" s="65" t="s">
        <v>2</v>
      </c>
      <c r="C7" s="69">
        <v>10073</v>
      </c>
      <c r="D7" s="68">
        <v>9048</v>
      </c>
      <c r="E7" s="224">
        <f t="shared" si="0"/>
        <v>0.11328470380194511</v>
      </c>
      <c r="F7" s="68">
        <v>7787</v>
      </c>
      <c r="G7" s="232">
        <f t="shared" ref="G7:G12" si="1">D7/F7-1</f>
        <v>0.1619365609348915</v>
      </c>
    </row>
    <row r="8" spans="2:7">
      <c r="B8" s="65" t="s">
        <v>3</v>
      </c>
      <c r="C8" s="69">
        <v>10969</v>
      </c>
      <c r="D8" s="68">
        <v>12969</v>
      </c>
      <c r="E8" s="224">
        <f t="shared" si="0"/>
        <v>-0.15421389467190993</v>
      </c>
      <c r="F8" s="68">
        <v>10601</v>
      </c>
      <c r="G8" s="232">
        <f t="shared" si="1"/>
        <v>0.22337515328742574</v>
      </c>
    </row>
    <row r="9" spans="2:7">
      <c r="B9" s="65" t="s">
        <v>4</v>
      </c>
      <c r="C9" s="69">
        <v>11002</v>
      </c>
      <c r="D9" s="68">
        <v>11724</v>
      </c>
      <c r="E9" s="224">
        <f t="shared" si="0"/>
        <v>-6.1583077447969981E-2</v>
      </c>
      <c r="F9" s="68">
        <v>10816</v>
      </c>
      <c r="G9" s="232">
        <f t="shared" si="1"/>
        <v>8.3949704142011861E-2</v>
      </c>
    </row>
    <row r="10" spans="2:7">
      <c r="B10" s="65" t="s">
        <v>5</v>
      </c>
      <c r="C10" s="69">
        <v>19273</v>
      </c>
      <c r="D10" s="68">
        <v>22718</v>
      </c>
      <c r="E10" s="224">
        <f t="shared" si="0"/>
        <v>-0.15164186988291228</v>
      </c>
      <c r="F10" s="68">
        <v>19433</v>
      </c>
      <c r="G10" s="232">
        <f t="shared" si="1"/>
        <v>0.16904235064066286</v>
      </c>
    </row>
    <row r="11" spans="2:7">
      <c r="B11" s="65" t="s">
        <v>6</v>
      </c>
      <c r="C11" s="69">
        <v>11889</v>
      </c>
      <c r="D11" s="68">
        <v>10230</v>
      </c>
      <c r="E11" s="224">
        <f t="shared" si="0"/>
        <v>0.16217008797653953</v>
      </c>
      <c r="F11" s="68">
        <v>9254</v>
      </c>
      <c r="G11" s="232">
        <f t="shared" si="1"/>
        <v>0.10546790577047771</v>
      </c>
    </row>
    <row r="12" spans="2:7" ht="17" thickBot="1">
      <c r="B12" s="233" t="s">
        <v>7</v>
      </c>
      <c r="C12" s="234">
        <v>8549</v>
      </c>
      <c r="D12" s="235">
        <v>9414</v>
      </c>
      <c r="E12" s="236">
        <f t="shared" si="0"/>
        <v>-9.1884427448481021E-2</v>
      </c>
      <c r="F12" s="235">
        <v>9773</v>
      </c>
      <c r="G12" s="237">
        <f t="shared" si="1"/>
        <v>-3.6733858589992785E-2</v>
      </c>
    </row>
    <row r="13" spans="2:7" ht="8" customHeight="1">
      <c r="E13" s="224"/>
    </row>
    <row r="14" spans="2:7" ht="17" thickBot="1">
      <c r="B14" s="225" t="s">
        <v>29</v>
      </c>
      <c r="C14" s="238">
        <f>SUM(C6:C12)</f>
        <v>104433</v>
      </c>
      <c r="D14" s="238">
        <f>SUM(D6:D12)</f>
        <v>103017</v>
      </c>
      <c r="E14" s="239">
        <f>C14/D14-1</f>
        <v>1.3745304173097717E-2</v>
      </c>
      <c r="F14" s="238">
        <f>SUM(F6:F12)</f>
        <v>92984</v>
      </c>
      <c r="G14" s="240">
        <f>D14/F14-1</f>
        <v>0.10790028391981421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579D-BC0E-472F-930B-4DE6A9770ED6}">
  <sheetPr>
    <tabColor rgb="FFFF0000"/>
  </sheetPr>
  <dimension ref="A1:X14"/>
  <sheetViews>
    <sheetView showGridLines="0" workbookViewId="0">
      <selection activeCell="X11" sqref="X11"/>
    </sheetView>
  </sheetViews>
  <sheetFormatPr baseColWidth="10" defaultColWidth="9" defaultRowHeight="12"/>
  <cols>
    <col min="1" max="1" width="5.6640625" style="198" customWidth="1"/>
    <col min="2" max="4" width="9" style="198"/>
    <col min="5" max="5" width="1.1640625" style="198" customWidth="1"/>
    <col min="6" max="8" width="9" style="198"/>
    <col min="9" max="9" width="1.33203125" style="198" customWidth="1"/>
    <col min="10" max="11" width="10" style="198" bestFit="1" customWidth="1"/>
    <col min="12" max="12" width="9" style="198"/>
    <col min="13" max="13" width="1.6640625" style="198" customWidth="1"/>
    <col min="14" max="16" width="9" style="198"/>
    <col min="17" max="17" width="1.6640625" style="198" customWidth="1"/>
    <col min="18" max="20" width="9" style="198" customWidth="1"/>
    <col min="21" max="21" width="1.6640625" style="198" customWidth="1"/>
    <col min="22" max="23" width="10" style="198" bestFit="1" customWidth="1"/>
    <col min="24" max="16384" width="9" style="198"/>
  </cols>
  <sheetData>
    <row r="1" spans="1:24">
      <c r="A1" s="199" t="s">
        <v>85</v>
      </c>
    </row>
    <row r="3" spans="1:24" s="200" customFormat="1">
      <c r="A3" s="201"/>
      <c r="B3" s="201" t="s">
        <v>86</v>
      </c>
      <c r="C3" s="201" t="s">
        <v>87</v>
      </c>
      <c r="D3" s="201" t="s">
        <v>88</v>
      </c>
      <c r="F3" s="201" t="s">
        <v>89</v>
      </c>
      <c r="G3" s="201" t="s">
        <v>90</v>
      </c>
      <c r="H3" s="201" t="s">
        <v>88</v>
      </c>
      <c r="J3" s="201" t="s">
        <v>91</v>
      </c>
      <c r="K3" s="201" t="s">
        <v>92</v>
      </c>
      <c r="L3" s="201" t="s">
        <v>88</v>
      </c>
      <c r="N3" s="201" t="s">
        <v>93</v>
      </c>
      <c r="O3" s="201" t="s">
        <v>94</v>
      </c>
      <c r="P3" s="201" t="s">
        <v>88</v>
      </c>
      <c r="R3" s="201" t="s">
        <v>95</v>
      </c>
      <c r="S3" s="201" t="s">
        <v>96</v>
      </c>
      <c r="T3" s="201" t="s">
        <v>88</v>
      </c>
      <c r="V3" s="201" t="s">
        <v>97</v>
      </c>
      <c r="W3" s="201" t="s">
        <v>98</v>
      </c>
      <c r="X3" s="201" t="s">
        <v>8</v>
      </c>
    </row>
    <row r="4" spans="1:24" s="200" customFormat="1" ht="6.75" customHeight="1"/>
    <row r="5" spans="1:24">
      <c r="A5" s="202" t="s">
        <v>1</v>
      </c>
      <c r="B5" s="210">
        <v>20457</v>
      </c>
      <c r="C5" s="210">
        <v>23803</v>
      </c>
      <c r="D5" s="207">
        <f>C5/B5-1</f>
        <v>0.16356259471085699</v>
      </c>
      <c r="E5" s="208"/>
      <c r="F5" s="210">
        <v>29669</v>
      </c>
      <c r="G5" s="210">
        <v>32548</v>
      </c>
      <c r="H5" s="207">
        <f>G5/F5-1</f>
        <v>9.7037311672115711E-2</v>
      </c>
      <c r="I5" s="208"/>
      <c r="J5" s="210">
        <v>39066</v>
      </c>
      <c r="K5" s="210">
        <v>31684</v>
      </c>
      <c r="L5" s="207">
        <f>K5/J5-1</f>
        <v>-0.18896226898069934</v>
      </c>
      <c r="M5" s="208"/>
      <c r="N5" s="210">
        <v>42237</v>
      </c>
      <c r="O5" s="210">
        <v>42433</v>
      </c>
      <c r="P5" s="207">
        <f>O5/N5-1</f>
        <v>4.6404810947746622E-3</v>
      </c>
      <c r="Q5" s="208"/>
      <c r="R5" s="210">
        <v>42038</v>
      </c>
      <c r="S5" s="210">
        <v>38580</v>
      </c>
      <c r="T5" s="204">
        <f>S5/R5-1</f>
        <v>-8.2258908606498871E-2</v>
      </c>
      <c r="V5" s="215">
        <f>B5+F5+J5+N5+R5</f>
        <v>173467</v>
      </c>
      <c r="W5" s="215">
        <f>C5+G5+K5+O5+S5</f>
        <v>169048</v>
      </c>
      <c r="X5" s="218">
        <f>W5/V5-1</f>
        <v>-2.5474585944300632E-2</v>
      </c>
    </row>
    <row r="6" spans="1:24">
      <c r="A6" s="199" t="s">
        <v>2</v>
      </c>
      <c r="B6" s="211">
        <v>6285</v>
      </c>
      <c r="C6" s="211">
        <v>6607</v>
      </c>
      <c r="D6" s="208">
        <f t="shared" ref="D6:D13" si="0">C6/B6-1</f>
        <v>5.1233094669848933E-2</v>
      </c>
      <c r="E6" s="208"/>
      <c r="F6" s="211">
        <v>8075</v>
      </c>
      <c r="G6" s="211">
        <v>8694</v>
      </c>
      <c r="H6" s="208">
        <f t="shared" ref="H6:H11" si="1">G6/F6-1</f>
        <v>7.6656346749226056E-2</v>
      </c>
      <c r="I6" s="208"/>
      <c r="J6" s="211">
        <v>12743</v>
      </c>
      <c r="K6" s="211">
        <v>12057</v>
      </c>
      <c r="L6" s="208">
        <f t="shared" ref="L6:L13" si="2">K6/J6-1</f>
        <v>-5.3833477203170332E-2</v>
      </c>
      <c r="M6" s="208"/>
      <c r="N6" s="211">
        <v>12202</v>
      </c>
      <c r="O6" s="211">
        <v>12064</v>
      </c>
      <c r="P6" s="208">
        <f t="shared" ref="P6:P11" si="3">O6/N6-1</f>
        <v>-1.1309621373545298E-2</v>
      </c>
      <c r="Q6" s="208"/>
      <c r="R6" s="211">
        <v>9874</v>
      </c>
      <c r="S6" s="211">
        <v>10777</v>
      </c>
      <c r="T6" s="205">
        <f t="shared" ref="T6:T11" si="4">S6/R6-1</f>
        <v>9.1452298966983925E-2</v>
      </c>
      <c r="V6" s="213">
        <f t="shared" ref="V6:V11" si="5">B6+F6+J6+N6+R6</f>
        <v>49179</v>
      </c>
      <c r="W6" s="213">
        <f t="shared" ref="W6:W11" si="6">C6+G6+K6+O6+S6</f>
        <v>50199</v>
      </c>
      <c r="X6" s="214">
        <f t="shared" ref="X6:X13" si="7">W6/V6-1</f>
        <v>2.0740559995119812E-2</v>
      </c>
    </row>
    <row r="7" spans="1:24">
      <c r="A7" s="199" t="s">
        <v>3</v>
      </c>
      <c r="B7" s="211">
        <v>15331</v>
      </c>
      <c r="C7" s="211">
        <v>7972</v>
      </c>
      <c r="D7" s="208">
        <f t="shared" si="0"/>
        <v>-0.48000782727806401</v>
      </c>
      <c r="E7" s="208"/>
      <c r="F7" s="211">
        <v>10097</v>
      </c>
      <c r="G7" s="211">
        <v>9307</v>
      </c>
      <c r="H7" s="208">
        <f t="shared" si="1"/>
        <v>-7.8241061701495473E-2</v>
      </c>
      <c r="I7" s="208"/>
      <c r="J7" s="211">
        <v>14616</v>
      </c>
      <c r="K7" s="211">
        <v>9509</v>
      </c>
      <c r="L7" s="208">
        <f t="shared" si="2"/>
        <v>-0.34941160372194857</v>
      </c>
      <c r="M7" s="208"/>
      <c r="N7" s="211">
        <v>17123</v>
      </c>
      <c r="O7" s="211">
        <v>16461</v>
      </c>
      <c r="P7" s="208">
        <f t="shared" si="3"/>
        <v>-3.8661449512351842E-2</v>
      </c>
      <c r="Q7" s="208"/>
      <c r="R7" s="211">
        <v>11900</v>
      </c>
      <c r="S7" s="211">
        <v>12315</v>
      </c>
      <c r="T7" s="205">
        <f t="shared" si="4"/>
        <v>3.4873949579832031E-2</v>
      </c>
      <c r="V7" s="213">
        <f t="shared" si="5"/>
        <v>69067</v>
      </c>
      <c r="W7" s="213">
        <f t="shared" si="6"/>
        <v>55564</v>
      </c>
      <c r="X7" s="214">
        <f t="shared" si="7"/>
        <v>-0.19550581319588223</v>
      </c>
    </row>
    <row r="8" spans="1:24">
      <c r="A8" s="199" t="s">
        <v>4</v>
      </c>
      <c r="B8" s="211">
        <v>6939</v>
      </c>
      <c r="C8" s="211">
        <v>6121</v>
      </c>
      <c r="D8" s="208">
        <f t="shared" si="0"/>
        <v>-0.1178844213863669</v>
      </c>
      <c r="E8" s="208"/>
      <c r="F8" s="211">
        <v>8842</v>
      </c>
      <c r="G8" s="211">
        <v>7518</v>
      </c>
      <c r="H8" s="208">
        <f t="shared" si="1"/>
        <v>-0.14973987785568876</v>
      </c>
      <c r="I8" s="208"/>
      <c r="J8" s="211">
        <v>11374</v>
      </c>
      <c r="K8" s="211">
        <v>9691</v>
      </c>
      <c r="L8" s="208">
        <f t="shared" si="2"/>
        <v>-0.1479690522243714</v>
      </c>
      <c r="M8" s="208"/>
      <c r="N8" s="211">
        <v>12037</v>
      </c>
      <c r="O8" s="211">
        <v>10891</v>
      </c>
      <c r="P8" s="208">
        <f t="shared" si="3"/>
        <v>-9.520644678906709E-2</v>
      </c>
      <c r="Q8" s="208"/>
      <c r="R8" s="211">
        <v>11668</v>
      </c>
      <c r="S8" s="211">
        <v>10666</v>
      </c>
      <c r="T8" s="205">
        <f t="shared" si="4"/>
        <v>-8.5875899897154606E-2</v>
      </c>
      <c r="V8" s="213">
        <f t="shared" si="5"/>
        <v>50860</v>
      </c>
      <c r="W8" s="213">
        <f t="shared" si="6"/>
        <v>44887</v>
      </c>
      <c r="X8" s="214">
        <f t="shared" si="7"/>
        <v>-0.1174400314589068</v>
      </c>
    </row>
    <row r="9" spans="1:24">
      <c r="A9" s="199" t="s">
        <v>5</v>
      </c>
      <c r="B9" s="211">
        <v>15525</v>
      </c>
      <c r="C9" s="211">
        <v>18372</v>
      </c>
      <c r="D9" s="208">
        <f t="shared" si="0"/>
        <v>0.18338164251207734</v>
      </c>
      <c r="E9" s="208"/>
      <c r="F9" s="211">
        <v>20248</v>
      </c>
      <c r="G9" s="211">
        <v>21086</v>
      </c>
      <c r="H9" s="208">
        <f t="shared" si="1"/>
        <v>4.1386803634926972E-2</v>
      </c>
      <c r="I9" s="208"/>
      <c r="J9" s="211">
        <v>26092</v>
      </c>
      <c r="K9" s="211">
        <v>24270</v>
      </c>
      <c r="L9" s="208">
        <f t="shared" si="2"/>
        <v>-6.9829832898972821E-2</v>
      </c>
      <c r="M9" s="208"/>
      <c r="N9" s="211">
        <v>29138</v>
      </c>
      <c r="O9" s="211">
        <v>31764</v>
      </c>
      <c r="P9" s="208">
        <f t="shared" si="3"/>
        <v>9.0122863614523929E-2</v>
      </c>
      <c r="Q9" s="208"/>
      <c r="R9" s="211">
        <v>27412</v>
      </c>
      <c r="S9" s="211">
        <v>25838</v>
      </c>
      <c r="T9" s="205">
        <f t="shared" si="4"/>
        <v>-5.7420107981905777E-2</v>
      </c>
      <c r="V9" s="213">
        <f t="shared" si="5"/>
        <v>118415</v>
      </c>
      <c r="W9" s="213">
        <f t="shared" si="6"/>
        <v>121330</v>
      </c>
      <c r="X9" s="214">
        <f t="shared" si="7"/>
        <v>2.4616813748258304E-2</v>
      </c>
    </row>
    <row r="10" spans="1:24">
      <c r="A10" s="199" t="s">
        <v>6</v>
      </c>
      <c r="B10" s="211">
        <v>6501</v>
      </c>
      <c r="C10" s="211">
        <v>6405</v>
      </c>
      <c r="D10" s="208">
        <f t="shared" si="0"/>
        <v>-1.4766958929395502E-2</v>
      </c>
      <c r="E10" s="208"/>
      <c r="F10" s="211">
        <v>8465</v>
      </c>
      <c r="G10" s="211">
        <v>9192</v>
      </c>
      <c r="H10" s="208">
        <f t="shared" si="1"/>
        <v>8.5883047844063753E-2</v>
      </c>
      <c r="I10" s="208"/>
      <c r="J10" s="211">
        <v>8162</v>
      </c>
      <c r="K10" s="211">
        <v>8329</v>
      </c>
      <c r="L10" s="208">
        <f t="shared" si="2"/>
        <v>2.0460671404067599E-2</v>
      </c>
      <c r="M10" s="208"/>
      <c r="N10" s="211">
        <v>7367</v>
      </c>
      <c r="O10" s="211">
        <v>7677</v>
      </c>
      <c r="P10" s="208">
        <f t="shared" si="3"/>
        <v>4.2079543912040274E-2</v>
      </c>
      <c r="Q10" s="208"/>
      <c r="R10" s="211">
        <v>8027</v>
      </c>
      <c r="S10" s="211">
        <v>7147</v>
      </c>
      <c r="T10" s="205">
        <f t="shared" si="4"/>
        <v>-0.10962999875420454</v>
      </c>
      <c r="V10" s="213">
        <f t="shared" si="5"/>
        <v>38522</v>
      </c>
      <c r="W10" s="213">
        <f t="shared" si="6"/>
        <v>38750</v>
      </c>
      <c r="X10" s="214">
        <f t="shared" si="7"/>
        <v>5.9186958101864473E-3</v>
      </c>
    </row>
    <row r="11" spans="1:24">
      <c r="A11" s="203" t="s">
        <v>7</v>
      </c>
      <c r="B11" s="212">
        <v>5738</v>
      </c>
      <c r="C11" s="212">
        <v>5757</v>
      </c>
      <c r="D11" s="209">
        <f t="shared" si="0"/>
        <v>3.3112582781456013E-3</v>
      </c>
      <c r="E11" s="208"/>
      <c r="F11" s="212">
        <v>7317</v>
      </c>
      <c r="G11" s="212">
        <v>6424</v>
      </c>
      <c r="H11" s="209">
        <f t="shared" si="1"/>
        <v>-0.12204455377887113</v>
      </c>
      <c r="I11" s="208"/>
      <c r="J11" s="212">
        <v>8938</v>
      </c>
      <c r="K11" s="212">
        <v>7800</v>
      </c>
      <c r="L11" s="209">
        <f t="shared" si="2"/>
        <v>-0.12732154844484223</v>
      </c>
      <c r="M11" s="208"/>
      <c r="N11" s="212">
        <v>10032</v>
      </c>
      <c r="O11" s="212">
        <v>8971</v>
      </c>
      <c r="P11" s="209">
        <f t="shared" si="3"/>
        <v>-0.10576156299840511</v>
      </c>
      <c r="Q11" s="208"/>
      <c r="R11" s="212">
        <v>8249</v>
      </c>
      <c r="S11" s="212">
        <v>8089</v>
      </c>
      <c r="T11" s="206">
        <f t="shared" si="4"/>
        <v>-1.9396290459449683E-2</v>
      </c>
      <c r="V11" s="216">
        <f t="shared" si="5"/>
        <v>40274</v>
      </c>
      <c r="W11" s="216">
        <f t="shared" si="6"/>
        <v>37041</v>
      </c>
      <c r="X11" s="219">
        <f t="shared" si="7"/>
        <v>-8.0275115459105151E-2</v>
      </c>
    </row>
    <row r="12" spans="1:24" ht="5.25" customHeight="1">
      <c r="B12" s="211"/>
      <c r="C12" s="211"/>
      <c r="D12" s="208"/>
      <c r="E12" s="208"/>
      <c r="F12" s="211"/>
      <c r="G12" s="211"/>
      <c r="J12" s="211"/>
      <c r="K12" s="211"/>
      <c r="L12" s="208"/>
      <c r="M12" s="208"/>
      <c r="R12" s="211"/>
      <c r="S12" s="211"/>
      <c r="V12" s="211"/>
      <c r="W12" s="211"/>
    </row>
    <row r="13" spans="1:24" s="199" customFormat="1">
      <c r="A13" s="199" t="s">
        <v>29</v>
      </c>
      <c r="B13" s="213">
        <f>SUM(B5:B11)</f>
        <v>76776</v>
      </c>
      <c r="C13" s="213">
        <f t="shared" ref="C13:W13" si="8">SUM(C5:C11)</f>
        <v>75037</v>
      </c>
      <c r="D13" s="214">
        <f t="shared" si="0"/>
        <v>-2.2650307387725332E-2</v>
      </c>
      <c r="E13" s="214"/>
      <c r="F13" s="213">
        <f t="shared" si="8"/>
        <v>92713</v>
      </c>
      <c r="G13" s="213">
        <f t="shared" si="8"/>
        <v>94769</v>
      </c>
      <c r="H13" s="214">
        <f>G13/F13-1</f>
        <v>2.2175962378522929E-2</v>
      </c>
      <c r="I13" s="214"/>
      <c r="J13" s="213">
        <f t="shared" si="8"/>
        <v>120991</v>
      </c>
      <c r="K13" s="213">
        <f t="shared" si="8"/>
        <v>103340</v>
      </c>
      <c r="L13" s="214">
        <f t="shared" si="2"/>
        <v>-0.14588688414840778</v>
      </c>
      <c r="M13" s="214"/>
      <c r="N13" s="213">
        <f t="shared" si="8"/>
        <v>130136</v>
      </c>
      <c r="O13" s="213">
        <f t="shared" si="8"/>
        <v>130261</v>
      </c>
      <c r="P13" s="214">
        <f>O13/N13-1</f>
        <v>9.6053359562309204E-4</v>
      </c>
      <c r="Q13" s="214"/>
      <c r="R13" s="213">
        <f t="shared" si="8"/>
        <v>119168</v>
      </c>
      <c r="S13" s="213">
        <f t="shared" si="8"/>
        <v>113412</v>
      </c>
      <c r="T13" s="214">
        <f>S13/R13-1</f>
        <v>-4.8301557465091349E-2</v>
      </c>
      <c r="V13" s="213">
        <f t="shared" si="8"/>
        <v>539784</v>
      </c>
      <c r="W13" s="213">
        <f t="shared" si="8"/>
        <v>516819</v>
      </c>
      <c r="X13" s="214">
        <f t="shared" si="7"/>
        <v>-4.2544795696056181E-2</v>
      </c>
    </row>
    <row r="14" spans="1:24">
      <c r="V14" s="217" t="s">
        <v>8</v>
      </c>
      <c r="W14" s="213">
        <f>W13-V13</f>
        <v>-22965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RATIOS</vt:lpstr>
      <vt:lpstr>SEMANAL-2026</vt:lpstr>
      <vt:lpstr>MENSUAL</vt:lpstr>
      <vt:lpstr>AFORO</vt:lpstr>
      <vt:lpstr>MUNDIAL 2026</vt:lpstr>
      <vt:lpstr>SEMANAL-2025</vt:lpstr>
      <vt:lpstr>SEMANAL-2024</vt:lpstr>
      <vt:lpstr>SEMANAL-2023</vt:lpstr>
      <vt:lpstr>DIA PADRE</vt:lpstr>
      <vt:lpstr>DIA MADRES</vt:lpstr>
      <vt:lpstr>DIA DEL NIÑO</vt:lpstr>
      <vt:lpstr>BUEN FIN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Valenzuela</dc:creator>
  <cp:keywords/>
  <dc:description/>
  <cp:lastModifiedBy>Enrique Valenzuela</cp:lastModifiedBy>
  <cp:revision/>
  <dcterms:created xsi:type="dcterms:W3CDTF">2023-08-23T15:18:58Z</dcterms:created>
  <dcterms:modified xsi:type="dcterms:W3CDTF">2026-07-27T20:30:27Z</dcterms:modified>
  <cp:category/>
  <cp:contentStatus/>
</cp:coreProperties>
</file>