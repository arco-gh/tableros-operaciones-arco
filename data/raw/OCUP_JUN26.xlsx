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quevalenzuela/Desktop/"/>
    </mc:Choice>
  </mc:AlternateContent>
  <xr:revisionPtr revIDLastSave="0" documentId="8_{50F259A6-C3C0-BE42-8558-0912909B1FE5}" xr6:coauthVersionLast="47" xr6:coauthVersionMax="47" xr10:uidLastSave="{00000000-0000-0000-0000-000000000000}"/>
  <bookViews>
    <workbookView xWindow="1900" yWindow="1900" windowWidth="27240" windowHeight="16180" xr2:uid="{DEE4220E-9090-5241-8C02-00D01017EE04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F10" i="1"/>
  <c r="F14" i="1" s="1"/>
  <c r="I13" i="1"/>
  <c r="I12" i="1"/>
  <c r="I11" i="1"/>
  <c r="I9" i="1"/>
  <c r="I8" i="1"/>
  <c r="I7" i="1"/>
  <c r="I6" i="1"/>
  <c r="I5" i="1"/>
  <c r="I4" i="1"/>
  <c r="H10" i="1" l="1"/>
  <c r="H14" i="1" s="1"/>
  <c r="I14" i="1" s="1"/>
  <c r="I10" i="1" l="1"/>
</calcChain>
</file>

<file path=xl/sharedStrings.xml><?xml version="1.0" encoding="utf-8"?>
<sst xmlns="http://schemas.openxmlformats.org/spreadsheetml/2006/main" count="14" uniqueCount="14">
  <si>
    <t>P2K</t>
  </si>
  <si>
    <t>PSP</t>
  </si>
  <si>
    <t>PRG</t>
  </si>
  <si>
    <t>PC</t>
  </si>
  <si>
    <t>PSI</t>
  </si>
  <si>
    <t>PPA</t>
  </si>
  <si>
    <t>CBA+TORR</t>
  </si>
  <si>
    <t>PV</t>
  </si>
  <si>
    <t>PLP</t>
  </si>
  <si>
    <t>PE</t>
  </si>
  <si>
    <t>TOTAL</t>
  </si>
  <si>
    <t>PLAZA</t>
  </si>
  <si>
    <t>GLA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</si>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</sst>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arlow Regular"/>
    </font>
    <font>
      <sz val="11"/>
      <color theme="1"/>
      <name val="Barlow Regular"/>
    </font>
    <font>
      <b/>
      <sz val="11"/>
      <color theme="1"/>
      <name val="Barlow Regular"/>
    </font>
    <font>
      <b/>
      <sz val="12"/>
      <color theme="1"/>
      <name val="Barlow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0" applyNumberFormat="1" applyFont="1"/>
    <xf numFmtId="164" fontId="4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43" fontId="4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9CF9-A00E-1842-9C46-7BC945D2347D}">
  <dimension ref="B3:I14"/>
  <sheetViews>
    <sheetView tabSelected="1" workbookViewId="0">
      <selection activeCell="K20" sqref="K20"/>
    </sheetView>
  </sheetViews>
  <sheetFormatPr baseColWidth="10" defaultRowHeight="15"/>
  <cols>
    <col min="1" max="2" width="10.83203125" style="1"/>
    <col min="3" max="5" width="0" style="1" hidden="1" customWidth="1"/>
    <col min="6" max="7" width="17" style="1" hidden="1" customWidth="1"/>
    <col min="8" max="8" width="11.83203125" style="1" customWidth="1"/>
    <col min="9" max="16384" width="10.83203125" style="1"/>
  </cols>
  <sheetData>
    <row r="3" spans="2:9">
      <c r="B3" s="5" t="s">
        <v>11</v>
      </c>
      <c r="C3" s="5"/>
      <c r="D3" s="5"/>
      <c r="E3" s="5"/>
      <c r="F3" s="5"/>
      <c r="G3" s="5"/>
      <c r="H3" s="5" t="s">
        <v>12</v>
      </c>
      <c r="I3" s="5" t="s">
        <v>13</v>
      </c>
    </row>
    <row r="4" spans="2:9">
      <c r="B4" s="2" t="s">
        <v>0</v>
      </c>
      <c r="C4" s="2"/>
      <c r="D4" s="2"/>
      <c r="E4" s="2"/>
      <c r="F4" s="3">
        <v>52001.470000000023</v>
      </c>
      <c r="G4" s="3">
        <v>229.90999999999997</v>
      </c>
      <c r="H4" s="8">
        <v>52231.380000000026</v>
      </c>
      <c r="I4" s="4">
        <f t="shared" ref="I4:I9" si="0">+F4/H4</f>
        <v>0.99559823998523489</v>
      </c>
    </row>
    <row r="5" spans="2:9">
      <c r="B5" s="2" t="s">
        <v>1</v>
      </c>
      <c r="C5" s="2"/>
      <c r="D5" s="2"/>
      <c r="E5" s="2"/>
      <c r="F5" s="3">
        <v>20989.29</v>
      </c>
      <c r="G5" s="3">
        <v>1863.27</v>
      </c>
      <c r="H5" s="8">
        <v>22852.560000000001</v>
      </c>
      <c r="I5" s="4">
        <f t="shared" si="0"/>
        <v>0.9184655898507651</v>
      </c>
    </row>
    <row r="6" spans="2:9">
      <c r="B6" s="2" t="s">
        <v>2</v>
      </c>
      <c r="C6" s="2"/>
      <c r="D6" s="2"/>
      <c r="E6" s="2"/>
      <c r="F6" s="3">
        <v>46505.290000000015</v>
      </c>
      <c r="G6" s="3">
        <v>3776.6400000000003</v>
      </c>
      <c r="H6" s="8">
        <v>50281.930000000015</v>
      </c>
      <c r="I6" s="4">
        <f t="shared" si="0"/>
        <v>0.92489071123562683</v>
      </c>
    </row>
    <row r="7" spans="2:9">
      <c r="B7" s="2" t="s">
        <v>3</v>
      </c>
      <c r="C7" s="2"/>
      <c r="D7" s="2"/>
      <c r="E7" s="2"/>
      <c r="F7" s="3">
        <v>12311.070000000005</v>
      </c>
      <c r="G7" s="3">
        <v>1498.2600000000004</v>
      </c>
      <c r="H7" s="8">
        <v>13809.330000000005</v>
      </c>
      <c r="I7" s="4">
        <f t="shared" si="0"/>
        <v>0.89150378765660609</v>
      </c>
    </row>
    <row r="8" spans="2:9">
      <c r="B8" s="2" t="s">
        <v>4</v>
      </c>
      <c r="C8" s="2"/>
      <c r="D8" s="2"/>
      <c r="E8" s="2"/>
      <c r="F8" s="3">
        <v>21635.770000000004</v>
      </c>
      <c r="G8" s="3">
        <v>2929.2399999999993</v>
      </c>
      <c r="H8" s="8">
        <v>24565.010000000002</v>
      </c>
      <c r="I8" s="4">
        <f t="shared" si="0"/>
        <v>0.88075559505166101</v>
      </c>
    </row>
    <row r="9" spans="2:9">
      <c r="B9" s="2" t="s">
        <v>5</v>
      </c>
      <c r="C9" s="2"/>
      <c r="D9" s="2"/>
      <c r="E9" s="2"/>
      <c r="F9" s="3">
        <v>5428.6</v>
      </c>
      <c r="G9" s="3">
        <v>1640.15</v>
      </c>
      <c r="H9" s="8">
        <v>7068.75</v>
      </c>
      <c r="I9" s="4">
        <f t="shared" si="0"/>
        <v>0.76797170645446511</v>
      </c>
    </row>
    <row r="10" spans="2:9">
      <c r="B10" s="2" t="s">
        <v>6</v>
      </c>
      <c r="C10" s="2"/>
      <c r="D10" s="2"/>
      <c r="E10" s="2"/>
      <c r="F10" s="3">
        <f>50770.43+26790.46</f>
        <v>77560.89</v>
      </c>
      <c r="G10" s="3">
        <v>1777.65</v>
      </c>
      <c r="H10" s="8">
        <f>G10+F10</f>
        <v>79338.539999999994</v>
      </c>
      <c r="I10" s="4">
        <f>F10/H10</f>
        <v>0.97759411756253656</v>
      </c>
    </row>
    <row r="11" spans="2:9">
      <c r="B11" s="2" t="s">
        <v>7</v>
      </c>
      <c r="C11" s="2"/>
      <c r="D11" s="2"/>
      <c r="E11" s="2"/>
      <c r="F11" s="3">
        <v>24099.950000000019</v>
      </c>
      <c r="G11" s="3">
        <v>2055.3000000000006</v>
      </c>
      <c r="H11" s="8">
        <v>26155.250000000018</v>
      </c>
      <c r="I11" s="4">
        <f>+F11/H11</f>
        <v>0.92141921793903714</v>
      </c>
    </row>
    <row r="12" spans="2:9">
      <c r="B12" s="2" t="s">
        <v>8</v>
      </c>
      <c r="C12" s="2"/>
      <c r="D12" s="2"/>
      <c r="E12" s="2"/>
      <c r="F12" s="3">
        <v>13005.890000000001</v>
      </c>
      <c r="G12" s="3">
        <v>2342.13</v>
      </c>
      <c r="H12" s="8">
        <v>15348.02</v>
      </c>
      <c r="I12" s="4">
        <f>+F12/H12</f>
        <v>0.84739855694741084</v>
      </c>
    </row>
    <row r="13" spans="2:9">
      <c r="B13" s="2" t="s">
        <v>9</v>
      </c>
      <c r="C13" s="2"/>
      <c r="D13" s="2"/>
      <c r="E13" s="2"/>
      <c r="F13" s="3">
        <v>12025.26</v>
      </c>
      <c r="G13" s="3"/>
      <c r="H13" s="8">
        <v>12025.26</v>
      </c>
      <c r="I13" s="4">
        <f>+F13/H13</f>
        <v>1</v>
      </c>
    </row>
    <row r="14" spans="2:9">
      <c r="B14" s="6" t="s">
        <v>10</v>
      </c>
      <c r="C14" s="6"/>
      <c r="D14" s="6"/>
      <c r="E14" s="6"/>
      <c r="F14" s="7">
        <f>SUM(F4:F13)</f>
        <v>285563.4800000001</v>
      </c>
      <c r="G14" s="7">
        <f t="shared" ref="G14:H14" si="1">SUM(G4:G13)</f>
        <v>18112.55</v>
      </c>
      <c r="H14" s="9">
        <f t="shared" si="1"/>
        <v>303676.03000000009</v>
      </c>
      <c r="I14" s="4">
        <f>+F14/H14</f>
        <v>0.94035568101967093</v>
      </c>
    </row>
  </sheetData>
  <pageMargins left="0.7" right="0.7" top="0.75" bottom="0.75" header="0.3" footer="0.3"/>
  <ignoredErrors>
    <ignoredError sqref="I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Valenzuela</dc:creator>
  <cp:lastModifiedBy>Enrique Valenzuela</cp:lastModifiedBy>
  <dcterms:created xsi:type="dcterms:W3CDTF">2026-07-27T02:39:31Z</dcterms:created>
  <dcterms:modified xsi:type="dcterms:W3CDTF">2026-08-12T15:40:02Z</dcterms:modified>
</cp:coreProperties>
</file>