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nriquevalenzuela/Downloads/"/>
    </mc:Choice>
  </mc:AlternateContent>
  <xr:revisionPtr revIDLastSave="0" documentId="13_ncr:1_{74EB0DA2-D796-8141-B61C-6C2D33AD6F5B}" xr6:coauthVersionLast="47" xr6:coauthVersionMax="47" xr10:uidLastSave="{00000000-0000-0000-0000-000000000000}"/>
  <bookViews>
    <workbookView xWindow="0" yWindow="600" windowWidth="26360" windowHeight="16140" activeTab="1" xr2:uid="{7B8902EA-1EF3-413A-B6B8-9F1C4B644178}"/>
  </bookViews>
  <sheets>
    <sheet name="Jun 26 Job" sheetId="2" r:id="rId1"/>
    <sheet name="Historico Jun 26" sheetId="1" r:id="rId2"/>
  </sheets>
  <definedNames>
    <definedName name="_xlnm._FilterDatabase" localSheetId="0" hidden="1">'Jun 26 Job'!$A$3:$T$1429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4" i="2" l="1"/>
  <c r="G4" i="2"/>
  <c r="F4" i="2"/>
  <c r="E4" i="2"/>
  <c r="D4" i="2"/>
  <c r="I4" i="2"/>
  <c r="Q1367" i="2" s="1"/>
  <c r="H1" i="2"/>
  <c r="G1" i="2"/>
  <c r="F1" i="2"/>
  <c r="E1" i="2"/>
  <c r="D1" i="2"/>
  <c r="I1" i="2"/>
  <c r="Q7" i="2" l="1"/>
  <c r="Q18" i="2"/>
  <c r="Q28" i="2"/>
  <c r="Q38" i="2"/>
  <c r="Q48" i="2"/>
  <c r="Q58" i="2"/>
  <c r="Q68" i="2"/>
  <c r="Q78" i="2"/>
  <c r="Q88" i="2"/>
  <c r="Q98" i="2"/>
  <c r="Q108" i="2"/>
  <c r="Q118" i="2"/>
  <c r="Q128" i="2"/>
  <c r="Q138" i="2"/>
  <c r="Q148" i="2"/>
  <c r="Q158" i="2"/>
  <c r="Q168" i="2"/>
  <c r="Q178" i="2"/>
  <c r="Q188" i="2"/>
  <c r="Q198" i="2"/>
  <c r="Q208" i="2"/>
  <c r="Q218" i="2"/>
  <c r="Q228" i="2"/>
  <c r="Q238" i="2"/>
  <c r="Q248" i="2"/>
  <c r="Q258" i="2"/>
  <c r="Q268" i="2"/>
  <c r="Q278" i="2"/>
  <c r="Q288" i="2"/>
  <c r="Q298" i="2"/>
  <c r="Q308" i="2"/>
  <c r="Q318" i="2"/>
  <c r="Q328" i="2"/>
  <c r="Q338" i="2"/>
  <c r="Q348" i="2"/>
  <c r="Q358" i="2"/>
  <c r="Q368" i="2"/>
  <c r="Q378" i="2"/>
  <c r="Q388" i="2"/>
  <c r="Q398" i="2"/>
  <c r="Q408" i="2"/>
  <c r="Q418" i="2"/>
  <c r="Q428" i="2"/>
  <c r="Q438" i="2"/>
  <c r="Q448" i="2"/>
  <c r="Q458" i="2"/>
  <c r="Q468" i="2"/>
  <c r="Q478" i="2"/>
  <c r="Q488" i="2"/>
  <c r="Q498" i="2"/>
  <c r="Q508" i="2"/>
  <c r="Q518" i="2"/>
  <c r="Q528" i="2"/>
  <c r="Q538" i="2"/>
  <c r="Q548" i="2"/>
  <c r="Q558" i="2"/>
  <c r="Q568" i="2"/>
  <c r="Q580" i="2"/>
  <c r="Q591" i="2"/>
  <c r="Q602" i="2"/>
  <c r="Q613" i="2"/>
  <c r="Q624" i="2"/>
  <c r="Q638" i="2"/>
  <c r="Q658" i="2"/>
  <c r="Q678" i="2"/>
  <c r="Q708" i="2"/>
  <c r="Q758" i="2"/>
  <c r="Q809" i="2"/>
  <c r="Q860" i="2"/>
  <c r="Q912" i="2"/>
  <c r="Q962" i="2"/>
  <c r="Q1012" i="2"/>
  <c r="Q1062" i="2"/>
  <c r="Q1112" i="2"/>
  <c r="Q1162" i="2"/>
  <c r="Q1213" i="2"/>
  <c r="Q1266" i="2"/>
  <c r="Q1317" i="2"/>
  <c r="Q1429" i="2"/>
  <c r="Q1409" i="2"/>
  <c r="Q1399" i="2"/>
  <c r="Q1389" i="2"/>
  <c r="Q1379" i="2"/>
  <c r="Q1369" i="2"/>
  <c r="Q1359" i="2"/>
  <c r="Q1349" i="2"/>
  <c r="Q1339" i="2"/>
  <c r="Q1329" i="2"/>
  <c r="Q1319" i="2"/>
  <c r="Q1309" i="2"/>
  <c r="Q1299" i="2"/>
  <c r="Q1289" i="2"/>
  <c r="Q1278" i="2"/>
  <c r="Q1268" i="2"/>
  <c r="Q1258" i="2"/>
  <c r="Q1247" i="2"/>
  <c r="Q1237" i="2"/>
  <c r="Q1227" i="2"/>
  <c r="Q1216" i="2"/>
  <c r="Q1204" i="2"/>
  <c r="Q1194" i="2"/>
  <c r="Q1184" i="2"/>
  <c r="Q1174" i="2"/>
  <c r="Q1164" i="2"/>
  <c r="Q1154" i="2"/>
  <c r="Q1144" i="2"/>
  <c r="Q1134" i="2"/>
  <c r="Q1124" i="2"/>
  <c r="Q1114" i="2"/>
  <c r="Q1104" i="2"/>
  <c r="Q1094" i="2"/>
  <c r="Q1084" i="2"/>
  <c r="Q1074" i="2"/>
  <c r="Q1064" i="2"/>
  <c r="Q1054" i="2"/>
  <c r="Q1044" i="2"/>
  <c r="Q1034" i="2"/>
  <c r="Q1024" i="2"/>
  <c r="Q1014" i="2"/>
  <c r="Q1004" i="2"/>
  <c r="Q994" i="2"/>
  <c r="Q984" i="2"/>
  <c r="Q974" i="2"/>
  <c r="Q964" i="2"/>
  <c r="Q954" i="2"/>
  <c r="Q944" i="2"/>
  <c r="Q934" i="2"/>
  <c r="Q924" i="2"/>
  <c r="Q914" i="2"/>
  <c r="Q902" i="2"/>
  <c r="Q892" i="2"/>
  <c r="Q882" i="2"/>
  <c r="Q872" i="2"/>
  <c r="Q862" i="2"/>
  <c r="Q852" i="2"/>
  <c r="Q841" i="2"/>
  <c r="Q831" i="2"/>
  <c r="Q821" i="2"/>
  <c r="Q811" i="2"/>
  <c r="Q801" i="2"/>
  <c r="Q791" i="2"/>
  <c r="Q780" i="2"/>
  <c r="Q770" i="2"/>
  <c r="Q760" i="2"/>
  <c r="Q749" i="2"/>
  <c r="Q739" i="2"/>
  <c r="Q729" i="2"/>
  <c r="Q719" i="2"/>
  <c r="Q709" i="2"/>
  <c r="Q699" i="2"/>
  <c r="Q689" i="2"/>
  <c r="Q679" i="2"/>
  <c r="Q669" i="2"/>
  <c r="Q659" i="2"/>
  <c r="Q649" i="2"/>
  <c r="Q639" i="2"/>
  <c r="Q629" i="2"/>
  <c r="Q619" i="2"/>
  <c r="Q609" i="2"/>
  <c r="Q599" i="2"/>
  <c r="Q589" i="2"/>
  <c r="Q579" i="2"/>
  <c r="Q569" i="2"/>
  <c r="Q1428" i="2"/>
  <c r="Q1427" i="2"/>
  <c r="Q1426" i="2"/>
  <c r="Q1406" i="2"/>
  <c r="Q1396" i="2"/>
  <c r="Q1386" i="2"/>
  <c r="Q1376" i="2"/>
  <c r="Q1366" i="2"/>
  <c r="Q1356" i="2"/>
  <c r="Q1346" i="2"/>
  <c r="Q1336" i="2"/>
  <c r="Q1326" i="2"/>
  <c r="Q1316" i="2"/>
  <c r="Q1306" i="2"/>
  <c r="Q1296" i="2"/>
  <c r="Q1286" i="2"/>
  <c r="Q1275" i="2"/>
  <c r="Q1265" i="2"/>
  <c r="Q1255" i="2"/>
  <c r="Q1244" i="2"/>
  <c r="Q1234" i="2"/>
  <c r="Q1223" i="2"/>
  <c r="Q1212" i="2"/>
  <c r="Q1201" i="2"/>
  <c r="Q1191" i="2"/>
  <c r="Q1181" i="2"/>
  <c r="Q1171" i="2"/>
  <c r="Q1161" i="2"/>
  <c r="Q1151" i="2"/>
  <c r="Q1141" i="2"/>
  <c r="Q1131" i="2"/>
  <c r="Q1121" i="2"/>
  <c r="Q1111" i="2"/>
  <c r="Q1101" i="2"/>
  <c r="Q1091" i="2"/>
  <c r="Q1081" i="2"/>
  <c r="Q1071" i="2"/>
  <c r="Q1061" i="2"/>
  <c r="Q1051" i="2"/>
  <c r="Q1041" i="2"/>
  <c r="Q1031" i="2"/>
  <c r="Q1021" i="2"/>
  <c r="Q1011" i="2"/>
  <c r="Q1001" i="2"/>
  <c r="Q991" i="2"/>
  <c r="Q981" i="2"/>
  <c r="Q971" i="2"/>
  <c r="Q961" i="2"/>
  <c r="Q951" i="2"/>
  <c r="Q941" i="2"/>
  <c r="Q931" i="2"/>
  <c r="Q921" i="2"/>
  <c r="Q911" i="2"/>
  <c r="Q899" i="2"/>
  <c r="Q889" i="2"/>
  <c r="Q879" i="2"/>
  <c r="Q869" i="2"/>
  <c r="Q859" i="2"/>
  <c r="Q848" i="2"/>
  <c r="Q838" i="2"/>
  <c r="Q828" i="2"/>
  <c r="Q818" i="2"/>
  <c r="Q808" i="2"/>
  <c r="Q798" i="2"/>
  <c r="Q788" i="2"/>
  <c r="Q777" i="2"/>
  <c r="Q767" i="2"/>
  <c r="Q756" i="2"/>
  <c r="Q746" i="2"/>
  <c r="Q736" i="2"/>
  <c r="Q726" i="2"/>
  <c r="Q716" i="2"/>
  <c r="Q706" i="2"/>
  <c r="Q696" i="2"/>
  <c r="Q686" i="2"/>
  <c r="Q676" i="2"/>
  <c r="Q666" i="2"/>
  <c r="Q656" i="2"/>
  <c r="Q646" i="2"/>
  <c r="Q1425" i="2"/>
  <c r="Q1405" i="2"/>
  <c r="Q1395" i="2"/>
  <c r="Q1385" i="2"/>
  <c r="Q1375" i="2"/>
  <c r="Q1365" i="2"/>
  <c r="Q1355" i="2"/>
  <c r="Q1345" i="2"/>
  <c r="Q1335" i="2"/>
  <c r="Q1325" i="2"/>
  <c r="Q1315" i="2"/>
  <c r="Q1305" i="2"/>
  <c r="Q1295" i="2"/>
  <c r="Q1285" i="2"/>
  <c r="Q1274" i="2"/>
  <c r="Q1264" i="2"/>
  <c r="Q1254" i="2"/>
  <c r="Q1243" i="2"/>
  <c r="Q1233" i="2"/>
  <c r="Q1222" i="2"/>
  <c r="Q1210" i="2"/>
  <c r="Q1200" i="2"/>
  <c r="Q1190" i="2"/>
  <c r="Q1180" i="2"/>
  <c r="Q1170" i="2"/>
  <c r="Q1160" i="2"/>
  <c r="Q1150" i="2"/>
  <c r="Q1140" i="2"/>
  <c r="Q1130" i="2"/>
  <c r="Q1120" i="2"/>
  <c r="Q1110" i="2"/>
  <c r="Q1100" i="2"/>
  <c r="Q1090" i="2"/>
  <c r="Q1080" i="2"/>
  <c r="Q1070" i="2"/>
  <c r="Q1060" i="2"/>
  <c r="Q1050" i="2"/>
  <c r="Q1040" i="2"/>
  <c r="Q1030" i="2"/>
  <c r="Q1020" i="2"/>
  <c r="Q1010" i="2"/>
  <c r="Q1000" i="2"/>
  <c r="Q990" i="2"/>
  <c r="Q980" i="2"/>
  <c r="Q970" i="2"/>
  <c r="Q960" i="2"/>
  <c r="Q950" i="2"/>
  <c r="Q940" i="2"/>
  <c r="Q930" i="2"/>
  <c r="Q920" i="2"/>
  <c r="Q909" i="2"/>
  <c r="Q898" i="2"/>
  <c r="Q888" i="2"/>
  <c r="Q878" i="2"/>
  <c r="Q868" i="2"/>
  <c r="Q858" i="2"/>
  <c r="Q847" i="2"/>
  <c r="Q837" i="2"/>
  <c r="Q827" i="2"/>
  <c r="Q817" i="2"/>
  <c r="Q807" i="2"/>
  <c r="Q797" i="2"/>
  <c r="Q787" i="2"/>
  <c r="Q776" i="2"/>
  <c r="Q766" i="2"/>
  <c r="Q755" i="2"/>
  <c r="Q745" i="2"/>
  <c r="Q735" i="2"/>
  <c r="Q725" i="2"/>
  <c r="Q715" i="2"/>
  <c r="Q705" i="2"/>
  <c r="Q695" i="2"/>
  <c r="Q685" i="2"/>
  <c r="Q675" i="2"/>
  <c r="Q665" i="2"/>
  <c r="Q655" i="2"/>
  <c r="Q645" i="2"/>
  <c r="Q635" i="2"/>
  <c r="Q625" i="2"/>
  <c r="Q1424" i="2"/>
  <c r="Q1404" i="2"/>
  <c r="Q1394" i="2"/>
  <c r="Q1384" i="2"/>
  <c r="Q1374" i="2"/>
  <c r="Q1364" i="2"/>
  <c r="Q1354" i="2"/>
  <c r="Q1344" i="2"/>
  <c r="Q1334" i="2"/>
  <c r="Q1324" i="2"/>
  <c r="Q1314" i="2"/>
  <c r="Q1304" i="2"/>
  <c r="Q1294" i="2"/>
  <c r="Q1284" i="2"/>
  <c r="Q1273" i="2"/>
  <c r="Q1263" i="2"/>
  <c r="Q1253" i="2"/>
  <c r="Q1242" i="2"/>
  <c r="Q1232" i="2"/>
  <c r="Q1221" i="2"/>
  <c r="Q1209" i="2"/>
  <c r="Q1199" i="2"/>
  <c r="Q1189" i="2"/>
  <c r="Q1179" i="2"/>
  <c r="Q1169" i="2"/>
  <c r="Q1159" i="2"/>
  <c r="Q1149" i="2"/>
  <c r="Q1139" i="2"/>
  <c r="Q1129" i="2"/>
  <c r="Q1119" i="2"/>
  <c r="Q1109" i="2"/>
  <c r="Q1099" i="2"/>
  <c r="Q1089" i="2"/>
  <c r="Q1079" i="2"/>
  <c r="Q1069" i="2"/>
  <c r="Q1059" i="2"/>
  <c r="Q1049" i="2"/>
  <c r="Q1039" i="2"/>
  <c r="Q1029" i="2"/>
  <c r="Q1019" i="2"/>
  <c r="Q1009" i="2"/>
  <c r="Q999" i="2"/>
  <c r="Q989" i="2"/>
  <c r="Q979" i="2"/>
  <c r="Q969" i="2"/>
  <c r="Q959" i="2"/>
  <c r="Q949" i="2"/>
  <c r="Q939" i="2"/>
  <c r="Q929" i="2"/>
  <c r="Q919" i="2"/>
  <c r="Q908" i="2"/>
  <c r="Q897" i="2"/>
  <c r="Q887" i="2"/>
  <c r="Q877" i="2"/>
  <c r="Q867" i="2"/>
  <c r="Q857" i="2"/>
  <c r="Q846" i="2"/>
  <c r="Q836" i="2"/>
  <c r="Q826" i="2"/>
  <c r="Q816" i="2"/>
  <c r="Q806" i="2"/>
  <c r="Q796" i="2"/>
  <c r="Q786" i="2"/>
  <c r="Q775" i="2"/>
  <c r="Q765" i="2"/>
  <c r="Q754" i="2"/>
  <c r="Q744" i="2"/>
  <c r="Q734" i="2"/>
  <c r="Q724" i="2"/>
  <c r="Q1421" i="2"/>
  <c r="Q1403" i="2"/>
  <c r="Q1393" i="2"/>
  <c r="Q1383" i="2"/>
  <c r="Q1373" i="2"/>
  <c r="Q1363" i="2"/>
  <c r="Q1353" i="2"/>
  <c r="Q1343" i="2"/>
  <c r="Q1333" i="2"/>
  <c r="Q1323" i="2"/>
  <c r="Q1313" i="2"/>
  <c r="Q1303" i="2"/>
  <c r="Q1293" i="2"/>
  <c r="Q1283" i="2"/>
  <c r="Q1272" i="2"/>
  <c r="Q1262" i="2"/>
  <c r="Q1252" i="2"/>
  <c r="Q1241" i="2"/>
  <c r="Q1231" i="2"/>
  <c r="Q1220" i="2"/>
  <c r="Q1208" i="2"/>
  <c r="Q1198" i="2"/>
  <c r="Q1188" i="2"/>
  <c r="Q1178" i="2"/>
  <c r="Q1168" i="2"/>
  <c r="Q1158" i="2"/>
  <c r="Q1148" i="2"/>
  <c r="Q1138" i="2"/>
  <c r="Q1128" i="2"/>
  <c r="Q1118" i="2"/>
  <c r="Q1108" i="2"/>
  <c r="Q1098" i="2"/>
  <c r="Q1088" i="2"/>
  <c r="Q1078" i="2"/>
  <c r="Q1068" i="2"/>
  <c r="Q1058" i="2"/>
  <c r="Q1048" i="2"/>
  <c r="Q1038" i="2"/>
  <c r="Q1028" i="2"/>
  <c r="Q1018" i="2"/>
  <c r="Q1008" i="2"/>
  <c r="Q998" i="2"/>
  <c r="Q988" i="2"/>
  <c r="Q978" i="2"/>
  <c r="Q968" i="2"/>
  <c r="Q958" i="2"/>
  <c r="Q948" i="2"/>
  <c r="Q938" i="2"/>
  <c r="Q928" i="2"/>
  <c r="Q918" i="2"/>
  <c r="Q906" i="2"/>
  <c r="Q896" i="2"/>
  <c r="Q886" i="2"/>
  <c r="Q876" i="2"/>
  <c r="Q866" i="2"/>
  <c r="Q856" i="2"/>
  <c r="Q845" i="2"/>
  <c r="Q835" i="2"/>
  <c r="Q825" i="2"/>
  <c r="Q815" i="2"/>
  <c r="Q805" i="2"/>
  <c r="Q795" i="2"/>
  <c r="Q785" i="2"/>
  <c r="Q774" i="2"/>
  <c r="Q764" i="2"/>
  <c r="Q753" i="2"/>
  <c r="Q743" i="2"/>
  <c r="Q733" i="2"/>
  <c r="Q723" i="2"/>
  <c r="Q713" i="2"/>
  <c r="Q703" i="2"/>
  <c r="Q693" i="2"/>
  <c r="Q683" i="2"/>
  <c r="Q673" i="2"/>
  <c r="Q663" i="2"/>
  <c r="Q653" i="2"/>
  <c r="Q643" i="2"/>
  <c r="Q633" i="2"/>
  <c r="Q1417" i="2"/>
  <c r="Q1402" i="2"/>
  <c r="Q1392" i="2"/>
  <c r="Q1382" i="2"/>
  <c r="Q1372" i="2"/>
  <c r="Q1362" i="2"/>
  <c r="Q1352" i="2"/>
  <c r="Q1342" i="2"/>
  <c r="Q1332" i="2"/>
  <c r="Q1322" i="2"/>
  <c r="Q1312" i="2"/>
  <c r="Q1302" i="2"/>
  <c r="Q1292" i="2"/>
  <c r="Q1281" i="2"/>
  <c r="Q1271" i="2"/>
  <c r="Q1261" i="2"/>
  <c r="Q1250" i="2"/>
  <c r="Q1240" i="2"/>
  <c r="Q1230" i="2"/>
  <c r="Q1219" i="2"/>
  <c r="Q1207" i="2"/>
  <c r="Q1197" i="2"/>
  <c r="Q1187" i="2"/>
  <c r="Q1177" i="2"/>
  <c r="Q1167" i="2"/>
  <c r="Q1157" i="2"/>
  <c r="Q1147" i="2"/>
  <c r="Q1137" i="2"/>
  <c r="Q1127" i="2"/>
  <c r="Q1117" i="2"/>
  <c r="Q1107" i="2"/>
  <c r="Q1097" i="2"/>
  <c r="Q1087" i="2"/>
  <c r="Q1077" i="2"/>
  <c r="Q1067" i="2"/>
  <c r="Q1057" i="2"/>
  <c r="Q1047" i="2"/>
  <c r="Q1037" i="2"/>
  <c r="Q1027" i="2"/>
  <c r="Q1017" i="2"/>
  <c r="Q1007" i="2"/>
  <c r="Q997" i="2"/>
  <c r="Q987" i="2"/>
  <c r="Q977" i="2"/>
  <c r="Q967" i="2"/>
  <c r="Q957" i="2"/>
  <c r="Q947" i="2"/>
  <c r="Q937" i="2"/>
  <c r="Q927" i="2"/>
  <c r="Q917" i="2"/>
  <c r="Q905" i="2"/>
  <c r="Q895" i="2"/>
  <c r="Q885" i="2"/>
  <c r="Q875" i="2"/>
  <c r="Q865" i="2"/>
  <c r="Q855" i="2"/>
  <c r="Q844" i="2"/>
  <c r="Q834" i="2"/>
  <c r="Q824" i="2"/>
  <c r="Q814" i="2"/>
  <c r="Q804" i="2"/>
  <c r="Q794" i="2"/>
  <c r="Q783" i="2"/>
  <c r="Q773" i="2"/>
  <c r="Q763" i="2"/>
  <c r="Q752" i="2"/>
  <c r="Q742" i="2"/>
  <c r="Q732" i="2"/>
  <c r="Q722" i="2"/>
  <c r="Q712" i="2"/>
  <c r="Q702" i="2"/>
  <c r="Q692" i="2"/>
  <c r="Q682" i="2"/>
  <c r="Q672" i="2"/>
  <c r="Q662" i="2"/>
  <c r="Q652" i="2"/>
  <c r="Q642" i="2"/>
  <c r="Q1411" i="2"/>
  <c r="Q1401" i="2"/>
  <c r="Q1391" i="2"/>
  <c r="Q1381" i="2"/>
  <c r="Q1371" i="2"/>
  <c r="Q1361" i="2"/>
  <c r="Q1351" i="2"/>
  <c r="Q1341" i="2"/>
  <c r="Q1331" i="2"/>
  <c r="Q1321" i="2"/>
  <c r="Q1311" i="2"/>
  <c r="Q1301" i="2"/>
  <c r="Q1291" i="2"/>
  <c r="Q1280" i="2"/>
  <c r="Q1270" i="2"/>
  <c r="Q1260" i="2"/>
  <c r="Q1249" i="2"/>
  <c r="Q1239" i="2"/>
  <c r="Q1229" i="2"/>
  <c r="Q1218" i="2"/>
  <c r="Q1206" i="2"/>
  <c r="Q1196" i="2"/>
  <c r="Q1186" i="2"/>
  <c r="Q1176" i="2"/>
  <c r="Q1166" i="2"/>
  <c r="Q1156" i="2"/>
  <c r="Q1146" i="2"/>
  <c r="Q1136" i="2"/>
  <c r="Q1126" i="2"/>
  <c r="Q1116" i="2"/>
  <c r="Q1106" i="2"/>
  <c r="Q1096" i="2"/>
  <c r="Q1086" i="2"/>
  <c r="Q1076" i="2"/>
  <c r="Q1066" i="2"/>
  <c r="Q1056" i="2"/>
  <c r="Q1046" i="2"/>
  <c r="Q1036" i="2"/>
  <c r="Q1026" i="2"/>
  <c r="Q1016" i="2"/>
  <c r="Q1006" i="2"/>
  <c r="Q996" i="2"/>
  <c r="Q986" i="2"/>
  <c r="Q976" i="2"/>
  <c r="Q966" i="2"/>
  <c r="Q956" i="2"/>
  <c r="Q946" i="2"/>
  <c r="Q936" i="2"/>
  <c r="Q926" i="2"/>
  <c r="Q916" i="2"/>
  <c r="Q904" i="2"/>
  <c r="Q894" i="2"/>
  <c r="Q884" i="2"/>
  <c r="Q874" i="2"/>
  <c r="Q864" i="2"/>
  <c r="Q854" i="2"/>
  <c r="Q843" i="2"/>
  <c r="Q833" i="2"/>
  <c r="Q823" i="2"/>
  <c r="Q813" i="2"/>
  <c r="Q803" i="2"/>
  <c r="Q793" i="2"/>
  <c r="Q782" i="2"/>
  <c r="Q772" i="2"/>
  <c r="Q762" i="2"/>
  <c r="Q751" i="2"/>
  <c r="Q741" i="2"/>
  <c r="Q731" i="2"/>
  <c r="Q721" i="2"/>
  <c r="Q711" i="2"/>
  <c r="Q701" i="2"/>
  <c r="Q691" i="2"/>
  <c r="Q1410" i="2"/>
  <c r="Q1400" i="2"/>
  <c r="Q1390" i="2"/>
  <c r="Q1380" i="2"/>
  <c r="Q1370" i="2"/>
  <c r="Q1360" i="2"/>
  <c r="Q1350" i="2"/>
  <c r="Q1340" i="2"/>
  <c r="Q1330" i="2"/>
  <c r="Q1320" i="2"/>
  <c r="Q1310" i="2"/>
  <c r="Q1300" i="2"/>
  <c r="Q1290" i="2"/>
  <c r="Q1279" i="2"/>
  <c r="Q1269" i="2"/>
  <c r="Q1259" i="2"/>
  <c r="Q1248" i="2"/>
  <c r="Q1238" i="2"/>
  <c r="Q1228" i="2"/>
  <c r="Q1217" i="2"/>
  <c r="Q1205" i="2"/>
  <c r="Q1195" i="2"/>
  <c r="Q1185" i="2"/>
  <c r="Q1175" i="2"/>
  <c r="Q1165" i="2"/>
  <c r="Q1155" i="2"/>
  <c r="Q1145" i="2"/>
  <c r="Q1135" i="2"/>
  <c r="Q1125" i="2"/>
  <c r="Q1115" i="2"/>
  <c r="Q1105" i="2"/>
  <c r="Q1095" i="2"/>
  <c r="Q1085" i="2"/>
  <c r="Q1075" i="2"/>
  <c r="Q1065" i="2"/>
  <c r="Q1055" i="2"/>
  <c r="Q1045" i="2"/>
  <c r="Q1035" i="2"/>
  <c r="Q1025" i="2"/>
  <c r="Q1015" i="2"/>
  <c r="Q1005" i="2"/>
  <c r="Q995" i="2"/>
  <c r="Q985" i="2"/>
  <c r="Q975" i="2"/>
  <c r="Q965" i="2"/>
  <c r="Q955" i="2"/>
  <c r="Q945" i="2"/>
  <c r="Q935" i="2"/>
  <c r="Q925" i="2"/>
  <c r="Q915" i="2"/>
  <c r="Q903" i="2"/>
  <c r="Q893" i="2"/>
  <c r="Q883" i="2"/>
  <c r="Q873" i="2"/>
  <c r="Q863" i="2"/>
  <c r="Q853" i="2"/>
  <c r="Q842" i="2"/>
  <c r="Q832" i="2"/>
  <c r="Q822" i="2"/>
  <c r="Q812" i="2"/>
  <c r="Q802" i="2"/>
  <c r="Q792" i="2"/>
  <c r="Q781" i="2"/>
  <c r="Q771" i="2"/>
  <c r="Q761" i="2"/>
  <c r="Q750" i="2"/>
  <c r="Q740" i="2"/>
  <c r="Q730" i="2"/>
  <c r="Q720" i="2"/>
  <c r="Q710" i="2"/>
  <c r="Q700" i="2"/>
  <c r="Q690" i="2"/>
  <c r="Q680" i="2"/>
  <c r="Q8" i="2"/>
  <c r="Q19" i="2"/>
  <c r="Q29" i="2"/>
  <c r="Q39" i="2"/>
  <c r="Q49" i="2"/>
  <c r="Q59" i="2"/>
  <c r="Q69" i="2"/>
  <c r="Q79" i="2"/>
  <c r="Q89" i="2"/>
  <c r="Q99" i="2"/>
  <c r="Q109" i="2"/>
  <c r="Q119" i="2"/>
  <c r="Q129" i="2"/>
  <c r="Q139" i="2"/>
  <c r="Q149" i="2"/>
  <c r="Q159" i="2"/>
  <c r="Q169" i="2"/>
  <c r="Q179" i="2"/>
  <c r="Q189" i="2"/>
  <c r="Q199" i="2"/>
  <c r="Q209" i="2"/>
  <c r="Q219" i="2"/>
  <c r="Q229" i="2"/>
  <c r="Q239" i="2"/>
  <c r="Q249" i="2"/>
  <c r="Q259" i="2"/>
  <c r="Q269" i="2"/>
  <c r="Q279" i="2"/>
  <c r="Q289" i="2"/>
  <c r="Q299" i="2"/>
  <c r="Q309" i="2"/>
  <c r="Q319" i="2"/>
  <c r="Q329" i="2"/>
  <c r="Q339" i="2"/>
  <c r="Q349" i="2"/>
  <c r="Q359" i="2"/>
  <c r="Q369" i="2"/>
  <c r="Q379" i="2"/>
  <c r="Q389" i="2"/>
  <c r="Q399" i="2"/>
  <c r="Q409" i="2"/>
  <c r="Q419" i="2"/>
  <c r="Q429" i="2"/>
  <c r="Q439" i="2"/>
  <c r="Q449" i="2"/>
  <c r="Q459" i="2"/>
  <c r="Q469" i="2"/>
  <c r="Q479" i="2"/>
  <c r="Q489" i="2"/>
  <c r="Q499" i="2"/>
  <c r="Q509" i="2"/>
  <c r="Q519" i="2"/>
  <c r="Q529" i="2"/>
  <c r="Q539" i="2"/>
  <c r="Q549" i="2"/>
  <c r="Q559" i="2"/>
  <c r="Q570" i="2"/>
  <c r="Q581" i="2"/>
  <c r="Q592" i="2"/>
  <c r="Q603" i="2"/>
  <c r="Q614" i="2"/>
  <c r="Q626" i="2"/>
  <c r="Q640" i="2"/>
  <c r="Q660" i="2"/>
  <c r="Q681" i="2"/>
  <c r="Q714" i="2"/>
  <c r="Q759" i="2"/>
  <c r="Q810" i="2"/>
  <c r="Q861" i="2"/>
  <c r="Q913" i="2"/>
  <c r="Q963" i="2"/>
  <c r="Q1013" i="2"/>
  <c r="Q1063" i="2"/>
  <c r="Q1113" i="2"/>
  <c r="Q1163" i="2"/>
  <c r="Q1215" i="2"/>
  <c r="Q1267" i="2"/>
  <c r="Q1318" i="2"/>
  <c r="Q1368" i="2"/>
  <c r="Q9" i="2"/>
  <c r="Q20" i="2"/>
  <c r="Q30" i="2"/>
  <c r="Q40" i="2"/>
  <c r="Q50" i="2"/>
  <c r="Q60" i="2"/>
  <c r="Q70" i="2"/>
  <c r="Q80" i="2"/>
  <c r="Q90" i="2"/>
  <c r="Q100" i="2"/>
  <c r="Q110" i="2"/>
  <c r="Q120" i="2"/>
  <c r="Q130" i="2"/>
  <c r="Q140" i="2"/>
  <c r="Q150" i="2"/>
  <c r="Q160" i="2"/>
  <c r="Q170" i="2"/>
  <c r="Q180" i="2"/>
  <c r="Q190" i="2"/>
  <c r="Q200" i="2"/>
  <c r="Q210" i="2"/>
  <c r="Q220" i="2"/>
  <c r="Q230" i="2"/>
  <c r="Q240" i="2"/>
  <c r="Q250" i="2"/>
  <c r="Q260" i="2"/>
  <c r="Q270" i="2"/>
  <c r="Q280" i="2"/>
  <c r="Q290" i="2"/>
  <c r="Q300" i="2"/>
  <c r="Q310" i="2"/>
  <c r="Q320" i="2"/>
  <c r="Q330" i="2"/>
  <c r="Q340" i="2"/>
  <c r="Q350" i="2"/>
  <c r="Q360" i="2"/>
  <c r="Q370" i="2"/>
  <c r="Q380" i="2"/>
  <c r="Q390" i="2"/>
  <c r="Q400" i="2"/>
  <c r="Q410" i="2"/>
  <c r="Q420" i="2"/>
  <c r="Q430" i="2"/>
  <c r="Q440" i="2"/>
  <c r="Q450" i="2"/>
  <c r="Q460" i="2"/>
  <c r="Q470" i="2"/>
  <c r="Q480" i="2"/>
  <c r="Q490" i="2"/>
  <c r="Q500" i="2"/>
  <c r="Q510" i="2"/>
  <c r="Q520" i="2"/>
  <c r="Q530" i="2"/>
  <c r="Q540" i="2"/>
  <c r="Q550" i="2"/>
  <c r="Q560" i="2"/>
  <c r="Q571" i="2"/>
  <c r="Q582" i="2"/>
  <c r="Q593" i="2"/>
  <c r="Q604" i="2"/>
  <c r="Q615" i="2"/>
  <c r="Q627" i="2"/>
  <c r="Q641" i="2"/>
  <c r="Q661" i="2"/>
  <c r="Q684" i="2"/>
  <c r="Q717" i="2"/>
  <c r="Q768" i="2"/>
  <c r="Q819" i="2"/>
  <c r="Q870" i="2"/>
  <c r="Q922" i="2"/>
  <c r="Q972" i="2"/>
  <c r="Q1022" i="2"/>
  <c r="Q1072" i="2"/>
  <c r="Q1122" i="2"/>
  <c r="Q1172" i="2"/>
  <c r="Q1224" i="2"/>
  <c r="Q1276" i="2"/>
  <c r="Q1327" i="2"/>
  <c r="Q1377" i="2"/>
  <c r="Q11" i="2"/>
  <c r="Q21" i="2"/>
  <c r="Q31" i="2"/>
  <c r="Q41" i="2"/>
  <c r="Q51" i="2"/>
  <c r="Q61" i="2"/>
  <c r="Q71" i="2"/>
  <c r="Q81" i="2"/>
  <c r="Q91" i="2"/>
  <c r="Q101" i="2"/>
  <c r="Q111" i="2"/>
  <c r="Q121" i="2"/>
  <c r="Q131" i="2"/>
  <c r="Q141" i="2"/>
  <c r="Q151" i="2"/>
  <c r="Q161" i="2"/>
  <c r="Q171" i="2"/>
  <c r="Q181" i="2"/>
  <c r="Q191" i="2"/>
  <c r="Q201" i="2"/>
  <c r="Q211" i="2"/>
  <c r="Q221" i="2"/>
  <c r="Q231" i="2"/>
  <c r="Q241" i="2"/>
  <c r="Q251" i="2"/>
  <c r="Q261" i="2"/>
  <c r="Q271" i="2"/>
  <c r="Q281" i="2"/>
  <c r="Q291" i="2"/>
  <c r="Q301" i="2"/>
  <c r="Q311" i="2"/>
  <c r="Q321" i="2"/>
  <c r="Q331" i="2"/>
  <c r="Q341" i="2"/>
  <c r="Q351" i="2"/>
  <c r="Q361" i="2"/>
  <c r="Q371" i="2"/>
  <c r="Q381" i="2"/>
  <c r="Q391" i="2"/>
  <c r="Q401" i="2"/>
  <c r="Q411" i="2"/>
  <c r="Q421" i="2"/>
  <c r="Q431" i="2"/>
  <c r="Q441" i="2"/>
  <c r="Q451" i="2"/>
  <c r="Q461" i="2"/>
  <c r="Q471" i="2"/>
  <c r="Q481" i="2"/>
  <c r="Q491" i="2"/>
  <c r="Q501" i="2"/>
  <c r="Q511" i="2"/>
  <c r="Q521" i="2"/>
  <c r="Q531" i="2"/>
  <c r="Q541" i="2"/>
  <c r="Q551" i="2"/>
  <c r="Q561" i="2"/>
  <c r="Q572" i="2"/>
  <c r="Q583" i="2"/>
  <c r="Q594" i="2"/>
  <c r="Q605" i="2"/>
  <c r="Q616" i="2"/>
  <c r="Q628" i="2"/>
  <c r="Q644" i="2"/>
  <c r="Q664" i="2"/>
  <c r="Q687" i="2"/>
  <c r="Q718" i="2"/>
  <c r="Q769" i="2"/>
  <c r="Q820" i="2"/>
  <c r="Q871" i="2"/>
  <c r="Q923" i="2"/>
  <c r="Q973" i="2"/>
  <c r="Q1023" i="2"/>
  <c r="Q1073" i="2"/>
  <c r="Q1123" i="2"/>
  <c r="Q1173" i="2"/>
  <c r="Q1226" i="2"/>
  <c r="Q1277" i="2"/>
  <c r="Q1328" i="2"/>
  <c r="Q1378" i="2"/>
  <c r="Q12" i="2"/>
  <c r="Q22" i="2"/>
  <c r="Q32" i="2"/>
  <c r="Q42" i="2"/>
  <c r="Q52" i="2"/>
  <c r="Q62" i="2"/>
  <c r="Q72" i="2"/>
  <c r="Q82" i="2"/>
  <c r="Q92" i="2"/>
  <c r="Q102" i="2"/>
  <c r="Q112" i="2"/>
  <c r="Q122" i="2"/>
  <c r="Q132" i="2"/>
  <c r="Q142" i="2"/>
  <c r="Q152" i="2"/>
  <c r="Q162" i="2"/>
  <c r="Q172" i="2"/>
  <c r="Q182" i="2"/>
  <c r="Q192" i="2"/>
  <c r="Q202" i="2"/>
  <c r="Q212" i="2"/>
  <c r="Q222" i="2"/>
  <c r="Q232" i="2"/>
  <c r="Q242" i="2"/>
  <c r="Q252" i="2"/>
  <c r="Q262" i="2"/>
  <c r="Q272" i="2"/>
  <c r="Q282" i="2"/>
  <c r="Q292" i="2"/>
  <c r="Q302" i="2"/>
  <c r="Q312" i="2"/>
  <c r="Q322" i="2"/>
  <c r="Q332" i="2"/>
  <c r="Q342" i="2"/>
  <c r="Q352" i="2"/>
  <c r="Q362" i="2"/>
  <c r="Q372" i="2"/>
  <c r="Q382" i="2"/>
  <c r="Q392" i="2"/>
  <c r="Q402" i="2"/>
  <c r="Q412" i="2"/>
  <c r="Q422" i="2"/>
  <c r="Q432" i="2"/>
  <c r="Q442" i="2"/>
  <c r="Q452" i="2"/>
  <c r="Q462" i="2"/>
  <c r="Q472" i="2"/>
  <c r="Q482" i="2"/>
  <c r="Q492" i="2"/>
  <c r="Q502" i="2"/>
  <c r="Q512" i="2"/>
  <c r="Q522" i="2"/>
  <c r="Q532" i="2"/>
  <c r="Q542" i="2"/>
  <c r="Q552" i="2"/>
  <c r="Q562" i="2"/>
  <c r="Q573" i="2"/>
  <c r="Q584" i="2"/>
  <c r="Q595" i="2"/>
  <c r="Q606" i="2"/>
  <c r="Q617" i="2"/>
  <c r="Q630" i="2"/>
  <c r="Q647" i="2"/>
  <c r="Q667" i="2"/>
  <c r="Q688" i="2"/>
  <c r="Q727" i="2"/>
  <c r="Q778" i="2"/>
  <c r="Q829" i="2"/>
  <c r="Q880" i="2"/>
  <c r="Q932" i="2"/>
  <c r="Q982" i="2"/>
  <c r="Q1032" i="2"/>
  <c r="Q1082" i="2"/>
  <c r="Q1132" i="2"/>
  <c r="Q1182" i="2"/>
  <c r="Q1235" i="2"/>
  <c r="Q1287" i="2"/>
  <c r="Q1337" i="2"/>
  <c r="Q1387" i="2"/>
  <c r="Q13" i="2"/>
  <c r="Q23" i="2"/>
  <c r="Q33" i="2"/>
  <c r="Q43" i="2"/>
  <c r="Q53" i="2"/>
  <c r="Q63" i="2"/>
  <c r="Q73" i="2"/>
  <c r="Q83" i="2"/>
  <c r="Q93" i="2"/>
  <c r="Q103" i="2"/>
  <c r="Q113" i="2"/>
  <c r="Q123" i="2"/>
  <c r="Q133" i="2"/>
  <c r="Q143" i="2"/>
  <c r="Q153" i="2"/>
  <c r="Q163" i="2"/>
  <c r="Q173" i="2"/>
  <c r="Q183" i="2"/>
  <c r="Q193" i="2"/>
  <c r="Q203" i="2"/>
  <c r="Q213" i="2"/>
  <c r="Q223" i="2"/>
  <c r="Q233" i="2"/>
  <c r="Q243" i="2"/>
  <c r="Q253" i="2"/>
  <c r="Q263" i="2"/>
  <c r="Q273" i="2"/>
  <c r="Q283" i="2"/>
  <c r="Q293" i="2"/>
  <c r="Q303" i="2"/>
  <c r="Q313" i="2"/>
  <c r="Q323" i="2"/>
  <c r="Q333" i="2"/>
  <c r="Q343" i="2"/>
  <c r="Q353" i="2"/>
  <c r="Q363" i="2"/>
  <c r="Q373" i="2"/>
  <c r="Q383" i="2"/>
  <c r="Q393" i="2"/>
  <c r="Q403" i="2"/>
  <c r="Q413" i="2"/>
  <c r="Q423" i="2"/>
  <c r="Q433" i="2"/>
  <c r="Q443" i="2"/>
  <c r="Q453" i="2"/>
  <c r="Q463" i="2"/>
  <c r="Q473" i="2"/>
  <c r="Q483" i="2"/>
  <c r="Q493" i="2"/>
  <c r="Q503" i="2"/>
  <c r="Q513" i="2"/>
  <c r="Q523" i="2"/>
  <c r="Q533" i="2"/>
  <c r="Q543" i="2"/>
  <c r="Q553" i="2"/>
  <c r="Q563" i="2"/>
  <c r="Q574" i="2"/>
  <c r="Q585" i="2"/>
  <c r="Q596" i="2"/>
  <c r="Q607" i="2"/>
  <c r="Q618" i="2"/>
  <c r="Q631" i="2"/>
  <c r="Q648" i="2"/>
  <c r="Q668" i="2"/>
  <c r="Q694" i="2"/>
  <c r="Q728" i="2"/>
  <c r="Q779" i="2"/>
  <c r="Q830" i="2"/>
  <c r="Q881" i="2"/>
  <c r="Q933" i="2"/>
  <c r="Q983" i="2"/>
  <c r="Q1033" i="2"/>
  <c r="Q1083" i="2"/>
  <c r="Q1133" i="2"/>
  <c r="Q1183" i="2"/>
  <c r="Q1236" i="2"/>
  <c r="Q1288" i="2"/>
  <c r="Q1338" i="2"/>
  <c r="Q1388" i="2"/>
  <c r="Q14" i="2"/>
  <c r="Q24" i="2"/>
  <c r="Q34" i="2"/>
  <c r="Q44" i="2"/>
  <c r="Q54" i="2"/>
  <c r="Q64" i="2"/>
  <c r="Q74" i="2"/>
  <c r="Q84" i="2"/>
  <c r="Q94" i="2"/>
  <c r="Q104" i="2"/>
  <c r="Q114" i="2"/>
  <c r="Q124" i="2"/>
  <c r="Q134" i="2"/>
  <c r="Q144" i="2"/>
  <c r="Q154" i="2"/>
  <c r="Q164" i="2"/>
  <c r="Q174" i="2"/>
  <c r="Q184" i="2"/>
  <c r="Q194" i="2"/>
  <c r="Q204" i="2"/>
  <c r="Q214" i="2"/>
  <c r="Q224" i="2"/>
  <c r="Q234" i="2"/>
  <c r="Q244" i="2"/>
  <c r="Q254" i="2"/>
  <c r="Q264" i="2"/>
  <c r="Q274" i="2"/>
  <c r="Q284" i="2"/>
  <c r="Q294" i="2"/>
  <c r="Q304" i="2"/>
  <c r="Q314" i="2"/>
  <c r="Q324" i="2"/>
  <c r="Q334" i="2"/>
  <c r="Q344" i="2"/>
  <c r="Q354" i="2"/>
  <c r="Q364" i="2"/>
  <c r="Q374" i="2"/>
  <c r="Q384" i="2"/>
  <c r="Q394" i="2"/>
  <c r="Q404" i="2"/>
  <c r="Q414" i="2"/>
  <c r="Q424" i="2"/>
  <c r="Q434" i="2"/>
  <c r="Q444" i="2"/>
  <c r="Q454" i="2"/>
  <c r="Q464" i="2"/>
  <c r="Q474" i="2"/>
  <c r="Q484" i="2"/>
  <c r="Q494" i="2"/>
  <c r="Q504" i="2"/>
  <c r="Q514" i="2"/>
  <c r="Q524" i="2"/>
  <c r="Q534" i="2"/>
  <c r="Q544" i="2"/>
  <c r="Q554" i="2"/>
  <c r="Q564" i="2"/>
  <c r="Q575" i="2"/>
  <c r="Q586" i="2"/>
  <c r="Q597" i="2"/>
  <c r="Q608" i="2"/>
  <c r="Q620" i="2"/>
  <c r="Q632" i="2"/>
  <c r="Q650" i="2"/>
  <c r="Q670" i="2"/>
  <c r="Q697" i="2"/>
  <c r="Q737" i="2"/>
  <c r="Q789" i="2"/>
  <c r="Q839" i="2"/>
  <c r="Q890" i="2"/>
  <c r="Q942" i="2"/>
  <c r="Q992" i="2"/>
  <c r="Q1042" i="2"/>
  <c r="Q1092" i="2"/>
  <c r="Q1142" i="2"/>
  <c r="Q1192" i="2"/>
  <c r="Q1245" i="2"/>
  <c r="Q1297" i="2"/>
  <c r="Q1347" i="2"/>
  <c r="Q1397" i="2"/>
  <c r="Q4" i="2"/>
  <c r="Q15" i="2"/>
  <c r="Q25" i="2"/>
  <c r="Q35" i="2"/>
  <c r="Q45" i="2"/>
  <c r="Q55" i="2"/>
  <c r="Q65" i="2"/>
  <c r="Q75" i="2"/>
  <c r="Q85" i="2"/>
  <c r="Q95" i="2"/>
  <c r="Q105" i="2"/>
  <c r="Q115" i="2"/>
  <c r="Q125" i="2"/>
  <c r="Q135" i="2"/>
  <c r="Q145" i="2"/>
  <c r="Q155" i="2"/>
  <c r="Q165" i="2"/>
  <c r="Q175" i="2"/>
  <c r="Q185" i="2"/>
  <c r="Q195" i="2"/>
  <c r="Q205" i="2"/>
  <c r="Q215" i="2"/>
  <c r="Q225" i="2"/>
  <c r="Q235" i="2"/>
  <c r="Q245" i="2"/>
  <c r="Q255" i="2"/>
  <c r="Q265" i="2"/>
  <c r="Q275" i="2"/>
  <c r="Q285" i="2"/>
  <c r="Q295" i="2"/>
  <c r="Q305" i="2"/>
  <c r="Q315" i="2"/>
  <c r="Q325" i="2"/>
  <c r="Q335" i="2"/>
  <c r="Q345" i="2"/>
  <c r="Q355" i="2"/>
  <c r="Q365" i="2"/>
  <c r="Q375" i="2"/>
  <c r="Q385" i="2"/>
  <c r="Q395" i="2"/>
  <c r="Q405" i="2"/>
  <c r="Q415" i="2"/>
  <c r="Q425" i="2"/>
  <c r="Q435" i="2"/>
  <c r="Q445" i="2"/>
  <c r="Q455" i="2"/>
  <c r="Q465" i="2"/>
  <c r="Q475" i="2"/>
  <c r="Q485" i="2"/>
  <c r="Q495" i="2"/>
  <c r="Q505" i="2"/>
  <c r="Q515" i="2"/>
  <c r="Q525" i="2"/>
  <c r="Q535" i="2"/>
  <c r="Q545" i="2"/>
  <c r="Q555" i="2"/>
  <c r="Q565" i="2"/>
  <c r="Q576" i="2"/>
  <c r="Q587" i="2"/>
  <c r="Q598" i="2"/>
  <c r="Q610" i="2"/>
  <c r="Q621" i="2"/>
  <c r="Q634" i="2"/>
  <c r="Q651" i="2"/>
  <c r="Q671" i="2"/>
  <c r="Q698" i="2"/>
  <c r="Q738" i="2"/>
  <c r="Q790" i="2"/>
  <c r="Q840" i="2"/>
  <c r="Q891" i="2"/>
  <c r="Q943" i="2"/>
  <c r="Q993" i="2"/>
  <c r="Q1043" i="2"/>
  <c r="Q1093" i="2"/>
  <c r="Q1143" i="2"/>
  <c r="Q1193" i="2"/>
  <c r="Q1246" i="2"/>
  <c r="Q1298" i="2"/>
  <c r="Q1348" i="2"/>
  <c r="Q1398" i="2"/>
  <c r="Q5" i="2"/>
  <c r="Q16" i="2"/>
  <c r="Q26" i="2"/>
  <c r="Q36" i="2"/>
  <c r="Q46" i="2"/>
  <c r="Q56" i="2"/>
  <c r="Q66" i="2"/>
  <c r="Q76" i="2"/>
  <c r="Q86" i="2"/>
  <c r="Q96" i="2"/>
  <c r="Q106" i="2"/>
  <c r="Q116" i="2"/>
  <c r="Q126" i="2"/>
  <c r="Q136" i="2"/>
  <c r="Q146" i="2"/>
  <c r="Q156" i="2"/>
  <c r="Q166" i="2"/>
  <c r="Q176" i="2"/>
  <c r="Q186" i="2"/>
  <c r="Q196" i="2"/>
  <c r="Q206" i="2"/>
  <c r="Q216" i="2"/>
  <c r="Q226" i="2"/>
  <c r="Q236" i="2"/>
  <c r="Q246" i="2"/>
  <c r="Q256" i="2"/>
  <c r="Q266" i="2"/>
  <c r="Q276" i="2"/>
  <c r="Q286" i="2"/>
  <c r="Q296" i="2"/>
  <c r="Q306" i="2"/>
  <c r="Q316" i="2"/>
  <c r="Q326" i="2"/>
  <c r="Q336" i="2"/>
  <c r="Q346" i="2"/>
  <c r="Q356" i="2"/>
  <c r="Q366" i="2"/>
  <c r="Q376" i="2"/>
  <c r="Q386" i="2"/>
  <c r="Q396" i="2"/>
  <c r="Q406" i="2"/>
  <c r="Q416" i="2"/>
  <c r="Q426" i="2"/>
  <c r="Q436" i="2"/>
  <c r="Q446" i="2"/>
  <c r="Q456" i="2"/>
  <c r="Q466" i="2"/>
  <c r="Q476" i="2"/>
  <c r="Q486" i="2"/>
  <c r="Q496" i="2"/>
  <c r="Q506" i="2"/>
  <c r="Q516" i="2"/>
  <c r="Q526" i="2"/>
  <c r="Q536" i="2"/>
  <c r="Q546" i="2"/>
  <c r="Q556" i="2"/>
  <c r="Q566" i="2"/>
  <c r="Q577" i="2"/>
  <c r="Q588" i="2"/>
  <c r="Q600" i="2"/>
  <c r="Q611" i="2"/>
  <c r="Q622" i="2"/>
  <c r="Q636" i="2"/>
  <c r="Q654" i="2"/>
  <c r="Q674" i="2"/>
  <c r="Q704" i="2"/>
  <c r="Q747" i="2"/>
  <c r="Q799" i="2"/>
  <c r="Q849" i="2"/>
  <c r="Q900" i="2"/>
  <c r="Q952" i="2"/>
  <c r="Q1002" i="2"/>
  <c r="Q1052" i="2"/>
  <c r="Q1102" i="2"/>
  <c r="Q1152" i="2"/>
  <c r="Q1202" i="2"/>
  <c r="Q1256" i="2"/>
  <c r="Q1307" i="2"/>
  <c r="Q1357" i="2"/>
  <c r="Q1407" i="2"/>
  <c r="Q6" i="2"/>
  <c r="Q17" i="2"/>
  <c r="Q27" i="2"/>
  <c r="Q37" i="2"/>
  <c r="Q47" i="2"/>
  <c r="Q57" i="2"/>
  <c r="Q67" i="2"/>
  <c r="Q77" i="2"/>
  <c r="Q87" i="2"/>
  <c r="Q97" i="2"/>
  <c r="Q107" i="2"/>
  <c r="Q117" i="2"/>
  <c r="Q127" i="2"/>
  <c r="Q137" i="2"/>
  <c r="Q147" i="2"/>
  <c r="Q157" i="2"/>
  <c r="Q167" i="2"/>
  <c r="Q177" i="2"/>
  <c r="Q187" i="2"/>
  <c r="Q197" i="2"/>
  <c r="Q207" i="2"/>
  <c r="Q217" i="2"/>
  <c r="Q227" i="2"/>
  <c r="Q237" i="2"/>
  <c r="Q247" i="2"/>
  <c r="Q257" i="2"/>
  <c r="Q267" i="2"/>
  <c r="Q277" i="2"/>
  <c r="Q287" i="2"/>
  <c r="Q297" i="2"/>
  <c r="Q307" i="2"/>
  <c r="Q317" i="2"/>
  <c r="Q327" i="2"/>
  <c r="Q337" i="2"/>
  <c r="Q347" i="2"/>
  <c r="Q357" i="2"/>
  <c r="Q367" i="2"/>
  <c r="Q377" i="2"/>
  <c r="Q387" i="2"/>
  <c r="Q397" i="2"/>
  <c r="Q407" i="2"/>
  <c r="Q417" i="2"/>
  <c r="Q427" i="2"/>
  <c r="Q437" i="2"/>
  <c r="Q447" i="2"/>
  <c r="Q457" i="2"/>
  <c r="Q467" i="2"/>
  <c r="Q477" i="2"/>
  <c r="Q487" i="2"/>
  <c r="Q497" i="2"/>
  <c r="Q507" i="2"/>
  <c r="Q517" i="2"/>
  <c r="Q527" i="2"/>
  <c r="Q537" i="2"/>
  <c r="Q547" i="2"/>
  <c r="Q557" i="2"/>
  <c r="Q567" i="2"/>
  <c r="Q578" i="2"/>
  <c r="Q590" i="2"/>
  <c r="Q601" i="2"/>
  <c r="Q612" i="2"/>
  <c r="Q623" i="2"/>
  <c r="Q637" i="2"/>
  <c r="Q657" i="2"/>
  <c r="Q677" i="2"/>
  <c r="Q707" i="2"/>
  <c r="Q748" i="2"/>
  <c r="Q800" i="2"/>
  <c r="Q850" i="2"/>
  <c r="Q901" i="2"/>
  <c r="Q953" i="2"/>
  <c r="Q1003" i="2"/>
  <c r="Q1053" i="2"/>
  <c r="Q1103" i="2"/>
  <c r="Q1153" i="2"/>
  <c r="Q1203" i="2"/>
  <c r="Q1257" i="2"/>
  <c r="Q1308" i="2"/>
  <c r="Q1358" i="2"/>
  <c r="Q1408" i="2"/>
</calcChain>
</file>

<file path=xl/sharedStrings.xml><?xml version="1.0" encoding="utf-8"?>
<sst xmlns="http://schemas.openxmlformats.org/spreadsheetml/2006/main" count="2935" uniqueCount="1241">
  <si>
    <t>HISTORICO DE CARTERA - COMPARATIVO ANUAL</t>
  </si>
  <si>
    <t>COMPARATIVO 2024 - 20 DIAS CARTERA  -</t>
  </si>
  <si>
    <t>PLAZA</t>
  </si>
  <si>
    <t>12. Diciembre</t>
  </si>
  <si>
    <t>01. Enero</t>
  </si>
  <si>
    <t xml:space="preserve">02. Febrero </t>
  </si>
  <si>
    <t>03. Marzo</t>
  </si>
  <si>
    <t>03. Abril</t>
  </si>
  <si>
    <t>05. Mayo</t>
  </si>
  <si>
    <t>06. Junio</t>
  </si>
  <si>
    <t>Var vs mes anterior</t>
  </si>
  <si>
    <t>% Var</t>
  </si>
  <si>
    <t>%  participación</t>
  </si>
  <si>
    <t>Fact Acum 26</t>
  </si>
  <si>
    <t>002. P2K</t>
  </si>
  <si>
    <t>003. PSP</t>
  </si>
  <si>
    <t>004. PRG</t>
  </si>
  <si>
    <t>005. PC</t>
  </si>
  <si>
    <t>007. PSI</t>
  </si>
  <si>
    <t>008. PPA</t>
  </si>
  <si>
    <t>009. PPB</t>
  </si>
  <si>
    <t/>
  </si>
  <si>
    <t>010. CBA</t>
  </si>
  <si>
    <t>011. PV</t>
  </si>
  <si>
    <t>012. PLP</t>
  </si>
  <si>
    <t>013. PE</t>
  </si>
  <si>
    <t>205. PV - DEPTOS</t>
  </si>
  <si>
    <t>207. PANTALLAS - CBA</t>
  </si>
  <si>
    <t>216. TORR</t>
  </si>
  <si>
    <t>275. KUADRO - CBA</t>
  </si>
  <si>
    <t>TOTAL</t>
  </si>
  <si>
    <t>Suma de Suma de xPrecio</t>
  </si>
  <si>
    <t>Etiquetas de columna</t>
  </si>
  <si>
    <t>Total general</t>
  </si>
  <si>
    <t>Etiquetas de fila</t>
  </si>
  <si>
    <t>02. Febrero</t>
  </si>
  <si>
    <t>04. Abril</t>
  </si>
  <si>
    <t>Renta Mínima</t>
  </si>
  <si>
    <t>Renta Variable</t>
  </si>
  <si>
    <t>Cuota de Mantenimiento</t>
  </si>
  <si>
    <t>Publicidad</t>
  </si>
  <si>
    <t>Estacionamiento</t>
  </si>
  <si>
    <t>F. Cuotas Condominales</t>
  </si>
  <si>
    <t>Guantes</t>
  </si>
  <si>
    <t>Y. Otros Ingresos</t>
  </si>
  <si>
    <t>Cartera</t>
  </si>
  <si>
    <t>Ingreso Mensual</t>
  </si>
  <si>
    <t>Dias Cartera Estacional</t>
  </si>
  <si>
    <t>Ingreso acumulado</t>
  </si>
  <si>
    <t>Dias Cartera Acumulada</t>
  </si>
  <si>
    <t>CLIENTE</t>
  </si>
  <si>
    <t>07. Julio</t>
  </si>
  <si>
    <t>08. Agosto</t>
  </si>
  <si>
    <t>09. Septiembre</t>
  </si>
  <si>
    <t>10. Octubre</t>
  </si>
  <si>
    <t>11. Noviembre</t>
  </si>
  <si>
    <t>Variación vs mes anterior</t>
  </si>
  <si>
    <t>% Variación</t>
  </si>
  <si>
    <t>% de participación</t>
  </si>
  <si>
    <t>AA360</t>
  </si>
  <si>
    <t>PASEO VILLALTA</t>
  </si>
  <si>
    <t>AARON ENRIQUE HERNANDEZ IBARRA</t>
  </si>
  <si>
    <t>PLAZA PASEO 2000</t>
  </si>
  <si>
    <t>AARON TORRES GARCIA</t>
  </si>
  <si>
    <t>ABASTECEDORA INTEGRAL</t>
  </si>
  <si>
    <t>ABEL GALVAN GAYTAN</t>
  </si>
  <si>
    <t>PASEO LA PAZ</t>
  </si>
  <si>
    <t>PLAZA PABELLON</t>
  </si>
  <si>
    <t>AC1 CULIACAN</t>
  </si>
  <si>
    <t>HOTEL CEIBA</t>
  </si>
  <si>
    <t>ACHTO SERVICIOS INTELIGENTES</t>
  </si>
  <si>
    <t>AD DISTRIBUCION Y COMERCIO</t>
  </si>
  <si>
    <t>ADMINISTRADORA DE CONTRATOS BAJIO</t>
  </si>
  <si>
    <t>ADMINISTRADORA DE CONTRATOS DICO</t>
  </si>
  <si>
    <t>ADMINISTRADORA DE CONTRATOS NOROESTE</t>
  </si>
  <si>
    <t>ADMINISTRADORA DE FONDOS GVL</t>
  </si>
  <si>
    <t>PASEO SAN ISIDRO</t>
  </si>
  <si>
    <t>ADMINISTRADORA DE NEGOCIOS GS</t>
  </si>
  <si>
    <t>CEIBA</t>
  </si>
  <si>
    <t>ADMINISTRADORA DE SERVICIOS MEDICOS MOLDEARTE</t>
  </si>
  <si>
    <t>ADMINISTRADORA MEXICANA DE HIPODROMO</t>
  </si>
  <si>
    <t>ADMINISTRADORA SALTO AVANTI</t>
  </si>
  <si>
    <t>ADRIAN DOMINGUEZ CASTRO</t>
  </si>
  <si>
    <t>PASEO ESPERANZA</t>
  </si>
  <si>
    <t>ADRIAN OROZCO ROMAN</t>
  </si>
  <si>
    <t>PLAZA SAN PEDRO</t>
  </si>
  <si>
    <t>ADRIAN RAMOS IBARRA</t>
  </si>
  <si>
    <t>ADRIANA FRANCO PEREZ</t>
  </si>
  <si>
    <t>ADVANTI SA DE CV</t>
  </si>
  <si>
    <t>PASEO BICENTENARIO</t>
  </si>
  <si>
    <t>AIDE PALOMA FERRAL LLANOS</t>
  </si>
  <si>
    <t>AILIDE GUADALUPE VALENZUELA PEÑA</t>
  </si>
  <si>
    <t>ALAN ADAIR HERNANDEZ GONZALEZ</t>
  </si>
  <si>
    <t>ALBA LETICIA GASTELUM MEDINA</t>
  </si>
  <si>
    <t>ALBERTO GONZALEZ LIZARRAGA</t>
  </si>
  <si>
    <t>ALDO JULIAN HERNANDEZ GARCIA</t>
  </si>
  <si>
    <t>ALDO MANZITTI</t>
  </si>
  <si>
    <t>ALEC FRANCISCO HURTADO GRANILLO</t>
  </si>
  <si>
    <t>ALEJANDRA EVANGELINA TOVIAZ PELAYO</t>
  </si>
  <si>
    <t>ALEJANDRA GUTIERREZ RODRIGUEZ</t>
  </si>
  <si>
    <t>ALEJANDRINA CRUZ ZAZUETA</t>
  </si>
  <si>
    <t>ALEJANDRO ESCOBEDO DUARTE</t>
  </si>
  <si>
    <t>ALEJANDRO OLVERA ACEVES</t>
  </si>
  <si>
    <t>ALEJANDRO RIVERA ANGULO</t>
  </si>
  <si>
    <t>ALEXIS ENRIQUE CAMACHO AISPURO</t>
  </si>
  <si>
    <t>ALFONSO IZQUIERDO GAXIOLA</t>
  </si>
  <si>
    <t>ALFONSO RODRIGUEZ VAZQUEZ</t>
  </si>
  <si>
    <t>ALFREDO GONZALEZ MORALES</t>
  </si>
  <si>
    <t>ALI RAZA</t>
  </si>
  <si>
    <t>ALICIA TOSTADO LOPEZ</t>
  </si>
  <si>
    <t>ALIMENTOS PAJORI</t>
  </si>
  <si>
    <t>ALIMENTOS Y BEBIDAS POZOLITO S DE RL DE CV</t>
  </si>
  <si>
    <t>ALMA ANGELINA SERVIN DE LA MORA MURILLO</t>
  </si>
  <si>
    <t>ALMA CAROLINA ROMAN IBARRA</t>
  </si>
  <si>
    <t>ALMA MAGDALENA GOMEZ CORONA</t>
  </si>
  <si>
    <t>ALMA TERESA SANCHEZ OLIVA</t>
  </si>
  <si>
    <t>ALMENDRA PRODUCE SA DE CV</t>
  </si>
  <si>
    <t>ALONDRA ZAPATA OCHOA</t>
  </si>
  <si>
    <t>ALTAPADELMX</t>
  </si>
  <si>
    <t>ALTERNATIVAS EN MEDIOS ENERGETICOS SUSTENTABLES</t>
  </si>
  <si>
    <t>ALVACO ENTERPRISES</t>
  </si>
  <si>
    <t>AMANDA RUIZ CONTRERAS</t>
  </si>
  <si>
    <t>AMC SERVICIOS EDUCATIVOS</t>
  </si>
  <si>
    <t>AMERICA LOPEZ GARCIA</t>
  </si>
  <si>
    <t>AMERICAN EAGLE MEXICO RETAIL</t>
  </si>
  <si>
    <t>AMOR POR LA BRASA</t>
  </si>
  <si>
    <t>AMORE BELLEZA</t>
  </si>
  <si>
    <t>ANA BELEN DE LA TOBA VERDUGO</t>
  </si>
  <si>
    <t>ANA ELIZABETH LOPEZ SOTELO</t>
  </si>
  <si>
    <t>ANA EMELIA MARTINEZ ORNELAS</t>
  </si>
  <si>
    <t>ANA GABRIELA GOMEZ GOMEZ</t>
  </si>
  <si>
    <t>ANA ISABEL ALMAGUER ARZOLA</t>
  </si>
  <si>
    <t>ANA KAREN MENDIETA MORENO</t>
  </si>
  <si>
    <t>ANA LAURA ROBLEDO CORPUS</t>
  </si>
  <si>
    <t>ANA LUCIA LUGO FLORES</t>
  </si>
  <si>
    <t>ANA LUCIA MEDINA PEÑUELAS</t>
  </si>
  <si>
    <t>ANA MARIA VEGA GARCIA</t>
  </si>
  <si>
    <t>ANA PAULA MAYTORENA MORENO</t>
  </si>
  <si>
    <t>ANA SOFIA CASTRO PORTUGAL</t>
  </si>
  <si>
    <t>ANABEL LOPEZ LOZOYA</t>
  </si>
  <si>
    <t>ANDREA JANEL CARDENAS BELMAR</t>
  </si>
  <si>
    <t>ANETTE CAROLINA SERRANO FRANCO</t>
  </si>
  <si>
    <t>ANGEL DE JESUS AMBROSIO DIAZ</t>
  </si>
  <si>
    <t>ANGELES DEL CARMEN GAXIOLA FIGUEROA</t>
  </si>
  <si>
    <t>ANGELICA MARLEN ESTRADA BARRON</t>
  </si>
  <si>
    <t>PLAZA CENTENARIO</t>
  </si>
  <si>
    <t>ANTELMA DEL ANGEL AQUINO</t>
  </si>
  <si>
    <t>ANTOJITOS MEXICANOS RAPIDOS DEL NOROESTE</t>
  </si>
  <si>
    <t>ANTOJITOS MEXICANOS RAPIDOS DEL NOROESTE S DE RL DE CV</t>
  </si>
  <si>
    <t>ANTOJITOS MEXICANOS Y BOCHINCHEROS</t>
  </si>
  <si>
    <t>ANTONIO AKURY GASTELUM</t>
  </si>
  <si>
    <t>ANTONIO ESPINOZA ROJAS</t>
  </si>
  <si>
    <t>ANVAL ALIMENTOS</t>
  </si>
  <si>
    <t>AP ATELIER</t>
  </si>
  <si>
    <t>APACIM SA DE CV</t>
  </si>
  <si>
    <t>APPLEMEX</t>
  </si>
  <si>
    <t>ARACELI RAQUEL SAINZ GONZALEZ</t>
  </si>
  <si>
    <t>ARANZA BETSABE CAMARENA ALCALA</t>
  </si>
  <si>
    <t>ARBA DE MEXICO</t>
  </si>
  <si>
    <t>ARBOLITOS MEXICALI</t>
  </si>
  <si>
    <t>ARCO AREAS COMERCIALES</t>
  </si>
  <si>
    <t>ARCO CEIBA</t>
  </si>
  <si>
    <t>PASEO AZAHARES</t>
  </si>
  <si>
    <t>ARCO HOSPITALIDAD</t>
  </si>
  <si>
    <t>ARIANE ABIGAIL LEON SAÑUDO</t>
  </si>
  <si>
    <t>ARJOR CAFE</t>
  </si>
  <si>
    <t>ARMANDO ANGULO INZUNZA</t>
  </si>
  <si>
    <t>ARMANDO DIAZ CARDOSO</t>
  </si>
  <si>
    <t>ARMANDO MARTINEZ MARTINEZ</t>
  </si>
  <si>
    <t>ARMANDO RANGEL ESQUEDA</t>
  </si>
  <si>
    <t>AROMANTE</t>
  </si>
  <si>
    <t>ARQUITECTURA DISEÑO Y CONSTRUCCION GOPE</t>
  </si>
  <si>
    <t>ARRENDADORA DE CENTROS COMERCIALES</t>
  </si>
  <si>
    <t>ARTURO TAMAYO MARTINEZ</t>
  </si>
  <si>
    <t>ASAF BINYAMINI</t>
  </si>
  <si>
    <t>ASIAVAL MOTORS</t>
  </si>
  <si>
    <t>AT&amp;T COMUNICACIONES DIGITALES</t>
  </si>
  <si>
    <t>ATRACCIONES ORTIZ</t>
  </si>
  <si>
    <t>AURORA VERENICE AYALA GARCIA</t>
  </si>
  <si>
    <t>AUTO PRODUCTOS BAJA</t>
  </si>
  <si>
    <t>AUTO PRODUCTOS DE LA COSTA</t>
  </si>
  <si>
    <t>AUTO PRODUCTOS DE MEXICALI</t>
  </si>
  <si>
    <t>AUTOEMOCION DEL PACIFICO</t>
  </si>
  <si>
    <t>AUTOMOTORES DE PEKIN</t>
  </si>
  <si>
    <t>AUTOMOTORES FRONTERA</t>
  </si>
  <si>
    <t>AUTOMOTORES NARA</t>
  </si>
  <si>
    <t>AUTOMOTRIZ BAJACAL</t>
  </si>
  <si>
    <t>AUTOMOTRIZ DEL VALLE</t>
  </si>
  <si>
    <t>AUTOMOTRIZ GOTEMBURGO</t>
  </si>
  <si>
    <t>AUTOMOTRIZ SINALOENSE</t>
  </si>
  <si>
    <t>AUTOMOVILES ALEMANES DEL NORTE</t>
  </si>
  <si>
    <t>AUTOPOLIS FINE</t>
  </si>
  <si>
    <t>AUTOS PREMIER DE ORIENTE</t>
  </si>
  <si>
    <t>AUTOZONE DE MEXICO</t>
  </si>
  <si>
    <t>BAJA LIBERTY LAW FIRM</t>
  </si>
  <si>
    <t>BAJA OPTICA S.A. DE C.V.</t>
  </si>
  <si>
    <t>BAJA OUTLET</t>
  </si>
  <si>
    <t>BAJA PLAY TIME</t>
  </si>
  <si>
    <t>BAJA S EASY INVESTMENT CORP SA DE CV</t>
  </si>
  <si>
    <t>BANCA MIFEL SA INSTITUCION DE BANCA MULTIPLE GRUPO FINANCIERO MIFEL</t>
  </si>
  <si>
    <t>BANCO COMPARTAMOS SA INSTITUCION DE BANCA MULTIPLE</t>
  </si>
  <si>
    <t>BANCO MERCANTIL DEL NORTE SA INSTITUCION DE BANCA MULTIPLE GRUPO FINANCIERO BANORTE</t>
  </si>
  <si>
    <t>BANCO NACIONAL DE MEXICO</t>
  </si>
  <si>
    <t>BANCO SANTANDER MEXICO S.A., INSTITUCION DE BANCA MULTIPLE, GRUPO FINANCIERO SANTANDER MEXICO</t>
  </si>
  <si>
    <t>BANCOPPEL, S.A. INSTITUCION DE BANCA MULTIPLE</t>
  </si>
  <si>
    <t>BARBARA ELIZABETH PEREZ IBARRA</t>
  </si>
  <si>
    <t>BATIZ ESQUER GERARDO</t>
  </si>
  <si>
    <t>BBOX VENDING</t>
  </si>
  <si>
    <t>BBVA MEXICO, S.A., INSTITUCION DE BANCA MULTIPLE, GRUPO FINANCIERO BBVA MEXICO</t>
  </si>
  <si>
    <t>BC CLOTHING</t>
  </si>
  <si>
    <t>BEATRIZ ALICIA LOZANO DORADO</t>
  </si>
  <si>
    <t>BEATRIZ SANCHEZ HERNANDEZ</t>
  </si>
  <si>
    <t>BENCHMARK ELECTRONICS TIJUANA</t>
  </si>
  <si>
    <t>BENJAMIN RAUL LOPEZ BATIZ</t>
  </si>
  <si>
    <t>BERA RED EMPRESARIAL DE MEXICO S DE RL DE CV</t>
  </si>
  <si>
    <t>BERTHA SILVIA VAZQUEZ SANCHEZ</t>
  </si>
  <si>
    <t>BERUN MATTRESS</t>
  </si>
  <si>
    <t>BESIKTAS</t>
  </si>
  <si>
    <t>BFA MOTORS</t>
  </si>
  <si>
    <t>BIANCA LIZBETH SANCHEZ BENITEZ</t>
  </si>
  <si>
    <t>BIMBAYLOLA MEXICO</t>
  </si>
  <si>
    <t>BIMBAYLOLA MEXICO SA DE CV</t>
  </si>
  <si>
    <t>BIMBO</t>
  </si>
  <si>
    <t>BIMBO SA DE CV</t>
  </si>
  <si>
    <t>BIYUN FENG</t>
  </si>
  <si>
    <t>BKIDS MODA Y BELLEZA</t>
  </si>
  <si>
    <t>BLANCA ARCELIA CARRANCO MAGDALENO</t>
  </si>
  <si>
    <t>BLANCA AZUCENA ZAMORA CARRILLO</t>
  </si>
  <si>
    <t>BLANCA JULIA CONTRERAS FIERROS</t>
  </si>
  <si>
    <t>BLANCA NIEVES ACOSTA MENDIVIL</t>
  </si>
  <si>
    <t>BO HOM DISEÑO EN MUEBLE</t>
  </si>
  <si>
    <t>BOFENG LEI</t>
  </si>
  <si>
    <t>BOLICHE Y ENTRETENIMIENTOS DE LA PAZ</t>
  </si>
  <si>
    <t>BOTANERO FIDENCIO ANAHUAC</t>
  </si>
  <si>
    <t>BOTANERO FIDENCIO ANAHUAC SA DE CV</t>
  </si>
  <si>
    <t>BOUTIQUES DEL NOROESTE S DE RL DE CV</t>
  </si>
  <si>
    <t>BRANDON SCHCOLNIK PALACIOS</t>
  </si>
  <si>
    <t>BRENDA BERENICE CRUZ TOLEDO</t>
  </si>
  <si>
    <t>BROKIAN CONSUMIDORES</t>
  </si>
  <si>
    <t>BUQUI EN CULIACAN</t>
  </si>
  <si>
    <t>BUSSOLA CONSULTORES</t>
  </si>
  <si>
    <t>C&amp;A  MEXICO S. DE R.L.</t>
  </si>
  <si>
    <t>C&amp;A MEXICO</t>
  </si>
  <si>
    <t>C2D OPERADORA</t>
  </si>
  <si>
    <t>CABLEMAS TELECOMUNICACIONES</t>
  </si>
  <si>
    <t>CABO MAIL BOXES</t>
  </si>
  <si>
    <t>CADENA COMERCIAL OXXO</t>
  </si>
  <si>
    <t>CADENA DE COMIDA MEXICANA</t>
  </si>
  <si>
    <t>CAFE JV</t>
  </si>
  <si>
    <t>CAFE SIRENA</t>
  </si>
  <si>
    <t>CALIDAD GASTRONOMICA KAMIKAZE</t>
  </si>
  <si>
    <t>CALZADO SONMEX</t>
  </si>
  <si>
    <t>CAMINO DEL SOL SANTA FE</t>
  </si>
  <si>
    <t>CAMPA ROCKOLAS Y VIDEOJUEGOS SA DE CV</t>
  </si>
  <si>
    <t>CANTINA LA CHOPERIA TIJUANA SA DE CV</t>
  </si>
  <si>
    <t>CAPITAL FUND XXXVIII</t>
  </si>
  <si>
    <t>CAR SHINE</t>
  </si>
  <si>
    <t>CARETAS REV</t>
  </si>
  <si>
    <t>CARGO MOVIL</t>
  </si>
  <si>
    <t>CARLOS ALBERTO CASTRO MATTEOTTI</t>
  </si>
  <si>
    <t>CARLOS ALBERTO CORDOVA BURGUEÑO</t>
  </si>
  <si>
    <t>CARLOS ALBERTO JORDAN CERVANTES</t>
  </si>
  <si>
    <t>CARLOS ALBERTO REBOLLO GOMEZ</t>
  </si>
  <si>
    <t>CARLOS ALEJANDRO TERRAZAS HERNANDEZ</t>
  </si>
  <si>
    <t>CARLOS ALFREDO ROMERO VILLEGAS</t>
  </si>
  <si>
    <t>CARLOS ANDRES ALONSO HERNANDEZ</t>
  </si>
  <si>
    <t>CARLOS ARMANDO IBARRA AVILES</t>
  </si>
  <si>
    <t>CARLOS EDUARDO LOZANO CERVANTES</t>
  </si>
  <si>
    <t>CARLOS MARTIN CASTILLO JIMENEZ</t>
  </si>
  <si>
    <t>CARLOS MEDRANO BERNAL</t>
  </si>
  <si>
    <t>CARLOS OMAR LOPEZ LARA</t>
  </si>
  <si>
    <t>CARLOS PEREZ PEREZ</t>
  </si>
  <si>
    <t>CARLOS RICARDO ZUÑIGA CORTES</t>
  </si>
  <si>
    <t>CARLOTA LOPEZ CAMPOS</t>
  </si>
  <si>
    <t>CARMEN ALICIA MILLAN SEDANO</t>
  </si>
  <si>
    <t>CARMEN LORENA COTA COTA</t>
  </si>
  <si>
    <t>CAROLINA MACIEL FONSECA</t>
  </si>
  <si>
    <t>CASA FOXCRO</t>
  </si>
  <si>
    <t>CASA LEY</t>
  </si>
  <si>
    <t>CAYENA GASTRONOMICA</t>
  </si>
  <si>
    <t>CAYENA GASTRONOMICA SA DE CV</t>
  </si>
  <si>
    <t>CC CONTENIDOS COAHUILA</t>
  </si>
  <si>
    <t>CECILIA ANDRADE CERVANTES</t>
  </si>
  <si>
    <t>CECILIA IVON BOSQUET ITUARTE</t>
  </si>
  <si>
    <t>CECILIA RAMIREZ SALAZAR</t>
  </si>
  <si>
    <t>CEIBA 18</t>
  </si>
  <si>
    <t>CEIBA 18 SA DE CV</t>
  </si>
  <si>
    <t>CELINA COVARRUBIAS FLORES</t>
  </si>
  <si>
    <t>CELULARES DE SONORA</t>
  </si>
  <si>
    <t>CELULARES Y ACCESORIOS DEL SURESTE</t>
  </si>
  <si>
    <t>CEMENTERIOS DE CULIACAN</t>
  </si>
  <si>
    <t>CENTRICA 1 CENTRO DE ENTRENAMIENTO</t>
  </si>
  <si>
    <t>CENTRO BOTANICO EL GIRASOL SA DE CV</t>
  </si>
  <si>
    <t>CENTRO CAMBIARIO DIVINORTE</t>
  </si>
  <si>
    <t>CENTRO CAMBIARIO FUNDADORES</t>
  </si>
  <si>
    <t>CENTRO CAMBIARIO LA PARADA</t>
  </si>
  <si>
    <t>CENTRO INTEGRAL DE SERVICIOS IMPRESOS Y GRAFICOS</t>
  </si>
  <si>
    <t>CENTRO NACIONAL DE DISTRIBUCION JUGUETEGA</t>
  </si>
  <si>
    <t>CENTRO PRENDARIO CG</t>
  </si>
  <si>
    <t>CENTRO RESTAURANTERO S DE RL DE CV</t>
  </si>
  <si>
    <t>CENTURA ALIMENTOS</t>
  </si>
  <si>
    <t>CESAR BARRIOS MEDINA</t>
  </si>
  <si>
    <t>CESAR EDUARDO RONDON DURAN</t>
  </si>
  <si>
    <t>CESARIO BONILLA CASTAÑEDA</t>
  </si>
  <si>
    <t>CESARMEX</t>
  </si>
  <si>
    <t>CFE SUMINISTRADOR DE SERVICIOS BASICOS</t>
  </si>
  <si>
    <t>CHENA INMOBILIARIA</t>
  </si>
  <si>
    <t>CHIARA ALESSANDRA SEGURA CABRERA</t>
  </si>
  <si>
    <t>CHICO S BITS COLLEGE S DE RL DE CV</t>
  </si>
  <si>
    <t>CHRISTUS MUGUERZA SISTEMAS HOSPITALARIOS</t>
  </si>
  <si>
    <t>CIAN MAGENTA</t>
  </si>
  <si>
    <t>CINÉPOLIS DE MEXICO SA DE CV</t>
  </si>
  <si>
    <t>CINTHYA VANNESA URIAS CHAVEZ</t>
  </si>
  <si>
    <t>CITLALLI GOMEZ FRANCO</t>
  </si>
  <si>
    <t>CLAUDIA IVETTE PERAZA AVILA</t>
  </si>
  <si>
    <t>CLAUDIA KARINA GONZALEZ LAMADRID</t>
  </si>
  <si>
    <t>CLAUDIA SELENE AYUB BENITEZ</t>
  </si>
  <si>
    <t>CLAUDIO USIEL QUIROZ FRAGOSO</t>
  </si>
  <si>
    <t>CLIENTE PUBLICO EN GENERAL</t>
  </si>
  <si>
    <t>CLIMOVIL SA DE CV</t>
  </si>
  <si>
    <t>CLINICA DENTAL DSA SC</t>
  </si>
  <si>
    <t>CLUB CEIBA SINALOA</t>
  </si>
  <si>
    <t>COAST METAL SUPPLY</t>
  </si>
  <si>
    <t>COLCHAS MEXICO</t>
  </si>
  <si>
    <t>COLEGIO DE CONTADORES PUBLICOS DE CULIACAN</t>
  </si>
  <si>
    <t>COMERCIAL AUTOMOTRIZ DEL NOROESTE</t>
  </si>
  <si>
    <t>COMERCIAL CEMENQUIN</t>
  </si>
  <si>
    <t>COMERCIAL CITY FRESKO</t>
  </si>
  <si>
    <t>COMERCIAL CPC CULIACAN</t>
  </si>
  <si>
    <t>COMERCIAL D'PORTENIS</t>
  </si>
  <si>
    <t>COMERCIAL IAC</t>
  </si>
  <si>
    <t>COMERCIALIZADORA ALMA DE PIEL</t>
  </si>
  <si>
    <t>COMERCIALIZADORA DONCACAHUATO</t>
  </si>
  <si>
    <t>COMERCIALIZADORA FAJIME</t>
  </si>
  <si>
    <t>COMERCIALIZADORA FES GLOBAL</t>
  </si>
  <si>
    <t>COMERCIALIZADORA LIVIDI</t>
  </si>
  <si>
    <t>COMERCIALIZADORA PEPSICO MEXICO</t>
  </si>
  <si>
    <t>COMERCIALIZADORA ROVIROSA</t>
  </si>
  <si>
    <t>COMERCIALIZADORA SPLAT</t>
  </si>
  <si>
    <t>COMERCIALIZADORA Y APOYO ECONOMICO VEMOS POR TI</t>
  </si>
  <si>
    <t>COMERCIALIZADORA Y DISTRIBUIDORA CELTOT</t>
  </si>
  <si>
    <t>COMERCIALIZADORA Y TECNOLOGIA BC SA DE CV</t>
  </si>
  <si>
    <t>COMERCIMODA</t>
  </si>
  <si>
    <t>COMIDA CEIBA</t>
  </si>
  <si>
    <t>COMIDA DECIMA</t>
  </si>
  <si>
    <t>COMISION FEDERAL DE ELECTRICIDAD</t>
  </si>
  <si>
    <t>COMITE ESCOLAR DE ADMINISTRACION PARTICIPATIVA DEL CBTIS 062</t>
  </si>
  <si>
    <t>COMPAÑIA CALZATURERA</t>
  </si>
  <si>
    <t>COMPAÑIA COMERCIAL CIMACO</t>
  </si>
  <si>
    <t>COMPAÑIA EMBOTELLADORA DEL FUERTE</t>
  </si>
  <si>
    <t>COMPARTAMOS SERVICIOS</t>
  </si>
  <si>
    <t>CONCEPCION MEDINA QUIROZ</t>
  </si>
  <si>
    <t>CONCEPCION OCTAVIO LARA SALAZAR</t>
  </si>
  <si>
    <t>CONCEPTO MADA</t>
  </si>
  <si>
    <t>CONRADO LEONEL OCHOA COURET</t>
  </si>
  <si>
    <t>CONSEJO CONSULTIVO DE DESARROLLO ECONOMICO DE PLAYAS DE ROSARITO</t>
  </si>
  <si>
    <t>CONSTRUCCIONES Y SERVICIOS ELECTRICOS LEYVA CYSEL</t>
  </si>
  <si>
    <t>CONSTRUCTORA FRANSER</t>
  </si>
  <si>
    <t>CONSTRUOBRA INGENIERIA Y ARQUITECTURA</t>
  </si>
  <si>
    <t>CONSTRUTODO MARIN</t>
  </si>
  <si>
    <t>CONSTRUTODO MARIN SA DE CV</t>
  </si>
  <si>
    <t>CONSTRUVENTAS DE EQUIPO MENOR CONEX</t>
  </si>
  <si>
    <t>CONSUELO GUADALUPE BOJORQUEZ SOBERANES</t>
  </si>
  <si>
    <t>CONTRATOS Y SERVICIOS PF</t>
  </si>
  <si>
    <t>CONTRERAS GREEN KEVIN ISRAEL</t>
  </si>
  <si>
    <t>COPPEL</t>
  </si>
  <si>
    <t>TORRES CBA</t>
  </si>
  <si>
    <t>COPPEL SA DE CV</t>
  </si>
  <si>
    <t>CORINAS CHAPULTEPEC</t>
  </si>
  <si>
    <t>CORP ULTRA GYM AND FITNESS</t>
  </si>
  <si>
    <t>CORPA TECH</t>
  </si>
  <si>
    <t>CORPA TECH SA DE CV</t>
  </si>
  <si>
    <t>CORPORACION DE ALIMENTOS DE MEXICALI</t>
  </si>
  <si>
    <t>CORPORACION MEXICALENSE</t>
  </si>
  <si>
    <t>CORPORATIVO DEL VESTIR VANGEE</t>
  </si>
  <si>
    <t>CORPORATIVO EASY</t>
  </si>
  <si>
    <t>COSMETICOS Y ACCESORIOS BB</t>
  </si>
  <si>
    <t>COSTCO DE MEXICO</t>
  </si>
  <si>
    <t>CP RENT</t>
  </si>
  <si>
    <t>CP3</t>
  </si>
  <si>
    <t>CREATIVE 808</t>
  </si>
  <si>
    <t>CRISTHIAN JESUS LOPEZ MAYORAL</t>
  </si>
  <si>
    <t>CRISTIAN JASAEL H LUZ MELO</t>
  </si>
  <si>
    <t>CRUZ NOE HEREDIA AYON</t>
  </si>
  <si>
    <t>CRYOINFRA SA DE CV</t>
  </si>
  <si>
    <t>CULIACAN MOTORS</t>
  </si>
  <si>
    <t>D ORO Y PIEL JOYERIA</t>
  </si>
  <si>
    <t>DAIKIN AIRCONDITIONING MEXICO</t>
  </si>
  <si>
    <t>DALILA ROCIO GARCIA ROMERO</t>
  </si>
  <si>
    <t>DANIELA GARCIA LIZARRAGA</t>
  </si>
  <si>
    <t>DANIELA SOLIS GONZALEZ</t>
  </si>
  <si>
    <t>DANIRA ELIZABETH MACIEL FLORES</t>
  </si>
  <si>
    <t>DANNA PATRICIA AGUILAR DURAN</t>
  </si>
  <si>
    <t>DAQU DE SONORA</t>
  </si>
  <si>
    <t>DAVID ALEJANDRO GUIOTT TENORIO</t>
  </si>
  <si>
    <t>DAVID EDUARDO VARGAS RODRIGUEZ</t>
  </si>
  <si>
    <t>DAVID KUANG YANG</t>
  </si>
  <si>
    <t>DAVID PAULINO VAZQUEZ PADILLA</t>
  </si>
  <si>
    <t>DAYSI DANIELA HERNANDEZ VICENCIO</t>
  </si>
  <si>
    <t>DE LA MORA TRAJES DE BAÑO SA DE CV</t>
  </si>
  <si>
    <t>DEJA VU MARKETING</t>
  </si>
  <si>
    <t>DENICE ROSAS DELFIN</t>
  </si>
  <si>
    <t>DESARROLLADORA DE FRANQUICIAS AMERICANAS</t>
  </si>
  <si>
    <t>DESARROLLOS THMX</t>
  </si>
  <si>
    <t>DEYNA ALESANDRA VELEZ TRUJILLO</t>
  </si>
  <si>
    <t>DHL EXPRESS MEXICO</t>
  </si>
  <si>
    <t>DIAFIMEX</t>
  </si>
  <si>
    <t>DIANA ISABEL ROMO LUZANILLA</t>
  </si>
  <si>
    <t>DIANA LAURA LOPEZ VILLAVICENCIO</t>
  </si>
  <si>
    <t>DIANA MARIE PAYAN RODRIGUEZ</t>
  </si>
  <si>
    <t>DIANA PATRICIA CRUZ RODRIGUEZ</t>
  </si>
  <si>
    <t>DIEGO MIGUEL TANG HERNANDEZ</t>
  </si>
  <si>
    <t>DISTRIBUIDORA ARCA CONTINENTAL</t>
  </si>
  <si>
    <t>DISTRIBUIDORA ARTESANAL</t>
  </si>
  <si>
    <t>DISTRIBUIDORA JUGUETRON</t>
  </si>
  <si>
    <t>DISTRIBUIDORA LA ESCOCESA</t>
  </si>
  <si>
    <t>DISTRIBUIDORA LA ESCOSESA</t>
  </si>
  <si>
    <t>DISTRIBUIDORA MAZAUTO DEL NOROESTE</t>
  </si>
  <si>
    <t>DIVERTIMOTOS</t>
  </si>
  <si>
    <t>DIXMAT NEGOCIOS</t>
  </si>
  <si>
    <t>DOLORES CORONEL BELTRAN</t>
  </si>
  <si>
    <t>DONATO STONE</t>
  </si>
  <si>
    <t>DREAM PROPERTIES</t>
  </si>
  <si>
    <t>DUI PILA</t>
  </si>
  <si>
    <t>DYE CONSTRUCTORA DE LOS CABOS</t>
  </si>
  <si>
    <t>EAYA MEXICO</t>
  </si>
  <si>
    <t>EDGARDO BALDERRAMA GONZALEZ</t>
  </si>
  <si>
    <t>EDUARDO AVILES SANCHEZ</t>
  </si>
  <si>
    <t>EDUARDO CHAVEZ CUTIÑO</t>
  </si>
  <si>
    <t>EDUARDO MAYA PEREZ</t>
  </si>
  <si>
    <t>EL PALACIO DE HIERRO</t>
  </si>
  <si>
    <t>ELECTRO CONSTRUCTORES ASOCIADOS</t>
  </si>
  <si>
    <t>ELIA MARLENE SAUCEDA HERNANDEZ</t>
  </si>
  <si>
    <t>ELIAS DE LA TORRE CORONADO</t>
  </si>
  <si>
    <t>ELIU ZARAGOZA VARGAS</t>
  </si>
  <si>
    <t>ELIZABETH DOMINGUEZ GARCIA</t>
  </si>
  <si>
    <t>ELIZABETH GUAJARDO LOPEZ</t>
  </si>
  <si>
    <t>ELIZABETH LOPEZ VALDEZ</t>
  </si>
  <si>
    <t>ELSY SARAHI MARTINEZ LOMELI</t>
  </si>
  <si>
    <t>ELVA NIDIA LAGARDA RAMOS</t>
  </si>
  <si>
    <t>EMANUEL CARRILLO MARTINEZ</t>
  </si>
  <si>
    <t>EMANUEL DE JESUS AVENDAÑO GARCIA</t>
  </si>
  <si>
    <t>EMBOTELLADORA DEL FUERTE S DE RL DE CV</t>
  </si>
  <si>
    <t>EMERALD CITY ATHLETIC CLUB, S.A. DE C.V.</t>
  </si>
  <si>
    <t>EMERGE TECHNOLOGIES</t>
  </si>
  <si>
    <t>EMMA GISELL VELARDE RANGEL</t>
  </si>
  <si>
    <t>EMOE MORENO NAVARRO</t>
  </si>
  <si>
    <t>EMPRESAS LIZANGIL</t>
  </si>
  <si>
    <t>ENRIQUE MUÑOZ VALADEZ</t>
  </si>
  <si>
    <t>ENRIQUE SAVIN Y ASOCIADOS</t>
  </si>
  <si>
    <t>ENTREGAS PUNTUALES</t>
  </si>
  <si>
    <t>ERENDIRA GRISELDA ELIZONDO MARTINEZ</t>
  </si>
  <si>
    <t>ERICK LOPEZ MERLOS</t>
  </si>
  <si>
    <t>ERIKA VIOLETA DE LA MORA BEHAR</t>
  </si>
  <si>
    <t>ERIN PITNEY BROCKLEHURST</t>
  </si>
  <si>
    <t>ESMERALDA AISPURO VERDE</t>
  </si>
  <si>
    <t>ESPACIOS Y EDIFICACIONES ESCALANTE</t>
  </si>
  <si>
    <t>ESQUER RUIZ</t>
  </si>
  <si>
    <t>ESTAFETA MEXICANA</t>
  </si>
  <si>
    <t>ESTEBAN HERNANDEZ PERDOMO</t>
  </si>
  <si>
    <t>ESTHER LOPEZ GONZALEZ</t>
  </si>
  <si>
    <t>ESTRELLA COMERCIALIZADORA Y SERVICIOS</t>
  </si>
  <si>
    <t>EUGENIO ANDRES MENDIOLA VAZQUEZ</t>
  </si>
  <si>
    <t>DEPARTAMENTOS PV</t>
  </si>
  <si>
    <t>EVARISTO LIZARRAGA OSUNA</t>
  </si>
  <si>
    <t>EXE INMOBILIARIA</t>
  </si>
  <si>
    <t>EXHIBIDORA MEXICANA CINEPOLIS</t>
  </si>
  <si>
    <t>EXPERIENCIAS VACACIONALES</t>
  </si>
  <si>
    <t>EXPERT CELL</t>
  </si>
  <si>
    <t>EXTRAESPACIO</t>
  </si>
  <si>
    <t>FABRICA DE PASTELES Y REPOSTERIA LOURDES</t>
  </si>
  <si>
    <t>FADUA MARINA ARELLANO BECERRA</t>
  </si>
  <si>
    <t>FARMACIAS DE SIMILARES SA DE CV</t>
  </si>
  <si>
    <t>FARMACON</t>
  </si>
  <si>
    <t>FAVIO TADEO MENDEZ MARQUEZ</t>
  </si>
  <si>
    <t>FEDRA LUZ MOYA BORRAZ</t>
  </si>
  <si>
    <t>FENG JIANFAN</t>
  </si>
  <si>
    <t>FENGYING ZHOU</t>
  </si>
  <si>
    <t>FERNANDA FABIOLA AVILA SANCHEZ</t>
  </si>
  <si>
    <t>FERNANDO MENDEZ AMAYA</t>
  </si>
  <si>
    <t>FIDEICOMISO OPSIMEX 4594</t>
  </si>
  <si>
    <t>FIDEL CABRERA ORTA</t>
  </si>
  <si>
    <t>FINLAG</t>
  </si>
  <si>
    <t>FIRST CASH</t>
  </si>
  <si>
    <t>FIRST PENGUIN</t>
  </si>
  <si>
    <t>FLIXBUS MEXICO</t>
  </si>
  <si>
    <t>FLOR PATRICIA VALENZUELA CARRILLO</t>
  </si>
  <si>
    <t>FLORA LAGARDA RAMOS</t>
  </si>
  <si>
    <t>FORTMCK18-05HINN</t>
  </si>
  <si>
    <t>FRANCISCO DANIEL GUZMAN LOPEZ</t>
  </si>
  <si>
    <t>FRANCISCO FLORES VALDEZ</t>
  </si>
  <si>
    <t>FRANCISCO GERARDO PEREZ CELIS</t>
  </si>
  <si>
    <t>FRANCISCO JAVIER DEL CASTILLO TOSTADO</t>
  </si>
  <si>
    <t>FRANCISCO JAVIER GONZALEZ NOLASCO</t>
  </si>
  <si>
    <t>FRANCISCO JAVIER RUBIO FELIX</t>
  </si>
  <si>
    <t>FRANCISCO JAVIER TALAMANTES</t>
  </si>
  <si>
    <t>FRANCISCO LOPEZ LOZADA</t>
  </si>
  <si>
    <t>FRANCISCO RIVAS MARTINEZ</t>
  </si>
  <si>
    <t>FRANCISCO VITAL TOSTADO</t>
  </si>
  <si>
    <t>FRANQUICIAS LOCKERS SA DE CV</t>
  </si>
  <si>
    <t>FRIDA ELIZABETH MORENO RAMIREZ</t>
  </si>
  <si>
    <t>FULL HOUSE MAZATLAN</t>
  </si>
  <si>
    <t>FUNDACION AMERICANA DE BECAS SC</t>
  </si>
  <si>
    <t>FUNDACION MEXICANA DE LECTURA RAPIDA</t>
  </si>
  <si>
    <t>FUNDACION SOCIEDAD EDUCADORA</t>
  </si>
  <si>
    <t>FUSION OPTICA DE MEXICO</t>
  </si>
  <si>
    <t>GABRIELA CATALINA ALATRISTE CAÑIZARES</t>
  </si>
  <si>
    <t>GALAXY BOL</t>
  </si>
  <si>
    <t>GAMA BYS</t>
  </si>
  <si>
    <t>GASTROLICHI</t>
  </si>
  <si>
    <t>GASTRONOMIA COSMOS</t>
  </si>
  <si>
    <t>GASTROPAC</t>
  </si>
  <si>
    <t>GD COMERCIALIZADORA DEL BAJIO SA DE CV</t>
  </si>
  <si>
    <t>GD COMERCIALIZADORA NOROESTE SA DE CV</t>
  </si>
  <si>
    <t>GDL COIN-OP</t>
  </si>
  <si>
    <t>GENERACION RH</t>
  </si>
  <si>
    <t>GEORGETTE NOEL SAAD KAHWAGE</t>
  </si>
  <si>
    <t>GERARDO ANTONIO CARRANZA OROZCO</t>
  </si>
  <si>
    <t>GERARDO EDWIN RODRIGUEZ BERLANGA</t>
  </si>
  <si>
    <t>GHS ESTRUCTURAS SA DE CV</t>
  </si>
  <si>
    <t>GILBERTO ROBLES IBARRA</t>
  </si>
  <si>
    <t>GILDARDO ADRIAN TREJO GARCIA</t>
  </si>
  <si>
    <t>GILMAR SILVESTER CARDENAS GONZALEZ</t>
  </si>
  <si>
    <t>GIMNASIOS AFDM</t>
  </si>
  <si>
    <t>GISSEL GABRIELA SANCHEZ AREVALO</t>
  </si>
  <si>
    <t>GLADYSS NOEMI NUÑEZ ZUÑIGA</t>
  </si>
  <si>
    <t>GLORIA GONZALEZ AGUILAR</t>
  </si>
  <si>
    <t>GOBIERNO DEL ESTADO DE COAHUILA DE ZARAGOZA</t>
  </si>
  <si>
    <t>GOTOCO ALIMENTOS PROCESADOS</t>
  </si>
  <si>
    <t>GRAND MOTOR SPORTS</t>
  </si>
  <si>
    <t>GRECIA SUSANNA CARRASCO DE LA MORA</t>
  </si>
  <si>
    <t>GREEN SOLRAC</t>
  </si>
  <si>
    <t>GRISELDA MONSERRAT OVIEDO LEAL</t>
  </si>
  <si>
    <t>GRUPAB</t>
  </si>
  <si>
    <t>GRUPO ABILITY SA DE CV</t>
  </si>
  <si>
    <t>GRUPO AGUILAS DE MEXICALI Y ESPECTACULOS</t>
  </si>
  <si>
    <t>GRUPO AIR COND</t>
  </si>
  <si>
    <t>GRUPO ASP</t>
  </si>
  <si>
    <t>GRUPO BAZAR QUE BARATO</t>
  </si>
  <si>
    <t>GRUPO CA RESORTS</t>
  </si>
  <si>
    <t>GRUPO CALZAPATO</t>
  </si>
  <si>
    <t>GRUPO ELECZION,</t>
  </si>
  <si>
    <t>GRUPO INDUSTRIAL ITZO</t>
  </si>
  <si>
    <t>GRUPO INTSOL NOROESTE</t>
  </si>
  <si>
    <t>GRUPO KEFKEF</t>
  </si>
  <si>
    <t>GRUPO MOBILO</t>
  </si>
  <si>
    <t>GRUPO NACIONAL COLCHONERO SA DE CV</t>
  </si>
  <si>
    <t>GRUPO OBERUS</t>
  </si>
  <si>
    <t>GRUPO PARISINA</t>
  </si>
  <si>
    <t>GRUPO SEPI DE MEXICO</t>
  </si>
  <si>
    <t>GRUPO SERIGRAFICO SA DE CV</t>
  </si>
  <si>
    <t>GRUPO SETE ENTREGAS</t>
  </si>
  <si>
    <t>GRUPO UGESA</t>
  </si>
  <si>
    <t>GUADALUPE CAROLINA AGUIRRE GAXIOLA</t>
  </si>
  <si>
    <t>GUADALUPE FLORES ENRIQUEZ</t>
  </si>
  <si>
    <t>GUILLERMO ADRIAN CASANOVA BUSTILLOS</t>
  </si>
  <si>
    <t>GUNNEBO MEXICO</t>
  </si>
  <si>
    <t>GUSTAVO ARMANDO RANGEL ESQUEDA</t>
  </si>
  <si>
    <t>H &amp; M HENNES &amp; MAURITZ</t>
  </si>
  <si>
    <t>H &amp; M HENNES &amp; MAURITZ SA DE CV</t>
  </si>
  <si>
    <t>HABANA Y SEGUROLA</t>
  </si>
  <si>
    <t>HAMBURGUESAS ORSON SAN PEDRO</t>
  </si>
  <si>
    <t>HAMBURGUESAS ORSON SAN PEDRO SA DE CV</t>
  </si>
  <si>
    <t>HAMLET MACIAS BON</t>
  </si>
  <si>
    <t>HANNA KAREN BRAVO SOTO</t>
  </si>
  <si>
    <t>HECTOR IGNACIO RIVEROS LANDELL</t>
  </si>
  <si>
    <t>HECTOR MANUEL CASTRO VERDUGO</t>
  </si>
  <si>
    <t>HECTOR MIGUEL HERNANDEZ MARQUEZ</t>
  </si>
  <si>
    <t>HECTOR RUBEN CASTRO ROSAS</t>
  </si>
  <si>
    <t>HEIDI MIETZE HACH DE SANTIAGO PALOMARES</t>
  </si>
  <si>
    <t>HELADOS GAME</t>
  </si>
  <si>
    <t>HELADOS Y DONAS DE MEXICO</t>
  </si>
  <si>
    <t>HENRY MANUEL CASTILLO GUERRERO</t>
  </si>
  <si>
    <t>HERMANOS BATTA</t>
  </si>
  <si>
    <t>HIRAM CAMPIRAN ROBLEDO</t>
  </si>
  <si>
    <t>HIROSHIMA MOTORS</t>
  </si>
  <si>
    <t>HITCH CONSULTOR</t>
  </si>
  <si>
    <t>HM INGENIEROS</t>
  </si>
  <si>
    <t>HOME DEPOT MEXICO</t>
  </si>
  <si>
    <t>HOMERO AARON ENCISO GARCIA</t>
  </si>
  <si>
    <t>HOMERO RAFAEL ENCISO GONZALEZ</t>
  </si>
  <si>
    <t>HOMPOR</t>
  </si>
  <si>
    <t>HR COMUNICACIONES</t>
  </si>
  <si>
    <t>HSBC MEXICO SA INSTITUCION DE BANCA MULTIPLE GRUPO FINANCIERO HSBC</t>
  </si>
  <si>
    <t>HUIYAN XU</t>
  </si>
  <si>
    <t>HUMAYA GASTRONOMICA</t>
  </si>
  <si>
    <t>HUMAYA RESTAURANT</t>
  </si>
  <si>
    <t>HUMBERTO ESPARZA SALVADOR</t>
  </si>
  <si>
    <t>HUMBERTO VILLARREAL SEGOVIA</t>
  </si>
  <si>
    <t>HUOYUN ZHEN</t>
  </si>
  <si>
    <t>IAN RICARDO HERNANDEZ CAZARES</t>
  </si>
  <si>
    <t>ICEE DE MEXICO</t>
  </si>
  <si>
    <t>ICR</t>
  </si>
  <si>
    <t>IDEAS ACTIVAS PUBLICIDAD Y MEDIOS</t>
  </si>
  <si>
    <t>IDH OPERACIONES</t>
  </si>
  <si>
    <t>IDH SERVICIOS</t>
  </si>
  <si>
    <t>IGNACIO GAXIOLA FIGUEROA</t>
  </si>
  <si>
    <t>IGNACIO OSUNA VIDAURRI</t>
  </si>
  <si>
    <t>IMAGENES MOVILES DE MEXICO</t>
  </si>
  <si>
    <t>PANTALLAS CBA</t>
  </si>
  <si>
    <t>IMPORTADORA Y DISTRIBUIDORA LA CANASTA</t>
  </si>
  <si>
    <t>IMPORTADORA Y EXPORTADORA DE FRUTAS Y LEGUMBRES DE MEXICO SA DE CV</t>
  </si>
  <si>
    <t>IMPRESOS Y MEDIOS PUBLIK-T</t>
  </si>
  <si>
    <t>INATERRA SA DE CV</t>
  </si>
  <si>
    <t>INMOBILIARIA CARPIR</t>
  </si>
  <si>
    <t>INMOBILIARIA DE LA LAGUNA ADN</t>
  </si>
  <si>
    <t>INMOBILIARIA GUDEL</t>
  </si>
  <si>
    <t>INMOBILIARIA KARMAR</t>
  </si>
  <si>
    <t>INMOBILIARIA TPSP</t>
  </si>
  <si>
    <t>INNOVA SPORT</t>
  </si>
  <si>
    <t>INSTALACIONES Y SERVICIOS SACA SA DE CV</t>
  </si>
  <si>
    <t>INSTITUTO DE SEGURIDAD Y SERVICIOS SOCIALES DE LOS TRABAJADORES DEL GOBIERNO Y MUNICIPIOS DEL ESTADO</t>
  </si>
  <si>
    <t>INSTITUTO DEL FONDO NACIONAL DE LA VIVIENDA PARA LOS TRABAJADORES</t>
  </si>
  <si>
    <t>INSTITUTO NACIONAL ELECTORAL</t>
  </si>
  <si>
    <t>INTEGRA CONSTRUCCIONES Y ACABADOS SRL DE CV</t>
  </si>
  <si>
    <t>INTERNATIONAL REALTORS NETWORK</t>
  </si>
  <si>
    <t>IOS OFFICES NORTE</t>
  </si>
  <si>
    <t>IRAD RAMSSES SERRANO BLANCO</t>
  </si>
  <si>
    <t>IRENE SERRANO CASTRO</t>
  </si>
  <si>
    <t>IRIS KARINA SERRANO BLANCO</t>
  </si>
  <si>
    <t>IRVING DAMIAN PATIÑO SANTANA</t>
  </si>
  <si>
    <t>IRVING LOPEZ LOZADA</t>
  </si>
  <si>
    <t>ISABEL LARA AVILA</t>
  </si>
  <si>
    <t>ISAIAS RAMIREZ PELAYO</t>
  </si>
  <si>
    <t>ISRAEL HEREDIA DIMAS</t>
  </si>
  <si>
    <t>I-TIEN CHENG</t>
  </si>
  <si>
    <t>ITX RETAIL MEXICO</t>
  </si>
  <si>
    <t>IVAN ALBERTO VALDEZ MIRANDA</t>
  </si>
  <si>
    <t>IVANNA DE LA CRUZ PEREZ</t>
  </si>
  <si>
    <t>IXZAYANA YARELY MARQUEZ LOPEZ</t>
  </si>
  <si>
    <t>JAIME SAUL MORENO ARECHAR</t>
  </si>
  <si>
    <t>JAVIER EGUIA CORONADO</t>
  </si>
  <si>
    <t>JAVIER RODRIGUEZ GOMEZ</t>
  </si>
  <si>
    <t>JAVIER RODRIGUEZ GONZALEZ</t>
  </si>
  <si>
    <t>JAVIER VAZQUEZ SOTO</t>
  </si>
  <si>
    <t>JAZMIN TRUJILLO FLORES</t>
  </si>
  <si>
    <t>JAZZIEL VALDEZ ROMERO</t>
  </si>
  <si>
    <t>JENNYS ARELLANO GARCIA</t>
  </si>
  <si>
    <t>JESUS ABOYTE ARMENTA</t>
  </si>
  <si>
    <t>JESUS ALBERTO BOJORQUEZ LOPEZ</t>
  </si>
  <si>
    <t>JESUS ANTONIO AGUIRRE GAXIOLA</t>
  </si>
  <si>
    <t>JESUS ANTONIO LAGARDA COTA</t>
  </si>
  <si>
    <t>JESUS ANTONIO VIERA VELAZQUEZ</t>
  </si>
  <si>
    <t>JESUS DANIEL DOMINGUEZ SANCHEZ</t>
  </si>
  <si>
    <t>JESÚS ENRIQUE VILLEGAS ARMENTA</t>
  </si>
  <si>
    <t>JESUS ESTHELA LOPEZ ESPINOZA</t>
  </si>
  <si>
    <t>JESUS GABRIEL MORALES ANISTRO</t>
  </si>
  <si>
    <t>JESUS MANUEL ZATARAIN LOPEZ</t>
  </si>
  <si>
    <t>JESUS OJEDA RAMIREZ</t>
  </si>
  <si>
    <t>JESUS RAUL GASTELUM SALAZAR</t>
  </si>
  <si>
    <t>JESUS RIGOBERTO TAPIA GARCIA</t>
  </si>
  <si>
    <t>JESUS ROBERTO ANGUIANO LOPEZ</t>
  </si>
  <si>
    <t>JHU-FANG LEE</t>
  </si>
  <si>
    <t>JIAWEN HUANG</t>
  </si>
  <si>
    <t>JIEFU LU</t>
  </si>
  <si>
    <t>JINRU FENG</t>
  </si>
  <si>
    <t>JINXUE YU</t>
  </si>
  <si>
    <t>JOCELYNE TATIANA CRUZ SANCHEZ</t>
  </si>
  <si>
    <t>JORGE ALBERTO ESCOBAR PEREZ</t>
  </si>
  <si>
    <t>JORGE ARMANDO CALDERON RODRIGUEZ</t>
  </si>
  <si>
    <t>JORGE ARMENTA FLORES</t>
  </si>
  <si>
    <t>JORGE ARTURO ALVAREZ SANTOS</t>
  </si>
  <si>
    <t>JORGE GUILLERMO BATIZ ESQUER</t>
  </si>
  <si>
    <t>JORGE ISAAC GUERRERO BARRAZA</t>
  </si>
  <si>
    <t>JORGE ITSUMA ARAO TOYOHARA</t>
  </si>
  <si>
    <t>JORGE IVAN CHAVEZ</t>
  </si>
  <si>
    <t>JORGE LUIS QUINTERO SILVAS</t>
  </si>
  <si>
    <t>JORGE QUINTANA CARDENAS</t>
  </si>
  <si>
    <t>JOSE ALEJANDRO DIAZ BARRAZA</t>
  </si>
  <si>
    <t>JOSE ALFREDO GONZALEZ YAH</t>
  </si>
  <si>
    <t>JOSE ALFREDO PEREZ IBARRA</t>
  </si>
  <si>
    <t>JOSE ANGEL RAMIREZ LARA</t>
  </si>
  <si>
    <t>JOSE ANGEL ZAMORA RIOS</t>
  </si>
  <si>
    <t>JOSE ANTONIO HURTADO BERNAL</t>
  </si>
  <si>
    <t>JOSE ANTONIO VALDES MORTON</t>
  </si>
  <si>
    <t>JOSE CARLOS AVILA CHAVEZ</t>
  </si>
  <si>
    <t>JOSE CARLOS MORALES ANGULO</t>
  </si>
  <si>
    <t>JOSE CARLOS OSUNA CHAVEZ</t>
  </si>
  <si>
    <t>JOSE CLEMENTE OSEGUERA BRAVO</t>
  </si>
  <si>
    <t>JOSE DANIEL CORTEZ MORALES</t>
  </si>
  <si>
    <t>JOSE EDUARDO ARMENTA DAUTT</t>
  </si>
  <si>
    <t>JOSE ENCARNACION RODRIGUEZ CRUZ</t>
  </si>
  <si>
    <t>JOSE GUADALUPE AGUAYO GONZALEZ</t>
  </si>
  <si>
    <t>JOSE HUMBERTO GARCIA HIRALES</t>
  </si>
  <si>
    <t>JOSE LUIS FRANCISCO HIDALGO SOMARRIBA</t>
  </si>
  <si>
    <t>JOSE LUIS GARCIA CABRIALES</t>
  </si>
  <si>
    <t>JOSE LUIS MARQUEZ JIMENEZ</t>
  </si>
  <si>
    <t>JOSE LUIS RODRIGUEZ LAKE</t>
  </si>
  <si>
    <t>JOSE MARIA VEA VEA</t>
  </si>
  <si>
    <t>JOSE MARTIN HERNANDEZ VILLANUEVA</t>
  </si>
  <si>
    <t>JOSE MELCHOR LEON MARES</t>
  </si>
  <si>
    <t>JOSE RAMON SALIDO MATTEOTTI</t>
  </si>
  <si>
    <t>JOSE ROBERTO GARCIA SUAREZ</t>
  </si>
  <si>
    <t>JOSE ROBERTO MELLADO FELIX</t>
  </si>
  <si>
    <t>JOSE ROLDAN ZAMORA VALDEZ</t>
  </si>
  <si>
    <t>JOSUE GIL VALDEZ</t>
  </si>
  <si>
    <t>JOYERIA LUNAS</t>
  </si>
  <si>
    <t>JUAN ANTONIO VALDEZ MENDOZA</t>
  </si>
  <si>
    <t>JUAN CARLOS BERRONES ESCOBAR</t>
  </si>
  <si>
    <t>JUAN CARLOS GONZALEZ OCHOA</t>
  </si>
  <si>
    <t>JUAN CARLOS PEREZ FLORES</t>
  </si>
  <si>
    <t>JUAN CARLOS SOLTERO ANDRADE</t>
  </si>
  <si>
    <t>JUAN DIEGO GUZMAN TORRES</t>
  </si>
  <si>
    <t>JUAN EUMIR FLORES SOTELO</t>
  </si>
  <si>
    <t>JUAN LUIS MEDINA DEL CASTILLO</t>
  </si>
  <si>
    <t>JUAN MIGUEL MILLAN GOMEZ LLANOS</t>
  </si>
  <si>
    <t>JUAN PABLO BARCENA GARCIA</t>
  </si>
  <si>
    <t>JUAN PABLO ESTRELLA GASTELUM</t>
  </si>
  <si>
    <t>JUAN PABLO GREGORIO PALOS VALENCIA</t>
  </si>
  <si>
    <t>JUEGOS Y EXPERIENCIAS EDUCATIVAS</t>
  </si>
  <si>
    <t>JULIA YEPIZ LAGARDA</t>
  </si>
  <si>
    <t>JULIETA CELESTE MORENO SANDOVAL</t>
  </si>
  <si>
    <t>JULIO CESAR DE LEON BELTRAN</t>
  </si>
  <si>
    <t>JULIO CESAR SUAREZ GAXIOLA</t>
  </si>
  <si>
    <t>JUMPSTREET SALTILLO</t>
  </si>
  <si>
    <t>JUYEON JEON</t>
  </si>
  <si>
    <t>K-4YOU</t>
  </si>
  <si>
    <t>KABANDU ORIGENES</t>
  </si>
  <si>
    <t>KALKOMACHINES</t>
  </si>
  <si>
    <t>KARELY CAMPOS ROMAN</t>
  </si>
  <si>
    <t>KAREN JANETH GASPAR GAXIOLA</t>
  </si>
  <si>
    <t>KARINA ALMARAZ ROCIO</t>
  </si>
  <si>
    <t>KARINA DENISSE DIAZ ROJAS</t>
  </si>
  <si>
    <t>KARINA ROBLES VALDEZ</t>
  </si>
  <si>
    <t>KARLA DAYHANA DEL REAL MARQUEZ</t>
  </si>
  <si>
    <t>KARLA GETZEMANY CORTES RAMOS</t>
  </si>
  <si>
    <t>KARLA IARELY IZABAL ZAZUETA</t>
  </si>
  <si>
    <t>KARLA JULIETA VALENZUELA ZUÑIGA</t>
  </si>
  <si>
    <t>KARLA MARIA CABRERA PALOMO</t>
  </si>
  <si>
    <t>KARLA NARANJO CONTRERAS</t>
  </si>
  <si>
    <t>KATIA JANNISE PAYAN PEREZ</t>
  </si>
  <si>
    <t>KEEA P Y C</t>
  </si>
  <si>
    <t>KEITH MONTAÑO QUINTERO</t>
  </si>
  <si>
    <t>KENVER</t>
  </si>
  <si>
    <t>KERENA RIVERA HERNANDEZ</t>
  </si>
  <si>
    <t>KEVIN EDUARDO NAVARRETE CASTRO</t>
  </si>
  <si>
    <t>KIOSKO SNACKS</t>
  </si>
  <si>
    <t>KISHA BEAUTY SUPPLY</t>
  </si>
  <si>
    <t>KRISTYAN RICARDO POCEROS MAGAÑA</t>
  </si>
  <si>
    <t>KSMV CAPITAL</t>
  </si>
  <si>
    <t>LA CHIMENEA PAN Y HELADO</t>
  </si>
  <si>
    <t>LA FORTALEZA ASSET</t>
  </si>
  <si>
    <t>LA VERDULERIA DE TIJUANA</t>
  </si>
  <si>
    <t>LA VERDULERIA DE TIJUANA S DE RL DE CV</t>
  </si>
  <si>
    <t>LATAMGYM</t>
  </si>
  <si>
    <t>LAURA ELENA LAGARDA COTA</t>
  </si>
  <si>
    <t>LAURA MATILDE SASTRE GUTIERREZ</t>
  </si>
  <si>
    <t>LAURA OLIVIA SANCHEZ DELGADO</t>
  </si>
  <si>
    <t>LAZARA IVETH QUIROZ GONZALEZ</t>
  </si>
  <si>
    <t>LENTES GALILEO</t>
  </si>
  <si>
    <t>LEONARDO ALONSO DOMINGUEZ GALLARDO</t>
  </si>
  <si>
    <t>LEONARDO ENRIQUE DE LA MORA BEHAR</t>
  </si>
  <si>
    <t>LEONARDO SAMUEL DEL VALLE GARCIA</t>
  </si>
  <si>
    <t>LEONELA VALLEJO VEGA</t>
  </si>
  <si>
    <t>LEVI STRAUSS DE MEXICO</t>
  </si>
  <si>
    <t>LG ELECTRONICS MEXICO</t>
  </si>
  <si>
    <t>LIBRERIAS GONVILL</t>
  </si>
  <si>
    <t>LISSETTE MARGARITA REYNOSO BENAVIDES</t>
  </si>
  <si>
    <t>LIUSMILA CUTIÑO PALOMARES</t>
  </si>
  <si>
    <t>LIZ ADRIANA DOMINGUEZ GALLARDO</t>
  </si>
  <si>
    <t>LIZBETH BOJORQUEZ SANCHEZ</t>
  </si>
  <si>
    <t>LIZZETTE NAYELI AYON GUZMAN</t>
  </si>
  <si>
    <t>LOB FOOTWEAR</t>
  </si>
  <si>
    <t>LOPE RUBEN CASTRO MATTEOTTI</t>
  </si>
  <si>
    <t>LORENA ACOSTA MUÑOZ</t>
  </si>
  <si>
    <t>LORENA HIGUERA VAZQUEZ</t>
  </si>
  <si>
    <t>LORENA MARTHA PAULINA IBARRA RUIZ</t>
  </si>
  <si>
    <t>LOURDES GEORGINA TOVAR CANAVATI</t>
  </si>
  <si>
    <t>LOURDES GEOVANA VALENZUELA LOMELI</t>
  </si>
  <si>
    <t>LOVISA RETAIL MEXICO</t>
  </si>
  <si>
    <t>LSG CLINICOS</t>
  </si>
  <si>
    <t>LUCRECIA SOLANO MARTINO</t>
  </si>
  <si>
    <t>LUIS ADRIAN VEGA MILLER</t>
  </si>
  <si>
    <t>LUIS ALEJANDRO LOPEZ VILLAVICENCIO</t>
  </si>
  <si>
    <t>LUIS ALFONSO GODINEZ ALCAZAR</t>
  </si>
  <si>
    <t>LUIS ALFONSO MEZA MERCADO</t>
  </si>
  <si>
    <t>LUIS ALFREDO MEXIA SAINZ</t>
  </si>
  <si>
    <t>LUIS CARLOS CASTRO LAU</t>
  </si>
  <si>
    <t>LUIS ENRIQUE CASTRO TAPIA</t>
  </si>
  <si>
    <t>LUIS ENRIQUE WRIGHT MARTINEZ</t>
  </si>
  <si>
    <t>LUIS FERNANDO MEDINA SOLARTE</t>
  </si>
  <si>
    <t>LUIS MANUEL HERNANDEZ CUNNINGHAM</t>
  </si>
  <si>
    <t>LUIS MELECIO MEDINA PORTILLO</t>
  </si>
  <si>
    <t>LUIS RAMSES ORTEGA DURAZO</t>
  </si>
  <si>
    <t>LUIS RODRIGO DAVILA GONZALEZ</t>
  </si>
  <si>
    <t>LUZ LETICIA LOZA PEREZ</t>
  </si>
  <si>
    <t>LUZ MARIA PEREZ PEREZ</t>
  </si>
  <si>
    <t>MA. GRACIELA VAZQUEZ GARCIA</t>
  </si>
  <si>
    <t>MACRINS CONSTRUCCION, GESTORIA Y REMODELACION</t>
  </si>
  <si>
    <t>MADIAN DEL RIO GUADARRAMA</t>
  </si>
  <si>
    <t>MAGDALENA ESTEBAN MARTINEZ</t>
  </si>
  <si>
    <t>MAJA SPORTWEAR</t>
  </si>
  <si>
    <t>MAJO PROMOCIONES</t>
  </si>
  <si>
    <t>MANUEL CELEDONIO GUTIERREZ CERVANTES</t>
  </si>
  <si>
    <t>MANUEL RODARTE MORALES</t>
  </si>
  <si>
    <t>MARCELO BURGOIN COTA</t>
  </si>
  <si>
    <t>MARCO ANTONIO GUERRERO LAOS</t>
  </si>
  <si>
    <t>MARCO ANTONIO SOLORIO ARIAS</t>
  </si>
  <si>
    <t>MARGARITA SOLEDAD LLAMAS ROBLES</t>
  </si>
  <si>
    <t>MARIA CRISTINA ROQUE MATUS</t>
  </si>
  <si>
    <t>MARIA DE LOS ANGELES CALIXTO MARTINEZ</t>
  </si>
  <si>
    <t>MARIA DE LOURDES MENDOZA FLORES</t>
  </si>
  <si>
    <t>MARIA DEL CARMEN SEPULVEDA HIGUERA</t>
  </si>
  <si>
    <t>MARIA DEL CORAL GONZALEZ GOMEZ</t>
  </si>
  <si>
    <t>MARIA DEL PILAR MONARREZ QUINTERO</t>
  </si>
  <si>
    <t>MARIA DEL SOCORRO NAVARRO RUIZ</t>
  </si>
  <si>
    <t>MARIA DEL SOCORRO ORNELAS CRUZ</t>
  </si>
  <si>
    <t>MARIA DENIS ALFARO GONZALEZ</t>
  </si>
  <si>
    <t>MARIA ELENA LIZARRAGA TIRADO</t>
  </si>
  <si>
    <t>MARIA FERNANDA LOPEZ GARCIA</t>
  </si>
  <si>
    <t>MARIA ISABEL GUADALUPE MORALES OCHOA</t>
  </si>
  <si>
    <t>MARIA JOSE ORTEGA CAZAREZ</t>
  </si>
  <si>
    <t>MARIA LAURA RIVERA HINOJOSA</t>
  </si>
  <si>
    <t>MARIANA CARDENAS ABEDROP</t>
  </si>
  <si>
    <t>MARIBEL JAIME KING</t>
  </si>
  <si>
    <t>MARICELA DEL VALLE REYES</t>
  </si>
  <si>
    <t>MARIIA BOIKO</t>
  </si>
  <si>
    <t>MARINA GUADALUPE ESPINOZA BERNAL</t>
  </si>
  <si>
    <t>MARINA LARA ALCARAZ</t>
  </si>
  <si>
    <t>MARIO ALBERTO ANDRADE ZAMBADA</t>
  </si>
  <si>
    <t>MARIO ALBERTO MORENO NAVARRO</t>
  </si>
  <si>
    <t>MARIO ALBERTO NAVA PICAZO</t>
  </si>
  <si>
    <t>MARIO ALHOMAR MURILLO GARCIA</t>
  </si>
  <si>
    <t>MARIO CABALLERO GARCIA</t>
  </si>
  <si>
    <t>MARIO FRANCISCO CASTRO GUTIERREZ</t>
  </si>
  <si>
    <t>MARIO REYES CHAVEZ</t>
  </si>
  <si>
    <t>MARISARCOS</t>
  </si>
  <si>
    <t>MARISOL RUVALCABA ORTIZ</t>
  </si>
  <si>
    <t>MARITZA GUMERCINDO FRANCISCO</t>
  </si>
  <si>
    <t>MARIVEL LAGARDA RAMOS</t>
  </si>
  <si>
    <t>MARLENE CARRILLO OSORIO</t>
  </si>
  <si>
    <t>MARTHA CAZARES MARTINEZ</t>
  </si>
  <si>
    <t>MARTHA LYDIA BARRAZA RUBIO</t>
  </si>
  <si>
    <t>MARTHA PATRICIA FLORES ARCINIEGA</t>
  </si>
  <si>
    <t>MARTIN AREL ECHEVERRIA CHAVEZ</t>
  </si>
  <si>
    <t>MARTIN DIONISIO DE JESUS</t>
  </si>
  <si>
    <t>MARY CARMEN REYES FERNANDEZ</t>
  </si>
  <si>
    <t>MARY CRUZ SOTO MORALES</t>
  </si>
  <si>
    <t>MARY PATRICIA AVILA MAGAÑA</t>
  </si>
  <si>
    <t>MASCOTAS Y COMPAÑIA</t>
  </si>
  <si>
    <t>MASSIMO DUTTI MEXICO</t>
  </si>
  <si>
    <t>MASSIMO DUTTI MEXICO SA DE CV</t>
  </si>
  <si>
    <t>MAX BEAUTY SUPPLY</t>
  </si>
  <si>
    <t>MAXIMO ALEJANDRO MONTOYA TORRONTEGUI</t>
  </si>
  <si>
    <t>MAXIVA</t>
  </si>
  <si>
    <t>MAYRA ELIZABETH ANAYA CAMARGO</t>
  </si>
  <si>
    <t>MAYRA FERNANDA JACOBO ALTAMIRANO</t>
  </si>
  <si>
    <t>ME INTERESA AYUDAR A UN GATITO</t>
  </si>
  <si>
    <t>MEDERI LAB</t>
  </si>
  <si>
    <t>MEDIASOL LINGWEI</t>
  </si>
  <si>
    <t>MEGA PRENSA DE SINALOA</t>
  </si>
  <si>
    <t>MELANY ISABEL MARQUEZ MONTIEL</t>
  </si>
  <si>
    <t>MELISA NAJAR CASILLAS</t>
  </si>
  <si>
    <t>MERCANTILIZADORA EDYEDY</t>
  </si>
  <si>
    <t>MESON PRINCIPAL DEL NORTE</t>
  </si>
  <si>
    <t>MG WIRELESS COMERCIALIZADORA</t>
  </si>
  <si>
    <t>MIAOHUA ZHENG</t>
  </si>
  <si>
    <t>MICHES ROSARITO SA DE CV</t>
  </si>
  <si>
    <t>MIGUEL ANGEL ALVAREZ CARRILLO</t>
  </si>
  <si>
    <t>MIGUEL ANGEL CHAVEZ BAUTISTA</t>
  </si>
  <si>
    <t>MIGUEL ANGEL GARCIA CHAVEZ</t>
  </si>
  <si>
    <t>MIGUEL ANGEL MARTINEZ RICARDO</t>
  </si>
  <si>
    <t>MIGUEL ANGEL RAMOS CARVAJAL</t>
  </si>
  <si>
    <t>MIGUEL ANGEL SOLIS MACIEL</t>
  </si>
  <si>
    <t>MINERVA CARDONA HERNANDEZ</t>
  </si>
  <si>
    <t>MINERVA GUADALUPE PINTOR HAROS</t>
  </si>
  <si>
    <t>MINERVA MARTINEZ CAMILO</t>
  </si>
  <si>
    <t>MINGHONG XU</t>
  </si>
  <si>
    <t>MINISO MEXICO</t>
  </si>
  <si>
    <t>MIRAI PASEO VILLALTA</t>
  </si>
  <si>
    <t>MIREYA NUÑEZ ZUÑIGA</t>
  </si>
  <si>
    <t>MIRNA GUADALUPE OCHOA MEDINA</t>
  </si>
  <si>
    <t>MISHELL ALEJANDRO BELMAREZ MORALES</t>
  </si>
  <si>
    <t>MODAFIEL DE MEXICO</t>
  </si>
  <si>
    <t>MODAS Y ACCESORIOS INTERNACIONALES MAV'S</t>
  </si>
  <si>
    <t>MODATELAS</t>
  </si>
  <si>
    <t>MODINSA MEXICO</t>
  </si>
  <si>
    <t>MOLDEARTE OPERADORA DE SPA S DE RL DE CV</t>
  </si>
  <si>
    <t>MOLINO VILLAFAÑE</t>
  </si>
  <si>
    <t>MOMA ESPACIOS RECREATIVOS</t>
  </si>
  <si>
    <t>MONICA BERENICE ARREOLA ELIZALDE</t>
  </si>
  <si>
    <t>MOTORES HIKE</t>
  </si>
  <si>
    <t>MOTORES SUSTENTABLES DEL NOROESTE</t>
  </si>
  <si>
    <t>MR PAMPAS CULIACAN SA DE CV</t>
  </si>
  <si>
    <t>MR PAMPAS SALTILLO COAHUILA</t>
  </si>
  <si>
    <t>MUEBLERIAS VALDEZ BALUARTE</t>
  </si>
  <si>
    <t>MULTIBRAND OUTLET STORES</t>
  </si>
  <si>
    <t>NANCI WENDOLIN LOPEZ SANDOVAL</t>
  </si>
  <si>
    <t>NANCY JOANA HUERTA MARROQUIN</t>
  </si>
  <si>
    <t>NATUVIT 2.0</t>
  </si>
  <si>
    <t>NAYELI ZERAT HERRERA HURTADO</t>
  </si>
  <si>
    <t>NEGOCIACION INDUSTRIAL CARVID SA DE CV</t>
  </si>
  <si>
    <t>NEPTUNO CINCO</t>
  </si>
  <si>
    <t>NESTOR ALBERTO JUAREZ GARCIA</t>
  </si>
  <si>
    <t>NETSTAL MAQUINAS</t>
  </si>
  <si>
    <t>NIDIA ORIGEL VILLALOBOS</t>
  </si>
  <si>
    <t>NOE GARCIA COVARRUBIAS</t>
  </si>
  <si>
    <t>NOE MARTIN JUAREZ GONZALEZ</t>
  </si>
  <si>
    <t>NOE VALENTINO BELTRAN ARMENTA</t>
  </si>
  <si>
    <t>NORDENHAUS</t>
  </si>
  <si>
    <t>NORMA JACQUELINE ALVAREZ BARRAGAN</t>
  </si>
  <si>
    <t>NORMA LISBET MARTINEZ PEREZ</t>
  </si>
  <si>
    <t>NORTECHMEDICAL</t>
  </si>
  <si>
    <t>NOVA I&amp;E</t>
  </si>
  <si>
    <t>NUDO CONSULTORES</t>
  </si>
  <si>
    <t>NUEVA ELEKTRA DEL MILENIO</t>
  </si>
  <si>
    <t>NUEVA WAL MART DE MEXICO</t>
  </si>
  <si>
    <t>NUTRISA</t>
  </si>
  <si>
    <t>NUVIA NAYELI LEGASPI BERNAL</t>
  </si>
  <si>
    <t>OCTAVIO ESCUTIA GONZALEZ</t>
  </si>
  <si>
    <t>OCTAVIO FRANCISCO ESCUTIA DEL LLANO</t>
  </si>
  <si>
    <t>OCTAVIO PAZ NAVARRO LIZARRAGA</t>
  </si>
  <si>
    <t>OFELIA ELIZABETH OCHOA ROMERO</t>
  </si>
  <si>
    <t>OFFICE DEPOT DE MEXICO</t>
  </si>
  <si>
    <t>OLGA ELENA MOLINA ACEDO</t>
  </si>
  <si>
    <t>OLVIA LORENA MEZA ZEPEDA</t>
  </si>
  <si>
    <t>OMAR HERNANDEZ ZUÑIGA</t>
  </si>
  <si>
    <t>OPERACION TIMON</t>
  </si>
  <si>
    <t>OPERADORA DE ACCESORIOS</t>
  </si>
  <si>
    <t>OPERADORA DE ALIMENTOS CON ORIGENES DE MEXICO</t>
  </si>
  <si>
    <t>OPERADORA DE BUENAS VIBRAS</t>
  </si>
  <si>
    <t>OPERADORA DE NEGOCIOS DURASIN</t>
  </si>
  <si>
    <t>OPERADORA DE NEGOCIOS Y FRANQUICIAS SEMA SA DE CV</t>
  </si>
  <si>
    <t>OPERADORA DE SITES MEXICANOS</t>
  </si>
  <si>
    <t>OPERADORA DEE</t>
  </si>
  <si>
    <t>OPERADORA FACTORY</t>
  </si>
  <si>
    <t>OPERADORA FAN DEL NOROESTE SA DE CV</t>
  </si>
  <si>
    <t>OPERADORA FARMACEUTICA DE BAJA CALIFORNIA</t>
  </si>
  <si>
    <t>OPERADORA LOB</t>
  </si>
  <si>
    <t>OPERADORA MEGADICA</t>
  </si>
  <si>
    <t>OPERADORA MINORISTA LONDRES</t>
  </si>
  <si>
    <t>OPERADORA PARA LAS MEJORES OPTICAS DE MEXICO</t>
  </si>
  <si>
    <t>OPERADORA TAGGART</t>
  </si>
  <si>
    <t>OPERADORA TDP</t>
  </si>
  <si>
    <t>OPERADORA Y PROMOTORA DE DISEÑOS</t>
  </si>
  <si>
    <t>OPTICA BO</t>
  </si>
  <si>
    <t>OPTICAS DEVLYN</t>
  </si>
  <si>
    <t>ORGANIZACION EMPRESARIAL DE ALIMENTOS SA DE CV</t>
  </si>
  <si>
    <t>ORGULLO TIJUANENSE</t>
  </si>
  <si>
    <t>ORLANDO ISRAEL ZAVALETA BOJORQUEZ</t>
  </si>
  <si>
    <t>OSCAR ENRIQUE MADRID FELIX</t>
  </si>
  <si>
    <t>OSCAR KARIM URIAS FELIX</t>
  </si>
  <si>
    <t>OSCAR RENE DIAZ BARAJAS</t>
  </si>
  <si>
    <t>OSCAR VALENZUELA BARRERA</t>
  </si>
  <si>
    <t>OSCAR VAZQUEZ SANCHEZ</t>
  </si>
  <si>
    <t>OUTLET DEL CALZADO</t>
  </si>
  <si>
    <t>OYSHO MEXICO</t>
  </si>
  <si>
    <t>OYSHO MEXICO SA DE CV</t>
  </si>
  <si>
    <t>PABACANO</t>
  </si>
  <si>
    <t>PABELLON GAS</t>
  </si>
  <si>
    <t>PACIFICO CONSTRUYE</t>
  </si>
  <si>
    <t>PANDORA JEWELRY MEXICO</t>
  </si>
  <si>
    <t>PANIMEX DE BAJA CALIFORNIA S DE RL DE CV</t>
  </si>
  <si>
    <t>PAOLA MELISSA MENDIVIL LOPEZ</t>
  </si>
  <si>
    <t>PAOLA NOHEMI RANGEL GARCIA</t>
  </si>
  <si>
    <t>PAOLA VERDUSCO ACOSTA</t>
  </si>
  <si>
    <t>PAOLO'S COSMETICOS</t>
  </si>
  <si>
    <t>PAPELERIA BREVA</t>
  </si>
  <si>
    <t>PARAISO CORAL</t>
  </si>
  <si>
    <t>PARIS AUTOMOTRIZ</t>
  </si>
  <si>
    <t>PARK AUTOLAVADO</t>
  </si>
  <si>
    <t>PASEO LAS RIBERAS</t>
  </si>
  <si>
    <t>PASTELERIA PANAMA DE MAZATLAN</t>
  </si>
  <si>
    <t>PASTELERIAS PANAMA DE CULIACAN</t>
  </si>
  <si>
    <t>PATRICIA BELTRAN PEÑA</t>
  </si>
  <si>
    <t>PATRICIA FAVIOLA PEÑA RUVALCABA</t>
  </si>
  <si>
    <t>PATRICIA IBETH ANAYA CORNEJO</t>
  </si>
  <si>
    <t>PATRICIA MARTINEZ SIFUENTES</t>
  </si>
  <si>
    <t>PEDRO BARBA OCAMPO</t>
  </si>
  <si>
    <t>PEDRO DE JESUS MANCILLAS PONCE</t>
  </si>
  <si>
    <t>PEDRO FELIPE EGUIA IMPERIAL</t>
  </si>
  <si>
    <t>PEGASO PCS</t>
  </si>
  <si>
    <t>PENINSULA MOTORS SA DE CV</t>
  </si>
  <si>
    <t>PERFUMES Y ESENCIAS FRAICHE</t>
  </si>
  <si>
    <t>PERGIL ASESORES FINANCIEROS</t>
  </si>
  <si>
    <t>PERLA MARQUEZ LOPEZ</t>
  </si>
  <si>
    <t>PIGGIES RESTAURANTES</t>
  </si>
  <si>
    <t>PIMOVAN DE MEXICO</t>
  </si>
  <si>
    <t>PINTURAS PEVI</t>
  </si>
  <si>
    <t>PINTURAS Y ACABADOS DEL PARQUE</t>
  </si>
  <si>
    <t>PIZZAS DE TAMAULIPAS</t>
  </si>
  <si>
    <t>PIZZETA</t>
  </si>
  <si>
    <t>PLANEACION Y DESARROLLO DE SISTEMAS ESPECIALES</t>
  </si>
  <si>
    <t>PLUS MAQUINAS DE ENTRETENIMIENTO</t>
  </si>
  <si>
    <t>POLIMEROS ADHESIVOS Y DERIVADOS</t>
  </si>
  <si>
    <t>POLLO BRAVO</t>
  </si>
  <si>
    <t>POPUP DESIGN</t>
  </si>
  <si>
    <t>POTENCIADORA DE DESARROLLOS INMOBILIARIOS</t>
  </si>
  <si>
    <t>PREMIER AUTOCOUNTRY</t>
  </si>
  <si>
    <t>PREPARACION DE ALIMENTOS Y BEBIDAS YHASS S DE RL DE CV</t>
  </si>
  <si>
    <t>PRIMEWIRELESS HOLDINGS</t>
  </si>
  <si>
    <t>PRIMITIVO PUBLICIDAD</t>
  </si>
  <si>
    <t>PRMEDICA GLOBAL INC</t>
  </si>
  <si>
    <t>PRMEDICA LOS CABOS INC SA DE CV</t>
  </si>
  <si>
    <t>PROCURADURIA DE LA DEFENSA DEL CONTRIBUYENTE</t>
  </si>
  <si>
    <t>PRODUCTOS ALIMENTICIOS LA MODERNA</t>
  </si>
  <si>
    <t>PRODUCTOS CHATA</t>
  </si>
  <si>
    <t>PRODUCTOS DEPORTIVOS DE OCCIDENTE</t>
  </si>
  <si>
    <t>PRODUCTOS FARMACEUTICOS</t>
  </si>
  <si>
    <t>PRODUCTOS LYT</t>
  </si>
  <si>
    <t>PROINMDELSUR</t>
  </si>
  <si>
    <t>PROMOCIONES INMOBILIARIAS NATURISTAS</t>
  </si>
  <si>
    <t>PROMOTORA BAJA SUB</t>
  </si>
  <si>
    <t>PROMOTORA DE DEPORTES Y ESPECTACULOS</t>
  </si>
  <si>
    <t>PROMOTORA DEPORTIVA ACTIVE</t>
  </si>
  <si>
    <t>PROMOTORA SINALOENSE DE VIVIENDA</t>
  </si>
  <si>
    <t>PROMOTORES ENLIEN</t>
  </si>
  <si>
    <t>PRO-MUJER CON CANCER DE SINALOA</t>
  </si>
  <si>
    <t>PROYECTOS DE AZUCAR</t>
  </si>
  <si>
    <t>PUB LOCAL</t>
  </si>
  <si>
    <t>PUBLICO EN GENERAL CBA</t>
  </si>
  <si>
    <t>PUBLICO EN GENERAL P2K</t>
  </si>
  <si>
    <t>PUBLICO EN GENERAL PC</t>
  </si>
  <si>
    <t>PUBLICO EN GENERAL PE</t>
  </si>
  <si>
    <t>PUBLICO EN GENERAL PLP</t>
  </si>
  <si>
    <t>PUBLICO EN GENERAL PPB</t>
  </si>
  <si>
    <t>PUBLICO EN GENERAL PRG</t>
  </si>
  <si>
    <t>PUBLICO EN GENERAL PSI</t>
  </si>
  <si>
    <t>PUBLICO EN GENERAL PSP</t>
  </si>
  <si>
    <t>PUBLICO EN GENERAL PV</t>
  </si>
  <si>
    <t>PULL &amp; BEAR MEXICO</t>
  </si>
  <si>
    <t>PULL &amp; BEAR MEXICO SA DE CV</t>
  </si>
  <si>
    <t>QAR DEL NOROESTE</t>
  </si>
  <si>
    <t>QINGFENG YU</t>
  </si>
  <si>
    <t>QIONGFANG HUANG</t>
  </si>
  <si>
    <t>QPN MONTERREY</t>
  </si>
  <si>
    <t>QUIMI-INSUMOS</t>
  </si>
  <si>
    <t>R TORRES</t>
  </si>
  <si>
    <t>RADIOMOVIL DIPSA</t>
  </si>
  <si>
    <t>RAFAEL ISAAC GALVEZ PRADO</t>
  </si>
  <si>
    <t>RAFAEL MENDOZA ZAMORA</t>
  </si>
  <si>
    <t>RAFAEL VEA VEA</t>
  </si>
  <si>
    <t>RAMON GUZMAN TORRES</t>
  </si>
  <si>
    <t>RAMOS ARIZPE MANUFACTURING</t>
  </si>
  <si>
    <t>KUADRO CBA</t>
  </si>
  <si>
    <t>RAPUZEL ZATARAIN SA DE CV</t>
  </si>
  <si>
    <t>RAUL ARNOLDO HERNANDEZ BARRAGAN</t>
  </si>
  <si>
    <t>RAY WILSON FITNESS MEXICALI</t>
  </si>
  <si>
    <t>RAY WILSON FITNESS VILLALTA</t>
  </si>
  <si>
    <t>RAYMUNDO GONZALEZ MORALES</t>
  </si>
  <si>
    <t>RD SENDAI</t>
  </si>
  <si>
    <t>REBECA DENISS SIMONSON</t>
  </si>
  <si>
    <t>RECICLADORA BAJA</t>
  </si>
  <si>
    <t>RED DE COMUNICACIONES LIBERTAD</t>
  </si>
  <si>
    <t>REDYTEL</t>
  </si>
  <si>
    <t>REENCUADRE</t>
  </si>
  <si>
    <t>RENATA DONAJI BETANCOURT LOAIZA</t>
  </si>
  <si>
    <t>RENE HERNANDEZ TINAJERO</t>
  </si>
  <si>
    <t>REPLAY ARCADES</t>
  </si>
  <si>
    <t>REPLAY DEL NOROESTE FRANQUICIAS</t>
  </si>
  <si>
    <t>RESTAURANT CHEWINS</t>
  </si>
  <si>
    <t>RESTAURANTES BOTETOS</t>
  </si>
  <si>
    <t>RESTAURANTES CHICS</t>
  </si>
  <si>
    <t>RESTAURANTES MEDITERRANEOS</t>
  </si>
  <si>
    <t>REUVEN ROZENMAN</t>
  </si>
  <si>
    <t>RG BEBIDAS Y ALIMENTOS</t>
  </si>
  <si>
    <t>RICARDO RAUL CAMACHO SALINAS</t>
  </si>
  <si>
    <t>RICARDO VARGAS ACOSTA</t>
  </si>
  <si>
    <t>RICARDO VIDAL PARAMO</t>
  </si>
  <si>
    <t>RIGOBERTO MELENDREZ CASILLAS</t>
  </si>
  <si>
    <t>RIJK ZWAAN MEXICO</t>
  </si>
  <si>
    <t>RIVEGA INMOBILIARIA</t>
  </si>
  <si>
    <t>ROBERTO CABELLO ELIZONDO</t>
  </si>
  <si>
    <t>ROBERTO FELIX CORRAL COVARRUBIAS</t>
  </si>
  <si>
    <t>ROBERTO OSEGUERA OSEGUERA</t>
  </si>
  <si>
    <t>ROCIO GABRIELA GONZALEZ RUELAS</t>
  </si>
  <si>
    <t>ROCIO MARTINEZ PEREZ</t>
  </si>
  <si>
    <t>RODOLFO CARRILLO PARTIDA</t>
  </si>
  <si>
    <t>RODOLFO DE JESUS GARCIA LIZARRAGA</t>
  </si>
  <si>
    <t>ROJAS AYALA ERIKA</t>
  </si>
  <si>
    <t>ROLANDO CISNEROS CORTES</t>
  </si>
  <si>
    <t>ROMAN ALBERTO CEPEDA GONZALEZ</t>
  </si>
  <si>
    <t>ROSA BRISEIDA AMARILLAS GASTELUM</t>
  </si>
  <si>
    <t>ROSA MARIA PEREZ NUÑEZ</t>
  </si>
  <si>
    <t>ROSALIA DOLORES LOPEZ BARRAZA</t>
  </si>
  <si>
    <t>ROSALINA ALVARADO LARES</t>
  </si>
  <si>
    <t>ROSARIO LIZETH MARISCAL RUELAS</t>
  </si>
  <si>
    <t>ROSARIO SICAIROS CASTILLO</t>
  </si>
  <si>
    <t>ROXANA GURROLA DURAZO</t>
  </si>
  <si>
    <t>ROXANA HIDALGO ALDAPA</t>
  </si>
  <si>
    <t>ROYAL ASSET DIVERSIFICATION</t>
  </si>
  <si>
    <t>RUBA SERVICIOS SA DE CV</t>
  </si>
  <si>
    <t>RUBEN ARMANDO VALENZUELA REYES</t>
  </si>
  <si>
    <t>RUBEN MANUEL SAÑUDO GASTELUM</t>
  </si>
  <si>
    <t>S &amp; J HAIR CO</t>
  </si>
  <si>
    <t>SABOR TAPATIO</t>
  </si>
  <si>
    <t>SAFADOS</t>
  </si>
  <si>
    <t>SALVADOR GONZALEZ BUSTAMANTE</t>
  </si>
  <si>
    <t>SALVADOR ISAI RUIZ SOTO</t>
  </si>
  <si>
    <t>SALVADOR RODRIGUEZ CARRILLO</t>
  </si>
  <si>
    <t>SAMUEL LEON ZUÑIGA</t>
  </si>
  <si>
    <t>SAMUEL RODRIGUEZ HERNANDEZ</t>
  </si>
  <si>
    <t>SAN FELIPE SANTIAGO Y CONSTRUCCIONES</t>
  </si>
  <si>
    <t>SAN FELIPE Y SANTIAGO CONSTRUCCIONES</t>
  </si>
  <si>
    <t>SANBORN HERMANOS</t>
  </si>
  <si>
    <t>SANDRA CONSTANZA QUEZADA NEIRA</t>
  </si>
  <si>
    <t>SANDRA LUZ FIERRO VALENCIA</t>
  </si>
  <si>
    <t>SANDRA MILENA DIAZ ROMERO</t>
  </si>
  <si>
    <t>SANDRA PAULINA ESCAMILLA SOTO</t>
  </si>
  <si>
    <t>SARA NOHEMI RODRIGUEZ QUIROGA</t>
  </si>
  <si>
    <t>SAVAPRE</t>
  </si>
  <si>
    <t>SBCBSG COMPANY DE MEXICO</t>
  </si>
  <si>
    <t>SCOTIABANK INVERLAT</t>
  </si>
  <si>
    <t>SE ORIGINAL SA DE CV</t>
  </si>
  <si>
    <t>SEAN ERIC ALVAREZ</t>
  </si>
  <si>
    <t>SEDESMA</t>
  </si>
  <si>
    <t>SEGUTIENDA</t>
  </si>
  <si>
    <t>SEPSA</t>
  </si>
  <si>
    <t>SERGIO HALLAL NARCIO</t>
  </si>
  <si>
    <t>SERGIO LUIS ENRIQUE VAZQUEZ FLORES</t>
  </si>
  <si>
    <t>SERGIO LUIS PERALTA PEREZ</t>
  </si>
  <si>
    <t>SERVICIOS ADMINISTRATIVOS OSLO</t>
  </si>
  <si>
    <t>SERVICIOS AL SUPER BETA</t>
  </si>
  <si>
    <t>SERVICIOS AL SUPER BETA SA DE CV</t>
  </si>
  <si>
    <t>SERVICIOS DE SALUD VISUAL DE COAHUILA</t>
  </si>
  <si>
    <t>SERVICIOS INMOBILIARIOS ALSEA</t>
  </si>
  <si>
    <t>SERVICIOS TURISTICOS DE SALTILLO</t>
  </si>
  <si>
    <t>SERVICIOS Y FRANQUICIAS DEL NOROESTE</t>
  </si>
  <si>
    <t>SERVI-CONO</t>
  </si>
  <si>
    <t>SHARON BEAUTY SUPPLY ROSARITO</t>
  </si>
  <si>
    <t>SHENG HUANG</t>
  </si>
  <si>
    <t>SIEMENS</t>
  </si>
  <si>
    <t>SILVIA HERNANDEZ ORTEGA</t>
  </si>
  <si>
    <t>SILVIA LOAIZA RODRIGUEZ</t>
  </si>
  <si>
    <t>SINDICATO UNICO DE TRABAJADORES DE LA UAS</t>
  </si>
  <si>
    <t>SISTEMA MI SALUD SA DE CV</t>
  </si>
  <si>
    <t>SISTEMAS EMPRESARIALES DABO</t>
  </si>
  <si>
    <t>SOBRE OBJETIVO</t>
  </si>
  <si>
    <t>SOCIEDAD ARTISTICA SINALOENSE</t>
  </si>
  <si>
    <t>SOCIEDAD BOTANICA Y ZOOLOGICA DE SINALOA</t>
  </si>
  <si>
    <t>SOCIEDAD PANAMERICANA DE ESTUDIOS EMPRESARIALES</t>
  </si>
  <si>
    <t>SOFIA MARGARITA RODRIGUEZ GALINDO</t>
  </si>
  <si>
    <t>SOFOM INBURSA S.A. DE C.V. SOFOM, E.R., GRUPO FINANCIERO INBURSA</t>
  </si>
  <si>
    <t>SOL Y AHORRO SUSTENTABLE</t>
  </si>
  <si>
    <t>SOLMOV SA DE CV</t>
  </si>
  <si>
    <t>SOLUCIONES DENTALES ESPECIALIZADAS DEL PACIFICO</t>
  </si>
  <si>
    <t>SPEAK ON</t>
  </si>
  <si>
    <t>STANDARD FOODS</t>
  </si>
  <si>
    <t>STEPHANIA SANCHEZ WOLFSKILL</t>
  </si>
  <si>
    <t>STRADIVARIUS MEXICO</t>
  </si>
  <si>
    <t>STRADIVARIUS MEXICO SA DE CV</t>
  </si>
  <si>
    <t>SUBURBIA</t>
  </si>
  <si>
    <t>SUISSE INTERNATIONAL GROUP</t>
  </si>
  <si>
    <t>SUMINISTROS Y COMERCIALIZADORA DE MERCANCIA GENERALIZADA S D</t>
  </si>
  <si>
    <t>SUNGLASS HUT DE MEXICO</t>
  </si>
  <si>
    <t>SUPER COLCHONES</t>
  </si>
  <si>
    <t>SUPRACARE</t>
  </si>
  <si>
    <t>SUSAN SARAHI PONCE MEJIA</t>
  </si>
  <si>
    <t>SUSHI FACTORY</t>
  </si>
  <si>
    <t>T.V. DE CULIACAN</t>
  </si>
  <si>
    <t>TACO QUE CIERRA ES FLAUTA</t>
  </si>
  <si>
    <t>TADEO GIL OSUNA</t>
  </si>
  <si>
    <t>TAJIMAMX RAMEN</t>
  </si>
  <si>
    <t>TANIA MAYELA MARTINEZ RENDON</t>
  </si>
  <si>
    <t>TATUM LIZBHET GONZALEZ RODRIGUEZ</t>
  </si>
  <si>
    <t>TECNO SMARTBUILDING</t>
  </si>
  <si>
    <t>TELEFONIA POR CABLE</t>
  </si>
  <si>
    <t>TELEFONOS DEL NOROESTE</t>
  </si>
  <si>
    <t>TERESA PAZ GONZALEZ</t>
  </si>
  <si>
    <t>TERIUS JOANA GARCIA GONZALEZ</t>
  </si>
  <si>
    <t>TERSA ECO MOTORS</t>
  </si>
  <si>
    <t>TH DE MEXICO</t>
  </si>
  <si>
    <t>THE INSIDE PROPERTIES</t>
  </si>
  <si>
    <t>TIENDA LA FAVORITA DE TIJUANA</t>
  </si>
  <si>
    <t>TIENDAS ELECTRONICA SHOP</t>
  </si>
  <si>
    <t>TONY TIENDAS</t>
  </si>
  <si>
    <t>TOTAL PLAY TELECOMUNICACIONES</t>
  </si>
  <si>
    <t>TOYO DEL PACIFICO</t>
  </si>
  <si>
    <t>TOYO DEL PACIFICO SA DE CV</t>
  </si>
  <si>
    <t>TOYOTALIFT DE B C</t>
  </si>
  <si>
    <t>TRACTOCARGA NUZA</t>
  </si>
  <si>
    <t>TRAIGO TODO</t>
  </si>
  <si>
    <t>TRAIGO TODO SAPI DE CV</t>
  </si>
  <si>
    <t>TRANSPORTES ZAPATA MEJIA</t>
  </si>
  <si>
    <t>TRAYCON</t>
  </si>
  <si>
    <t>TRES RIOS MOTORS</t>
  </si>
  <si>
    <t>TUPROMOTORIA</t>
  </si>
  <si>
    <t>ULISES ADRIAN MARTINEZ CABRERA</t>
  </si>
  <si>
    <t>ULTRA GIMNASIOS S DE RL DE CV</t>
  </si>
  <si>
    <t>UNITED ELEVADORES</t>
  </si>
  <si>
    <t>UNIVERSAL WIPES</t>
  </si>
  <si>
    <t>UNIVERSE CAPS</t>
  </si>
  <si>
    <t>UNIVERSIDAD AMERICANA DEL NORESTE</t>
  </si>
  <si>
    <t>UNIVERSIDAD CASA BLANCA</t>
  </si>
  <si>
    <t>URIEL CORAZAIN DE LA CRUZ CERVANTES</t>
  </si>
  <si>
    <t>URIEL SALVADOR MEZA ROSAS</t>
  </si>
  <si>
    <t>VADUM</t>
  </si>
  <si>
    <t>VALET ESTRATEGICO</t>
  </si>
  <si>
    <t>VALEX DESARROLLOS</t>
  </si>
  <si>
    <t>VAZGON BC</t>
  </si>
  <si>
    <t>VEHICULOS DE COAHUILA</t>
  </si>
  <si>
    <t>VERONICA HERNANDEZ VILLANUEVA</t>
  </si>
  <si>
    <t>VERONICA QUIÑONES GUERRERO</t>
  </si>
  <si>
    <t>VIAJES Y TURISMO DEL NOROESTE</t>
  </si>
  <si>
    <t>VIANEY ESQUIVEL GARCIA</t>
  </si>
  <si>
    <t>VICENTE MARK DE LA TORRE ELIZONDO</t>
  </si>
  <si>
    <t>VICTOR ALFONSO OSEGUERA OSEGUERA</t>
  </si>
  <si>
    <t>VICTOR HUGO BARRON ZAVALA</t>
  </si>
  <si>
    <t>VICTOR HUGO CAMACHO MILLAN</t>
  </si>
  <si>
    <t>VICTOR HUGO GALVAN MACIAS</t>
  </si>
  <si>
    <t>VICTOR MEDINA PEREZ</t>
  </si>
  <si>
    <t>VICTOR RAUL ESQUER ESQUER</t>
  </si>
  <si>
    <t>VIRGINIA MENDIVIL FRIAS</t>
  </si>
  <si>
    <t>VISION CLARH</t>
  </si>
  <si>
    <t>WAFURGA</t>
  </si>
  <si>
    <t>WAH STAR</t>
  </si>
  <si>
    <t>WALDO'S DOLAR MART DE MEXICO</t>
  </si>
  <si>
    <t>WEILONG CHEN</t>
  </si>
  <si>
    <t>WENBIAO CHEN</t>
  </si>
  <si>
    <t>WENDY MARISOL ARBALLO ARAUJO</t>
  </si>
  <si>
    <t>WILIAM ARNULFO RANGEL ROMERO</t>
  </si>
  <si>
    <t>WLISSES HUSIELS SICAIROS BURGOS</t>
  </si>
  <si>
    <t>WRAP EXPRESS</t>
  </si>
  <si>
    <t>XIAOLING CHEN</t>
  </si>
  <si>
    <t>XIAOYONG ZHANG</t>
  </si>
  <si>
    <t>XIOMARA YAHAIRA JUAREZ VALENZUELA</t>
  </si>
  <si>
    <t>YADIRA ATONDO SALAZAR</t>
  </si>
  <si>
    <t>YADIRA MARGARITA GARCIA HEREDIA</t>
  </si>
  <si>
    <t>YAMEL LUCELY GONZALEZ AMEZQUITA</t>
  </si>
  <si>
    <t>YAOJUN XU</t>
  </si>
  <si>
    <t>YAROSLAO EMMANUEL DURAN MORALES</t>
  </si>
  <si>
    <t>YASEI SUSHI</t>
  </si>
  <si>
    <t>YATZIL MADDALENA FASSIO ZUNINO</t>
  </si>
  <si>
    <t>YECENIA VERDUGO CAMACHO</t>
  </si>
  <si>
    <t>YENOR ENTERPRISES</t>
  </si>
  <si>
    <t>YESENIA VASQUEZ MIGUEL</t>
  </si>
  <si>
    <t>YESHIVE ELVIRA LOPEZ VARGAS</t>
  </si>
  <si>
    <t>YOKOMY SUSHI</t>
  </si>
  <si>
    <t>YUMMY YUM SUSHI</t>
  </si>
  <si>
    <t>YUYU SAAD</t>
  </si>
  <si>
    <t>ZAHIR EDUARDO MANCILLAS BASTIDAS</t>
  </si>
  <si>
    <t>ZARA MEXICO CONTRATO 1</t>
  </si>
  <si>
    <t>ZARA MEXICO CONTRATO 1 A EN P</t>
  </si>
  <si>
    <t>ZEN BY ZASSHI CULIACAN</t>
  </si>
  <si>
    <t>ZERO LASER ESTUDIO</t>
  </si>
  <si>
    <t>ZHUHUO WU</t>
  </si>
  <si>
    <t>ZOE PAULETTE BARRERA ATONDO</t>
  </si>
  <si>
    <t>% Part</t>
  </si>
  <si>
    <t xml:space="preserve">% Var </t>
  </si>
  <si>
    <t>Var vs 24</t>
  </si>
  <si>
    <t>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</si>
</sst>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"/>
    <numFmt numFmtId="165" formatCode="_-&quot;$&quot;* #,##0_-;\-&quot;$&quot;* #,##0_-;_-&quot;$&quot;* &quot;-&quot;??_-;_-@_-"/>
    <numFmt numFmtId="166" formatCode="0.0%"/>
    <numFmt numFmtId="167" formatCode="#,##0_ ;\-#,##0\ 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SF Compact Display"/>
      <family val="2"/>
    </font>
    <font>
      <b/>
      <sz val="12"/>
      <color theme="1"/>
      <name val="SF Compact Display"/>
      <family val="2"/>
    </font>
    <font>
      <b/>
      <sz val="12"/>
      <color theme="0"/>
      <name val="SF Compact Display"/>
      <family val="2"/>
    </font>
    <font>
      <sz val="14"/>
      <color theme="1"/>
      <name val="SF Compact Display"/>
      <family val="2"/>
    </font>
    <font>
      <b/>
      <sz val="14"/>
      <color theme="0"/>
      <name val="SF Compact Display"/>
      <family val="2"/>
    </font>
    <font>
      <sz val="12"/>
      <color theme="1"/>
      <name val="SF Compact Display"/>
    </font>
    <font>
      <sz val="12"/>
      <color theme="1"/>
      <name val="Barlow Regular"/>
    </font>
    <font>
      <sz val="11"/>
      <color theme="1"/>
      <name val="Barlow Regular"/>
    </font>
    <font>
      <b/>
      <sz val="12"/>
      <color theme="1"/>
      <name val="Barlow Regular"/>
    </font>
    <font>
      <b/>
      <sz val="12"/>
      <color theme="0"/>
      <name val="Barlow Regular"/>
    </font>
    <font>
      <sz val="14"/>
      <color theme="1"/>
      <name val="Barlow Regular"/>
    </font>
    <font>
      <b/>
      <sz val="14"/>
      <color theme="1"/>
      <name val="Barlow Regular"/>
    </font>
    <font>
      <b/>
      <sz val="14"/>
      <color theme="0"/>
      <name val="Barlow Regular"/>
    </font>
    <font>
      <b/>
      <sz val="14"/>
      <color theme="1"/>
      <name val="Barlow Bold"/>
    </font>
    <font>
      <b/>
      <i/>
      <sz val="11"/>
      <color theme="1"/>
      <name val="Barlow Regular"/>
    </font>
    <font>
      <sz val="12"/>
      <color theme="0"/>
      <name val="Barlow Bold"/>
    </font>
    <font>
      <sz val="12"/>
      <color theme="1"/>
      <name val="Barlow Bold"/>
    </font>
    <font>
      <b/>
      <sz val="14"/>
      <color theme="0"/>
      <name val="Barlow Bold"/>
    </font>
    <font>
      <sz val="14"/>
      <color theme="1"/>
      <name val="Barlow Bold"/>
    </font>
  </fonts>
  <fills count="15">
    <fill>
      <patternFill patternType="none"/>
    </fill>
    <fill>
      <patternFill patternType="gray125"/>
    </fill>
    <fill>
      <patternFill patternType="solid">
        <fgColor rgb="FF7EC39E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4A7C9E"/>
        <bgColor theme="4" tint="0.79998168889431442"/>
      </patternFill>
    </fill>
    <fill>
      <patternFill patternType="solid">
        <fgColor theme="1" tint="0.34998626667073579"/>
        <bgColor theme="4" tint="0.79998168889431442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4A7C9E"/>
        <bgColor indexed="64"/>
      </patternFill>
    </fill>
    <fill>
      <patternFill patternType="solid">
        <fgColor rgb="FF7CCAD3"/>
        <bgColor indexed="64"/>
      </patternFill>
    </fill>
    <fill>
      <patternFill patternType="solid">
        <fgColor rgb="FFAA1922"/>
        <bgColor theme="1"/>
      </patternFill>
    </fill>
    <fill>
      <patternFill patternType="solid">
        <fgColor rgb="FF384C5F"/>
        <bgColor theme="1"/>
      </patternFill>
    </fill>
    <fill>
      <patternFill patternType="solid">
        <fgColor rgb="FF384C5F"/>
        <bgColor indexed="64"/>
      </patternFill>
    </fill>
    <fill>
      <patternFill patternType="solid">
        <fgColor rgb="FF384C5F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rgb="FF7CCAD3"/>
      </top>
      <bottom style="double">
        <color rgb="FF7CCAD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4506668294322"/>
      </top>
      <bottom style="double">
        <color theme="4" tint="0.39994506668294322"/>
      </bottom>
      <diagonal/>
    </border>
    <border>
      <left/>
      <right/>
      <top style="thin">
        <color theme="4" tint="0.39997558519241921"/>
      </top>
      <bottom style="hair">
        <color theme="4" tint="0.39994506668294322"/>
      </bottom>
      <diagonal/>
    </border>
    <border>
      <left/>
      <right/>
      <top style="thin">
        <color theme="4" tint="0.39994506668294322"/>
      </top>
      <bottom style="hair">
        <color theme="4" tint="0.39994506668294322"/>
      </bottom>
      <diagonal/>
    </border>
    <border>
      <left/>
      <right/>
      <top style="thin">
        <color theme="4" tint="0.39994506668294322"/>
      </top>
      <bottom style="hair">
        <color theme="4" tint="0.39991454817346722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hair">
        <color theme="4" tint="0.3999450666829432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1">
    <xf numFmtId="0" fontId="0" fillId="0" borderId="0" xfId="0"/>
    <xf numFmtId="0" fontId="2" fillId="0" borderId="0" xfId="0" applyFont="1"/>
    <xf numFmtId="164" fontId="2" fillId="0" borderId="0" xfId="0" applyNumberFormat="1" applyFont="1"/>
    <xf numFmtId="165" fontId="2" fillId="0" borderId="0" xfId="1" applyNumberFormat="1" applyFont="1" applyBorder="1"/>
    <xf numFmtId="0" fontId="5" fillId="0" borderId="0" xfId="0" applyFont="1" applyAlignment="1">
      <alignment horizontal="center"/>
    </xf>
    <xf numFmtId="0" fontId="4" fillId="12" borderId="4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 wrapText="1"/>
    </xf>
    <xf numFmtId="165" fontId="3" fillId="0" borderId="5" xfId="1" applyNumberFormat="1" applyFont="1" applyBorder="1" applyAlignment="1">
      <alignment vertical="center"/>
    </xf>
    <xf numFmtId="165" fontId="2" fillId="0" borderId="5" xfId="1" applyNumberFormat="1" applyFont="1" applyBorder="1" applyAlignment="1">
      <alignment vertical="center"/>
    </xf>
    <xf numFmtId="166" fontId="2" fillId="0" borderId="5" xfId="2" applyNumberFormat="1" applyFont="1" applyBorder="1" applyAlignment="1">
      <alignment vertical="center"/>
    </xf>
    <xf numFmtId="9" fontId="3" fillId="0" borderId="5" xfId="2" applyFont="1" applyBorder="1" applyAlignment="1">
      <alignment vertical="center"/>
    </xf>
    <xf numFmtId="0" fontId="3" fillId="14" borderId="6" xfId="0" applyFont="1" applyFill="1" applyBorder="1"/>
    <xf numFmtId="0" fontId="3" fillId="14" borderId="0" xfId="0" applyFont="1" applyFill="1"/>
    <xf numFmtId="165" fontId="7" fillId="0" borderId="0" xfId="1" applyNumberFormat="1" applyFont="1"/>
    <xf numFmtId="165" fontId="2" fillId="0" borderId="7" xfId="1" applyNumberFormat="1" applyFont="1" applyBorder="1"/>
    <xf numFmtId="166" fontId="2" fillId="0" borderId="8" xfId="2" applyNumberFormat="1" applyFont="1" applyBorder="1"/>
    <xf numFmtId="166" fontId="3" fillId="0" borderId="8" xfId="2" applyNumberFormat="1" applyFont="1" applyBorder="1"/>
    <xf numFmtId="0" fontId="6" fillId="11" borderId="0" xfId="0" applyFont="1" applyFill="1" applyAlignment="1">
      <alignment horizontal="center" vertical="center"/>
    </xf>
    <xf numFmtId="0" fontId="8" fillId="0" borderId="0" xfId="0" applyFont="1"/>
    <xf numFmtId="0" fontId="9" fillId="0" borderId="0" xfId="0" applyFont="1"/>
    <xf numFmtId="164" fontId="8" fillId="0" borderId="0" xfId="0" applyNumberFormat="1" applyFont="1"/>
    <xf numFmtId="165" fontId="8" fillId="0" borderId="0" xfId="1" applyNumberFormat="1" applyFont="1" applyBorder="1"/>
    <xf numFmtId="0" fontId="10" fillId="0" borderId="0" xfId="0" applyFont="1" applyAlignment="1">
      <alignment vertical="center"/>
    </xf>
    <xf numFmtId="0" fontId="12" fillId="0" borderId="0" xfId="0" applyFont="1"/>
    <xf numFmtId="44" fontId="12" fillId="0" borderId="0" xfId="1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5" fontId="12" fillId="0" borderId="0" xfId="0" applyNumberFormat="1" applyFont="1"/>
    <xf numFmtId="0" fontId="12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3" fillId="3" borderId="0" xfId="0" applyFont="1" applyFill="1" applyAlignment="1">
      <alignment horizontal="center"/>
    </xf>
    <xf numFmtId="0" fontId="13" fillId="0" borderId="0" xfId="0" applyFont="1" applyAlignment="1">
      <alignment horizontal="center"/>
    </xf>
    <xf numFmtId="44" fontId="12" fillId="0" borderId="0" xfId="0" applyNumberFormat="1" applyFont="1" applyAlignment="1">
      <alignment horizontal="center"/>
    </xf>
    <xf numFmtId="0" fontId="14" fillId="4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164" fontId="12" fillId="0" borderId="0" xfId="0" applyNumberFormat="1" applyFont="1"/>
    <xf numFmtId="165" fontId="12" fillId="0" borderId="0" xfId="1" applyNumberFormat="1" applyFont="1" applyBorder="1"/>
    <xf numFmtId="165" fontId="12" fillId="0" borderId="0" xfId="1" applyNumberFormat="1" applyFont="1" applyFill="1" applyBorder="1"/>
    <xf numFmtId="166" fontId="12" fillId="0" borderId="0" xfId="2" applyNumberFormat="1" applyFont="1" applyBorder="1" applyAlignment="1">
      <alignment horizontal="right"/>
    </xf>
    <xf numFmtId="166" fontId="12" fillId="0" borderId="0" xfId="2" applyNumberFormat="1" applyFont="1" applyFill="1" applyBorder="1" applyAlignment="1">
      <alignment horizontal="right"/>
    </xf>
    <xf numFmtId="166" fontId="13" fillId="0" borderId="0" xfId="2" applyNumberFormat="1" applyFont="1" applyBorder="1"/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64" fontId="13" fillId="0" borderId="2" xfId="0" applyNumberFormat="1" applyFont="1" applyBorder="1" applyAlignment="1">
      <alignment vertical="center"/>
    </xf>
    <xf numFmtId="165" fontId="13" fillId="0" borderId="2" xfId="1" applyNumberFormat="1" applyFont="1" applyBorder="1" applyAlignment="1">
      <alignment vertical="center"/>
    </xf>
    <xf numFmtId="166" fontId="12" fillId="0" borderId="2" xfId="2" applyNumberFormat="1" applyFont="1" applyBorder="1" applyAlignment="1">
      <alignment horizontal="right" vertical="center"/>
    </xf>
    <xf numFmtId="166" fontId="12" fillId="0" borderId="2" xfId="2" applyNumberFormat="1" applyFont="1" applyFill="1" applyBorder="1" applyAlignment="1">
      <alignment horizontal="right" vertical="center"/>
    </xf>
    <xf numFmtId="166" fontId="13" fillId="0" borderId="2" xfId="2" applyNumberFormat="1" applyFont="1" applyBorder="1" applyAlignment="1">
      <alignment vertical="center"/>
    </xf>
    <xf numFmtId="166" fontId="13" fillId="0" borderId="0" xfId="2" applyNumberFormat="1" applyFont="1" applyBorder="1" applyAlignment="1">
      <alignment vertical="center"/>
    </xf>
    <xf numFmtId="44" fontId="12" fillId="0" borderId="0" xfId="0" applyNumberFormat="1" applyFont="1"/>
    <xf numFmtId="0" fontId="12" fillId="7" borderId="0" xfId="0" applyFont="1" applyFill="1"/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left"/>
    </xf>
    <xf numFmtId="44" fontId="12" fillId="8" borderId="0" xfId="0" applyNumberFormat="1" applyFont="1" applyFill="1"/>
    <xf numFmtId="0" fontId="13" fillId="7" borderId="0" xfId="0" applyFont="1" applyFill="1"/>
    <xf numFmtId="164" fontId="12" fillId="0" borderId="0" xfId="0" applyNumberFormat="1" applyFont="1" applyAlignment="1">
      <alignment horizontal="center"/>
    </xf>
    <xf numFmtId="0" fontId="14" fillId="9" borderId="3" xfId="0" applyFont="1" applyFill="1" applyBorder="1" applyAlignment="1">
      <alignment vertical="center"/>
    </xf>
    <xf numFmtId="3" fontId="13" fillId="0" borderId="0" xfId="0" applyNumberFormat="1" applyFont="1" applyAlignment="1">
      <alignment horizontal="center" vertical="center"/>
    </xf>
    <xf numFmtId="0" fontId="14" fillId="10" borderId="3" xfId="0" applyFont="1" applyFill="1" applyBorder="1" applyAlignment="1">
      <alignment vertical="center"/>
    </xf>
    <xf numFmtId="3" fontId="12" fillId="0" borderId="0" xfId="0" applyNumberFormat="1" applyFont="1"/>
    <xf numFmtId="165" fontId="12" fillId="0" borderId="0" xfId="1" applyNumberFormat="1" applyFont="1"/>
    <xf numFmtId="165" fontId="15" fillId="0" borderId="0" xfId="1" applyNumberFormat="1" applyFont="1" applyBorder="1"/>
    <xf numFmtId="165" fontId="15" fillId="0" borderId="0" xfId="1" applyNumberFormat="1" applyFont="1" applyFill="1" applyBorder="1"/>
    <xf numFmtId="164" fontId="15" fillId="0" borderId="2" xfId="0" applyNumberFormat="1" applyFont="1" applyBorder="1" applyAlignment="1">
      <alignment vertical="center"/>
    </xf>
    <xf numFmtId="0" fontId="15" fillId="0" borderId="0" xfId="0" applyFont="1"/>
    <xf numFmtId="0" fontId="15" fillId="0" borderId="2" xfId="0" applyFont="1" applyBorder="1" applyAlignment="1">
      <alignment vertical="center"/>
    </xf>
    <xf numFmtId="167" fontId="15" fillId="0" borderId="0" xfId="1" applyNumberFormat="1" applyFont="1" applyBorder="1" applyAlignment="1">
      <alignment horizontal="center"/>
    </xf>
    <xf numFmtId="165" fontId="9" fillId="0" borderId="0" xfId="0" applyNumberFormat="1" applyFont="1"/>
    <xf numFmtId="0" fontId="14" fillId="11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3" borderId="0" xfId="0" applyFont="1" applyFill="1" applyAlignment="1">
      <alignment vertical="center"/>
    </xf>
    <xf numFmtId="165" fontId="10" fillId="0" borderId="5" xfId="1" applyNumberFormat="1" applyFont="1" applyBorder="1" applyAlignment="1">
      <alignment vertical="center"/>
    </xf>
    <xf numFmtId="0" fontId="10" fillId="14" borderId="6" xfId="0" applyFont="1" applyFill="1" applyBorder="1"/>
    <xf numFmtId="0" fontId="10" fillId="14" borderId="0" xfId="0" applyFont="1" applyFill="1"/>
    <xf numFmtId="9" fontId="16" fillId="0" borderId="0" xfId="2" applyFont="1" applyAlignment="1">
      <alignment horizontal="center"/>
    </xf>
    <xf numFmtId="0" fontId="10" fillId="14" borderId="9" xfId="0" applyFont="1" applyFill="1" applyBorder="1"/>
    <xf numFmtId="0" fontId="3" fillId="14" borderId="0" xfId="0" applyFont="1" applyFill="1" applyBorder="1"/>
    <xf numFmtId="0" fontId="10" fillId="14" borderId="10" xfId="0" applyFont="1" applyFill="1" applyBorder="1"/>
    <xf numFmtId="0" fontId="10" fillId="14" borderId="0" xfId="0" applyFont="1" applyFill="1" applyBorder="1"/>
    <xf numFmtId="0" fontId="8" fillId="0" borderId="0" xfId="0" applyFont="1" applyFill="1" applyBorder="1"/>
    <xf numFmtId="0" fontId="17" fillId="12" borderId="0" xfId="0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7" fillId="12" borderId="4" xfId="0" applyFont="1" applyFill="1" applyBorder="1" applyAlignment="1">
      <alignment horizontal="center" vertical="center"/>
    </xf>
    <xf numFmtId="164" fontId="8" fillId="0" borderId="0" xfId="1" applyNumberFormat="1" applyFont="1" applyBorder="1"/>
    <xf numFmtId="0" fontId="19" fillId="4" borderId="0" xfId="0" applyFont="1" applyFill="1" applyAlignment="1">
      <alignment horizontal="center" vertical="center"/>
    </xf>
    <xf numFmtId="17" fontId="19" fillId="5" borderId="0" xfId="0" applyNumberFormat="1" applyFont="1" applyFill="1" applyAlignment="1">
      <alignment horizontal="center" vertical="center" wrapText="1"/>
    </xf>
    <xf numFmtId="0" fontId="19" fillId="5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7" borderId="0" xfId="0" applyFont="1" applyFill="1" applyAlignment="1">
      <alignment horizontal="center" vertical="center" wrapText="1"/>
    </xf>
    <xf numFmtId="0" fontId="19" fillId="7" borderId="0" xfId="0" applyFont="1" applyFill="1" applyAlignment="1">
      <alignment horizontal="center" vertical="center"/>
    </xf>
    <xf numFmtId="0" fontId="20" fillId="0" borderId="0" xfId="0" applyFont="1"/>
    <xf numFmtId="0" fontId="19" fillId="2" borderId="0" xfId="0" applyFont="1" applyFill="1" applyAlignment="1">
      <alignment horizontal="center" vertical="center" wrapText="1"/>
    </xf>
  </cellXfs>
  <cellStyles count="3">
    <cellStyle name="Moneda" xfId="1" builtinId="4"/>
    <cellStyle name="Normal" xfId="0" builtinId="0"/>
    <cellStyle name="Porcentaje" xfId="2" builtinId="5"/>
  </cellStyles>
  <dxfs count="5"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94A6-7CDF-4225-B616-E236B6D7D87E}">
  <sheetPr filterMode="1"/>
  <dimension ref="A1:U1429"/>
  <sheetViews>
    <sheetView showGridLines="0" zoomScale="120" zoomScaleNormal="120" workbookViewId="0">
      <pane xSplit="3" ySplit="4" topLeftCell="D14" activePane="bottomRight" state="frozen"/>
      <selection pane="topRight" activeCell="D1" sqref="D1"/>
      <selection pane="bottomLeft" activeCell="A4" sqref="A4"/>
      <selection pane="bottomRight" activeCell="A3" sqref="A3:I53"/>
    </sheetView>
  </sheetViews>
  <sheetFormatPr baseColWidth="10" defaultRowHeight="15" outlineLevelCol="1"/>
  <cols>
    <col min="1" max="1" width="45.83203125" style="19" customWidth="1"/>
    <col min="2" max="2" width="24.1640625" style="19" hidden="1" customWidth="1"/>
    <col min="3" max="3" width="2.1640625" style="19" hidden="1" customWidth="1"/>
    <col min="4" max="5" width="15.5" style="19" hidden="1" customWidth="1"/>
    <col min="6" max="6" width="15.1640625" style="19" hidden="1" customWidth="1"/>
    <col min="7" max="9" width="16.83203125" style="19" customWidth="1"/>
    <col min="10" max="15" width="11.5" hidden="1" customWidth="1" outlineLevel="1"/>
    <col min="16" max="16" width="2.5" style="19" customWidth="1" collapsed="1"/>
    <col min="17" max="17" width="14.1640625" style="19" customWidth="1"/>
    <col min="18" max="18" width="14.83203125" hidden="1" customWidth="1" outlineLevel="1"/>
    <col min="19" max="19" width="35.6640625" hidden="1" customWidth="1" outlineLevel="1"/>
    <col min="20" max="20" width="15.1640625" hidden="1" customWidth="1" outlineLevel="1"/>
    <col min="21" max="21" width="11.5" style="19" collapsed="1"/>
    <col min="22" max="16384" width="10.83203125" style="19"/>
  </cols>
  <sheetData>
    <row r="1" spans="1:20">
      <c r="D1" s="73">
        <f t="shared" ref="D1:H1" si="0">SUBTOTAL(9,D5:D1429)</f>
        <v>9252137.5284799971</v>
      </c>
      <c r="E1" s="73">
        <f t="shared" si="0"/>
        <v>9184272.0434999932</v>
      </c>
      <c r="F1" s="73">
        <f t="shared" si="0"/>
        <v>9063851.302029999</v>
      </c>
      <c r="G1" s="73">
        <f t="shared" si="0"/>
        <v>9117703.3582000006</v>
      </c>
      <c r="H1" s="73">
        <f t="shared" si="0"/>
        <v>8605593.6103700045</v>
      </c>
      <c r="I1" s="73">
        <f>SUBTOTAL(9,I5:I1429)</f>
        <v>8703541.633500006</v>
      </c>
    </row>
    <row r="2" spans="1:20" ht="18">
      <c r="A2" s="29"/>
      <c r="B2" s="29"/>
      <c r="C2" s="29"/>
      <c r="D2" s="74">
        <v>2026</v>
      </c>
      <c r="E2" s="74"/>
      <c r="F2" s="74"/>
      <c r="G2" s="74"/>
      <c r="H2" s="74"/>
      <c r="I2" s="74"/>
      <c r="J2" s="17"/>
      <c r="K2" s="17"/>
      <c r="L2" s="17"/>
      <c r="M2" s="17"/>
      <c r="N2" s="17"/>
      <c r="O2" s="17"/>
      <c r="P2" s="29"/>
      <c r="Q2" s="29"/>
      <c r="R2" s="4"/>
      <c r="S2" s="4"/>
      <c r="T2" s="4"/>
    </row>
    <row r="3" spans="1:20" ht="34">
      <c r="A3" s="88" t="s">
        <v>50</v>
      </c>
      <c r="B3" s="75" t="s">
        <v>2</v>
      </c>
      <c r="C3" s="89"/>
      <c r="D3" s="76" t="s">
        <v>4</v>
      </c>
      <c r="E3" s="76" t="s">
        <v>35</v>
      </c>
      <c r="F3" s="77" t="s">
        <v>6</v>
      </c>
      <c r="G3" s="90" t="s">
        <v>36</v>
      </c>
      <c r="H3" s="90" t="s">
        <v>8</v>
      </c>
      <c r="I3" s="90" t="s">
        <v>9</v>
      </c>
      <c r="J3" s="5" t="s">
        <v>51</v>
      </c>
      <c r="K3" s="5" t="s">
        <v>52</v>
      </c>
      <c r="L3" s="5" t="s">
        <v>53</v>
      </c>
      <c r="M3" s="5" t="s">
        <v>54</v>
      </c>
      <c r="N3" s="5" t="s">
        <v>55</v>
      </c>
      <c r="O3" s="5" t="s">
        <v>3</v>
      </c>
      <c r="P3" s="20"/>
      <c r="Q3" s="76" t="s">
        <v>1237</v>
      </c>
      <c r="R3" s="6" t="s">
        <v>56</v>
      </c>
      <c r="S3" s="6" t="s">
        <v>57</v>
      </c>
      <c r="T3" s="6" t="s">
        <v>58</v>
      </c>
    </row>
    <row r="4" spans="1:20" ht="17" hidden="1" thickBot="1">
      <c r="A4" s="78" t="s">
        <v>30</v>
      </c>
      <c r="B4" s="78"/>
      <c r="C4" s="22"/>
      <c r="D4" s="79">
        <f t="shared" ref="D4:H4" si="1">SUBTOTAL(9,D5:D1429)</f>
        <v>9252137.5284799971</v>
      </c>
      <c r="E4" s="79">
        <f t="shared" si="1"/>
        <v>9184272.0434999932</v>
      </c>
      <c r="F4" s="79">
        <f t="shared" si="1"/>
        <v>9063851.302029999</v>
      </c>
      <c r="G4" s="79">
        <f t="shared" si="1"/>
        <v>9117703.3582000006</v>
      </c>
      <c r="H4" s="79">
        <f t="shared" si="1"/>
        <v>8605593.6103700045</v>
      </c>
      <c r="I4" s="79">
        <f>SUBTOTAL(9,I5:I1429)</f>
        <v>8703541.633500006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20"/>
      <c r="Q4" s="82">
        <f>IFERROR(I4/$I$4," ")</f>
        <v>1</v>
      </c>
      <c r="R4" s="8">
        <v>7511976.8978770822</v>
      </c>
      <c r="S4" s="9">
        <v>0.13814683748786233</v>
      </c>
      <c r="T4" s="10">
        <v>1.0000000000000004</v>
      </c>
    </row>
    <row r="5" spans="1:20" ht="16" hidden="1">
      <c r="A5" s="83" t="s">
        <v>233</v>
      </c>
      <c r="B5" s="81" t="s">
        <v>60</v>
      </c>
      <c r="C5" s="18"/>
      <c r="D5" s="21">
        <v>0</v>
      </c>
      <c r="E5" s="21">
        <v>0</v>
      </c>
      <c r="F5" s="21">
        <v>0</v>
      </c>
      <c r="G5" s="21">
        <v>0</v>
      </c>
      <c r="H5" s="21">
        <v>1703386.86</v>
      </c>
      <c r="I5" s="21">
        <v>4797003.51</v>
      </c>
      <c r="J5" s="3">
        <v>0</v>
      </c>
      <c r="K5" s="3">
        <v>0</v>
      </c>
      <c r="L5" s="3">
        <v>0</v>
      </c>
      <c r="M5" s="3">
        <v>0</v>
      </c>
      <c r="N5" s="13">
        <v>0</v>
      </c>
      <c r="O5" s="13">
        <v>0</v>
      </c>
      <c r="P5" s="20"/>
      <c r="Q5" s="82">
        <f>IFERROR(I5/$I$4," ")</f>
        <v>0.55115534709873648</v>
      </c>
      <c r="R5" s="14">
        <v>0</v>
      </c>
      <c r="S5" s="15">
        <v>0</v>
      </c>
      <c r="T5" s="16">
        <v>3.3737966451422552E-3</v>
      </c>
    </row>
    <row r="6" spans="1:20" ht="16" hidden="1">
      <c r="A6" s="87" t="s">
        <v>1037</v>
      </c>
      <c r="B6" s="81" t="s">
        <v>85</v>
      </c>
      <c r="C6" s="18"/>
      <c r="D6" s="21">
        <v>2856878.1399999992</v>
      </c>
      <c r="E6" s="21">
        <v>3231192.9999999991</v>
      </c>
      <c r="F6" s="21">
        <v>3605507.8599999989</v>
      </c>
      <c r="G6" s="21">
        <v>3979822.7199999988</v>
      </c>
      <c r="H6" s="21">
        <v>4354137.5799999991</v>
      </c>
      <c r="I6" s="21">
        <v>4728452.4399999985</v>
      </c>
      <c r="J6" s="3">
        <v>0</v>
      </c>
      <c r="K6" s="3">
        <v>0</v>
      </c>
      <c r="L6" s="3">
        <v>0</v>
      </c>
      <c r="M6" s="3">
        <v>0</v>
      </c>
      <c r="N6" s="13">
        <v>0</v>
      </c>
      <c r="O6" s="13">
        <v>0</v>
      </c>
      <c r="P6" s="20"/>
      <c r="Q6" s="82">
        <f t="shared" ref="Q6:Q9" si="2">IFERROR(I6/$I$4," ")</f>
        <v>0.5432791200538577</v>
      </c>
      <c r="R6" s="14">
        <v>23203.199999999997</v>
      </c>
      <c r="S6" s="15">
        <v>4.7091869248785319</v>
      </c>
      <c r="T6" s="16">
        <v>4.5453216773200472E-4</v>
      </c>
    </row>
    <row r="7" spans="1:20" ht="16" hidden="1">
      <c r="A7" s="85" t="s">
        <v>595</v>
      </c>
      <c r="B7" s="81" t="s">
        <v>60</v>
      </c>
      <c r="C7" s="18"/>
      <c r="D7" s="21">
        <v>1360559.6899999997</v>
      </c>
      <c r="E7" s="21">
        <v>1724343.7699999998</v>
      </c>
      <c r="F7" s="21">
        <v>2064699.3399999999</v>
      </c>
      <c r="G7" s="21">
        <v>2405054.9099999997</v>
      </c>
      <c r="H7" s="21">
        <v>2576710.6399999997</v>
      </c>
      <c r="I7" s="21">
        <v>2956910.3999999994</v>
      </c>
      <c r="J7" s="3">
        <v>0</v>
      </c>
      <c r="K7" s="3">
        <v>0</v>
      </c>
      <c r="L7" s="3">
        <v>0</v>
      </c>
      <c r="M7" s="3">
        <v>0</v>
      </c>
      <c r="N7" s="13">
        <v>0</v>
      </c>
      <c r="O7" s="13">
        <v>0</v>
      </c>
      <c r="P7" s="20"/>
      <c r="Q7" s="82">
        <f t="shared" si="2"/>
        <v>0.33973645723929508</v>
      </c>
      <c r="R7" s="14">
        <v>-22800.000000000004</v>
      </c>
      <c r="S7" s="15">
        <v>-0.98239742025884458</v>
      </c>
      <c r="T7" s="16">
        <v>6.6010399590036683E-6</v>
      </c>
    </row>
    <row r="8" spans="1:20" ht="16" hidden="1">
      <c r="A8" s="83" t="s">
        <v>1049</v>
      </c>
      <c r="B8" s="81" t="s">
        <v>60</v>
      </c>
      <c r="C8" s="18"/>
      <c r="D8" s="21">
        <v>853443.45000000007</v>
      </c>
      <c r="E8" s="21">
        <v>1189024.1000000003</v>
      </c>
      <c r="F8" s="21">
        <v>1522668.5100000002</v>
      </c>
      <c r="G8" s="21">
        <v>1857281.0400000003</v>
      </c>
      <c r="H8" s="21">
        <v>2191893.5699999989</v>
      </c>
      <c r="I8" s="21">
        <v>2526506.0999999992</v>
      </c>
      <c r="J8" s="3">
        <v>0</v>
      </c>
      <c r="K8" s="3">
        <v>0</v>
      </c>
      <c r="L8" s="3">
        <v>0</v>
      </c>
      <c r="M8" s="3">
        <v>0</v>
      </c>
      <c r="N8" s="13">
        <v>0</v>
      </c>
      <c r="O8" s="13">
        <v>0</v>
      </c>
      <c r="P8" s="20"/>
      <c r="Q8" s="82">
        <f t="shared" si="2"/>
        <v>0.2902848296003383</v>
      </c>
      <c r="R8" s="14">
        <v>0</v>
      </c>
      <c r="S8" s="15">
        <v>0</v>
      </c>
      <c r="T8" s="16">
        <v>0</v>
      </c>
    </row>
    <row r="9" spans="1:20" ht="16" hidden="1">
      <c r="A9" s="87" t="s">
        <v>466</v>
      </c>
      <c r="B9" s="81" t="s">
        <v>62</v>
      </c>
      <c r="C9" s="18"/>
      <c r="D9" s="21">
        <v>730811.81999999972</v>
      </c>
      <c r="E9" s="21">
        <v>730811.81999999972</v>
      </c>
      <c r="F9" s="21">
        <v>730811.8199999996</v>
      </c>
      <c r="G9" s="21">
        <v>730811.8199999996</v>
      </c>
      <c r="H9" s="21">
        <v>1389751.5399999996</v>
      </c>
      <c r="I9" s="21">
        <v>1773481.3199999994</v>
      </c>
      <c r="J9" s="3">
        <v>0</v>
      </c>
      <c r="K9" s="3">
        <v>0</v>
      </c>
      <c r="L9" s="3">
        <v>0</v>
      </c>
      <c r="M9" s="3">
        <v>0</v>
      </c>
      <c r="N9" s="13">
        <v>0</v>
      </c>
      <c r="O9" s="13">
        <v>0</v>
      </c>
      <c r="P9" s="20"/>
      <c r="Q9" s="82">
        <f t="shared" si="2"/>
        <v>0.2037654778571811</v>
      </c>
      <c r="R9" s="14">
        <v>0</v>
      </c>
      <c r="S9" s="15">
        <v>0</v>
      </c>
      <c r="T9" s="16">
        <v>0</v>
      </c>
    </row>
    <row r="10" spans="1:20" customFormat="1" ht="16" hidden="1">
      <c r="A10" s="84" t="s">
        <v>585</v>
      </c>
      <c r="B10" s="12" t="s">
        <v>69</v>
      </c>
      <c r="C10" s="1"/>
      <c r="D10" s="3">
        <v>1121921.18</v>
      </c>
      <c r="E10" s="3">
        <v>1270098.5899999996</v>
      </c>
      <c r="F10" s="3">
        <v>1291082.6600000001</v>
      </c>
      <c r="G10" s="3">
        <v>1318146.1100000001</v>
      </c>
      <c r="H10" s="3">
        <v>1409299.8699999996</v>
      </c>
      <c r="I10" s="3">
        <v>1575569.1499999997</v>
      </c>
      <c r="J10" s="3">
        <v>0</v>
      </c>
      <c r="K10" s="3">
        <v>0</v>
      </c>
      <c r="L10" s="3">
        <v>0</v>
      </c>
      <c r="M10" s="3">
        <v>0</v>
      </c>
      <c r="N10" s="13">
        <v>0</v>
      </c>
      <c r="O10" s="13">
        <v>0</v>
      </c>
      <c r="P10" s="2"/>
      <c r="Q10" s="2"/>
      <c r="R10" s="14">
        <v>0</v>
      </c>
      <c r="S10" s="15">
        <v>0</v>
      </c>
      <c r="T10" s="16">
        <v>0</v>
      </c>
    </row>
    <row r="11" spans="1:20" ht="16" hidden="1">
      <c r="A11" s="87" t="s">
        <v>1049</v>
      </c>
      <c r="B11" s="81" t="s">
        <v>62</v>
      </c>
      <c r="C11" s="18"/>
      <c r="D11" s="21">
        <v>1074839.1700000002</v>
      </c>
      <c r="E11" s="21">
        <v>1168972.3700000001</v>
      </c>
      <c r="F11" s="21">
        <v>1324176.0300000003</v>
      </c>
      <c r="G11" s="21">
        <v>1214379.6900000002</v>
      </c>
      <c r="H11" s="21">
        <v>1175450.1599999999</v>
      </c>
      <c r="I11" s="21">
        <v>1454787.01</v>
      </c>
      <c r="J11" s="3">
        <v>0</v>
      </c>
      <c r="K11" s="3">
        <v>0</v>
      </c>
      <c r="L11" s="3">
        <v>0</v>
      </c>
      <c r="M11" s="3">
        <v>0</v>
      </c>
      <c r="N11" s="13">
        <v>0</v>
      </c>
      <c r="O11" s="13">
        <v>0</v>
      </c>
      <c r="P11" s="20"/>
      <c r="Q11" s="82">
        <f t="shared" ref="Q11:Q74" si="3">IFERROR(I11/$I$4," ")</f>
        <v>0.16714885402518354</v>
      </c>
      <c r="R11" s="14">
        <v>0</v>
      </c>
      <c r="S11" s="15">
        <v>0</v>
      </c>
      <c r="T11" s="16">
        <v>0</v>
      </c>
    </row>
    <row r="12" spans="1:20" ht="16" hidden="1">
      <c r="A12" s="87" t="s">
        <v>709</v>
      </c>
      <c r="B12" s="87" t="s">
        <v>78</v>
      </c>
      <c r="C12" s="18"/>
      <c r="D12" s="21">
        <v>899806.86</v>
      </c>
      <c r="E12" s="21">
        <v>1079915.31</v>
      </c>
      <c r="F12" s="21">
        <v>1151041.5</v>
      </c>
      <c r="G12" s="91">
        <v>1243524.1399999999</v>
      </c>
      <c r="H12" s="91">
        <v>1245406.94</v>
      </c>
      <c r="I12" s="91">
        <v>1211882.3600000001</v>
      </c>
      <c r="J12" s="3">
        <v>0</v>
      </c>
      <c r="K12" s="3">
        <v>0</v>
      </c>
      <c r="L12" s="3">
        <v>0</v>
      </c>
      <c r="M12" s="3">
        <v>0</v>
      </c>
      <c r="N12" s="13">
        <v>0</v>
      </c>
      <c r="O12" s="13">
        <v>0</v>
      </c>
      <c r="P12" s="20"/>
      <c r="Q12" s="82">
        <f t="shared" si="3"/>
        <v>0.13924014051193304</v>
      </c>
      <c r="R12" s="14">
        <v>0</v>
      </c>
      <c r="S12" s="15">
        <v>0</v>
      </c>
      <c r="T12" s="16">
        <v>-1.2409366970638179E-7</v>
      </c>
    </row>
    <row r="13" spans="1:20" ht="16" hidden="1">
      <c r="A13" s="86" t="s">
        <v>344</v>
      </c>
      <c r="B13" s="81" t="s">
        <v>60</v>
      </c>
      <c r="C13" s="18"/>
      <c r="D13" s="21">
        <v>313537.31</v>
      </c>
      <c r="E13" s="21">
        <v>427305.64999999997</v>
      </c>
      <c r="F13" s="21">
        <v>549266.36999999988</v>
      </c>
      <c r="G13" s="21">
        <v>694305.41</v>
      </c>
      <c r="H13" s="21">
        <v>950438.57000000007</v>
      </c>
      <c r="I13" s="21">
        <v>1193893.71</v>
      </c>
      <c r="J13" s="3">
        <v>0</v>
      </c>
      <c r="K13" s="3">
        <v>0</v>
      </c>
      <c r="L13" s="3">
        <v>0</v>
      </c>
      <c r="M13" s="3">
        <v>0</v>
      </c>
      <c r="N13" s="13">
        <v>0</v>
      </c>
      <c r="O13" s="13">
        <v>0</v>
      </c>
      <c r="P13" s="20"/>
      <c r="Q13" s="82">
        <f t="shared" si="3"/>
        <v>0.1371733209622038</v>
      </c>
      <c r="R13" s="14">
        <v>0</v>
      </c>
      <c r="S13" s="15">
        <v>0</v>
      </c>
      <c r="T13" s="16">
        <v>0</v>
      </c>
    </row>
    <row r="14" spans="1:20" ht="16">
      <c r="A14" s="87" t="s">
        <v>337</v>
      </c>
      <c r="B14" s="81" t="s">
        <v>67</v>
      </c>
      <c r="C14" s="18"/>
      <c r="D14" s="21">
        <v>1117804.2800000003</v>
      </c>
      <c r="E14" s="21">
        <v>1186045.0900000005</v>
      </c>
      <c r="F14" s="21">
        <v>1185801.02</v>
      </c>
      <c r="G14" s="21">
        <v>1185801.0200000005</v>
      </c>
      <c r="H14" s="21">
        <v>1185796.9600000002</v>
      </c>
      <c r="I14" s="21">
        <v>1081142.8800000004</v>
      </c>
      <c r="J14" s="3">
        <v>0</v>
      </c>
      <c r="K14" s="3">
        <v>0</v>
      </c>
      <c r="L14" s="3">
        <v>0</v>
      </c>
      <c r="M14" s="3">
        <v>0</v>
      </c>
      <c r="N14" s="13">
        <v>0</v>
      </c>
      <c r="O14" s="13">
        <v>0</v>
      </c>
      <c r="P14" s="20"/>
      <c r="Q14" s="82">
        <f t="shared" si="3"/>
        <v>0.1242187290560744</v>
      </c>
      <c r="R14" s="14">
        <v>0</v>
      </c>
      <c r="S14" s="15">
        <v>0</v>
      </c>
      <c r="T14" s="16">
        <v>0</v>
      </c>
    </row>
    <row r="15" spans="1:20" ht="16" hidden="1">
      <c r="A15" s="87" t="s">
        <v>604</v>
      </c>
      <c r="B15" s="81" t="s">
        <v>62</v>
      </c>
      <c r="C15" s="18"/>
      <c r="D15" s="21">
        <v>1049623.1199999996</v>
      </c>
      <c r="E15" s="21">
        <v>1049623.1299999997</v>
      </c>
      <c r="F15" s="21">
        <v>1049623.1499999999</v>
      </c>
      <c r="G15" s="21">
        <v>1049623.1599999997</v>
      </c>
      <c r="H15" s="21">
        <v>1049623.1799999997</v>
      </c>
      <c r="I15" s="21">
        <v>1049623.1999999997</v>
      </c>
      <c r="J15" s="3">
        <v>0</v>
      </c>
      <c r="K15" s="3">
        <v>0</v>
      </c>
      <c r="L15" s="3">
        <v>0</v>
      </c>
      <c r="M15" s="3">
        <v>0</v>
      </c>
      <c r="N15" s="13">
        <v>0</v>
      </c>
      <c r="O15" s="13">
        <v>0</v>
      </c>
      <c r="P15" s="20"/>
      <c r="Q15" s="82">
        <f t="shared" si="3"/>
        <v>0.12059725157859774</v>
      </c>
      <c r="R15" s="14">
        <v>0</v>
      </c>
      <c r="S15" s="15">
        <v>0</v>
      </c>
      <c r="T15" s="16">
        <v>6.4632119638740496E-10</v>
      </c>
    </row>
    <row r="16" spans="1:20" ht="16" hidden="1">
      <c r="A16" s="87" t="s">
        <v>115</v>
      </c>
      <c r="B16" s="81" t="s">
        <v>62</v>
      </c>
      <c r="C16" s="18"/>
      <c r="D16" s="21">
        <v>1033845.6799999999</v>
      </c>
      <c r="E16" s="21">
        <v>1033845.6799999999</v>
      </c>
      <c r="F16" s="21">
        <v>1033845.6799999999</v>
      </c>
      <c r="G16" s="21">
        <v>1033845.6799999999</v>
      </c>
      <c r="H16" s="21">
        <v>1033845.6799999999</v>
      </c>
      <c r="I16" s="21">
        <v>1033845.6799999999</v>
      </c>
      <c r="J16" s="3">
        <v>0</v>
      </c>
      <c r="K16" s="3">
        <v>0</v>
      </c>
      <c r="L16" s="3">
        <v>0</v>
      </c>
      <c r="M16" s="3">
        <v>0</v>
      </c>
      <c r="N16" s="13">
        <v>0</v>
      </c>
      <c r="O16" s="13">
        <v>0</v>
      </c>
      <c r="P16" s="20"/>
      <c r="Q16" s="82">
        <f t="shared" si="3"/>
        <v>0.11878448148288498</v>
      </c>
      <c r="R16" s="14">
        <v>0</v>
      </c>
      <c r="S16" s="15">
        <v>0</v>
      </c>
      <c r="T16" s="16">
        <v>-2.5852847855496203E-9</v>
      </c>
    </row>
    <row r="17" spans="1:20" ht="16" hidden="1">
      <c r="A17" s="86" t="s">
        <v>1224</v>
      </c>
      <c r="B17" s="81" t="s">
        <v>66</v>
      </c>
      <c r="C17" s="18"/>
      <c r="D17" s="21">
        <v>777262.13</v>
      </c>
      <c r="E17" s="21">
        <v>777262.13</v>
      </c>
      <c r="F17" s="21">
        <v>777262.13</v>
      </c>
      <c r="G17" s="21">
        <v>777262.13</v>
      </c>
      <c r="H17" s="21">
        <v>777262.13</v>
      </c>
      <c r="I17" s="21">
        <v>777262.13</v>
      </c>
      <c r="J17" s="3">
        <v>0</v>
      </c>
      <c r="K17" s="3">
        <v>0</v>
      </c>
      <c r="L17" s="3">
        <v>0</v>
      </c>
      <c r="M17" s="3">
        <v>0</v>
      </c>
      <c r="N17" s="13">
        <v>0</v>
      </c>
      <c r="O17" s="13">
        <v>0</v>
      </c>
      <c r="P17" s="20"/>
      <c r="Q17" s="82">
        <f t="shared" si="3"/>
        <v>8.930412040637703E-2</v>
      </c>
      <c r="R17" s="14">
        <v>0</v>
      </c>
      <c r="S17" s="15">
        <v>0</v>
      </c>
      <c r="T17" s="16">
        <v>-1.2926423927748103E-9</v>
      </c>
    </row>
    <row r="18" spans="1:20" ht="16">
      <c r="A18" s="87" t="s">
        <v>604</v>
      </c>
      <c r="B18" s="81" t="s">
        <v>67</v>
      </c>
      <c r="C18" s="18"/>
      <c r="D18" s="21">
        <v>719272.03000000014</v>
      </c>
      <c r="E18" s="21">
        <v>719277.08000000031</v>
      </c>
      <c r="F18" s="21">
        <v>719282.13000000024</v>
      </c>
      <c r="G18" s="21">
        <v>719287.18000000017</v>
      </c>
      <c r="H18" s="21">
        <v>719292.23000000021</v>
      </c>
      <c r="I18" s="21">
        <v>719297.28000000026</v>
      </c>
      <c r="J18" s="3">
        <v>0</v>
      </c>
      <c r="K18" s="3">
        <v>0</v>
      </c>
      <c r="L18" s="3">
        <v>0</v>
      </c>
      <c r="M18" s="3">
        <v>0</v>
      </c>
      <c r="N18" s="13">
        <v>0</v>
      </c>
      <c r="O18" s="13">
        <v>0</v>
      </c>
      <c r="P18" s="20"/>
      <c r="Q18" s="82">
        <f t="shared" si="3"/>
        <v>8.2644205116618144E-2</v>
      </c>
      <c r="R18" s="14">
        <v>0</v>
      </c>
      <c r="S18" s="15">
        <v>0</v>
      </c>
      <c r="T18" s="16">
        <v>-4.8474089729055398E-10</v>
      </c>
    </row>
    <row r="19" spans="1:20" ht="16" hidden="1">
      <c r="A19" s="87" t="s">
        <v>871</v>
      </c>
      <c r="B19" s="81" t="s">
        <v>62</v>
      </c>
      <c r="C19" s="18"/>
      <c r="D19" s="21">
        <v>414021.7699999999</v>
      </c>
      <c r="E19" s="21">
        <v>433706.50999999989</v>
      </c>
      <c r="F19" s="21">
        <v>488021.49999999988</v>
      </c>
      <c r="G19" s="21">
        <v>567791.29999999993</v>
      </c>
      <c r="H19" s="21">
        <v>647561.09999999986</v>
      </c>
      <c r="I19" s="21">
        <v>717330.89999999991</v>
      </c>
      <c r="J19" s="3">
        <v>0</v>
      </c>
      <c r="K19" s="3">
        <v>0</v>
      </c>
      <c r="L19" s="3">
        <v>0</v>
      </c>
      <c r="M19" s="3">
        <v>0</v>
      </c>
      <c r="N19" s="13">
        <v>0</v>
      </c>
      <c r="O19" s="13">
        <v>0</v>
      </c>
      <c r="P19" s="20"/>
      <c r="Q19" s="82">
        <f t="shared" si="3"/>
        <v>8.2418276398999138E-2</v>
      </c>
      <c r="R19" s="14">
        <v>0</v>
      </c>
      <c r="S19" s="15">
        <v>0</v>
      </c>
      <c r="T19" s="16">
        <v>-1.6158029909685129E-10</v>
      </c>
    </row>
    <row r="20" spans="1:20" ht="16" hidden="1">
      <c r="A20" s="87" t="s">
        <v>343</v>
      </c>
      <c r="B20" s="87" t="s">
        <v>78</v>
      </c>
      <c r="C20" s="18"/>
      <c r="D20" s="21">
        <v>447000.3600000001</v>
      </c>
      <c r="E20" s="21">
        <v>853862.40000000026</v>
      </c>
      <c r="F20" s="21">
        <v>708431.38000000024</v>
      </c>
      <c r="G20" s="91">
        <v>719860.39000000025</v>
      </c>
      <c r="H20" s="91">
        <v>911859.99000000034</v>
      </c>
      <c r="I20" s="91">
        <v>708428.97000000032</v>
      </c>
      <c r="J20" s="3">
        <v>0</v>
      </c>
      <c r="K20" s="3">
        <v>0</v>
      </c>
      <c r="L20" s="3">
        <v>0</v>
      </c>
      <c r="M20" s="3">
        <v>0</v>
      </c>
      <c r="N20" s="13">
        <v>0</v>
      </c>
      <c r="O20" s="13">
        <v>0</v>
      </c>
      <c r="P20" s="20"/>
      <c r="Q20" s="82">
        <f t="shared" si="3"/>
        <v>8.1395482417554163E-2</v>
      </c>
      <c r="R20" s="14">
        <v>0</v>
      </c>
      <c r="S20" s="15">
        <v>0</v>
      </c>
      <c r="T20" s="16">
        <v>1.6158029909685134E-10</v>
      </c>
    </row>
    <row r="21" spans="1:20" ht="16" hidden="1">
      <c r="A21" s="87" t="s">
        <v>928</v>
      </c>
      <c r="B21" s="81" t="s">
        <v>85</v>
      </c>
      <c r="C21" s="18"/>
      <c r="D21" s="21">
        <v>677299.77</v>
      </c>
      <c r="E21" s="21">
        <v>676613.08000000007</v>
      </c>
      <c r="F21" s="21">
        <v>676613.08000000007</v>
      </c>
      <c r="G21" s="21">
        <v>676613.08000000007</v>
      </c>
      <c r="H21" s="21">
        <v>676613.08000000007</v>
      </c>
      <c r="I21" s="21">
        <v>676613.08000000007</v>
      </c>
      <c r="J21" s="3">
        <v>0</v>
      </c>
      <c r="K21" s="3">
        <v>0</v>
      </c>
      <c r="L21" s="3">
        <v>0</v>
      </c>
      <c r="M21" s="3">
        <v>0</v>
      </c>
      <c r="N21" s="13">
        <v>0</v>
      </c>
      <c r="O21" s="13">
        <v>0</v>
      </c>
      <c r="P21" s="20"/>
      <c r="Q21" s="82">
        <f t="shared" si="3"/>
        <v>7.7739971668051841E-2</v>
      </c>
      <c r="R21" s="14">
        <v>0</v>
      </c>
      <c r="S21" s="15">
        <v>0</v>
      </c>
      <c r="T21" s="16">
        <v>-2.7468650846464729E-9</v>
      </c>
    </row>
    <row r="22" spans="1:20" ht="16" hidden="1">
      <c r="A22" s="86" t="s">
        <v>1038</v>
      </c>
      <c r="B22" s="81" t="s">
        <v>60</v>
      </c>
      <c r="C22" s="18"/>
      <c r="D22" s="21">
        <v>593805.99999999988</v>
      </c>
      <c r="E22" s="21">
        <v>593805.99999999988</v>
      </c>
      <c r="F22" s="21">
        <v>593805.99999999988</v>
      </c>
      <c r="G22" s="21">
        <v>593805.99999999988</v>
      </c>
      <c r="H22" s="21">
        <v>593805.99999999988</v>
      </c>
      <c r="I22" s="21">
        <v>593805.99999999988</v>
      </c>
      <c r="J22" s="3">
        <v>0</v>
      </c>
      <c r="K22" s="3">
        <v>0</v>
      </c>
      <c r="L22" s="3">
        <v>0</v>
      </c>
      <c r="M22" s="3">
        <v>0</v>
      </c>
      <c r="N22" s="13">
        <v>0</v>
      </c>
      <c r="O22" s="13">
        <v>0</v>
      </c>
      <c r="P22" s="20"/>
      <c r="Q22" s="82">
        <f t="shared" si="3"/>
        <v>6.8225789569895945E-2</v>
      </c>
      <c r="R22" s="14">
        <v>0</v>
      </c>
      <c r="S22" s="15">
        <v>0</v>
      </c>
      <c r="T22" s="16">
        <v>1.2926423927748105E-8</v>
      </c>
    </row>
    <row r="23" spans="1:20" ht="16">
      <c r="A23" s="87" t="s">
        <v>1189</v>
      </c>
      <c r="B23" s="81" t="s">
        <v>67</v>
      </c>
      <c r="C23" s="18"/>
      <c r="D23" s="21">
        <v>588135.66999999969</v>
      </c>
      <c r="E23" s="21">
        <v>588135.66999999969</v>
      </c>
      <c r="F23" s="21">
        <v>588135.66999999969</v>
      </c>
      <c r="G23" s="21">
        <v>588135.66999999969</v>
      </c>
      <c r="H23" s="21">
        <v>588135.66999999969</v>
      </c>
      <c r="I23" s="21">
        <v>588135.66999999969</v>
      </c>
      <c r="J23" s="3">
        <v>0</v>
      </c>
      <c r="K23" s="3">
        <v>0</v>
      </c>
      <c r="L23" s="3">
        <v>0</v>
      </c>
      <c r="M23" s="3">
        <v>0</v>
      </c>
      <c r="N23" s="13">
        <v>0</v>
      </c>
      <c r="O23" s="13">
        <v>0</v>
      </c>
      <c r="P23" s="20"/>
      <c r="Q23" s="82">
        <f t="shared" si="3"/>
        <v>6.7574292715078255E-2</v>
      </c>
      <c r="R23" s="14">
        <v>9.999999999999995E-3</v>
      </c>
      <c r="S23" s="15">
        <v>0.11111111111111106</v>
      </c>
      <c r="T23" s="16">
        <v>1.6158029909685129E-9</v>
      </c>
    </row>
    <row r="24" spans="1:20" ht="16" hidden="1">
      <c r="A24" s="86" t="s">
        <v>1116</v>
      </c>
      <c r="B24" s="81" t="s">
        <v>60</v>
      </c>
      <c r="C24" s="18"/>
      <c r="D24" s="21">
        <v>549658.91999999993</v>
      </c>
      <c r="E24" s="21">
        <v>310210.95000000007</v>
      </c>
      <c r="F24" s="21">
        <v>387267.10000000009</v>
      </c>
      <c r="G24" s="21">
        <v>466086.45</v>
      </c>
      <c r="H24" s="21">
        <v>538823.65</v>
      </c>
      <c r="I24" s="21">
        <v>583310.1</v>
      </c>
      <c r="J24" s="3">
        <v>0</v>
      </c>
      <c r="K24" s="3">
        <v>0</v>
      </c>
      <c r="L24" s="3">
        <v>0</v>
      </c>
      <c r="M24" s="3">
        <v>0</v>
      </c>
      <c r="N24" s="13">
        <v>0</v>
      </c>
      <c r="O24" s="13">
        <v>0</v>
      </c>
      <c r="P24" s="20"/>
      <c r="Q24" s="82">
        <f t="shared" si="3"/>
        <v>6.7019855199501141E-2</v>
      </c>
      <c r="R24" s="14">
        <v>-8051.82</v>
      </c>
      <c r="S24" s="15">
        <v>-0.14285643317196267</v>
      </c>
      <c r="T24" s="16">
        <v>7.8061381457278074E-4</v>
      </c>
    </row>
    <row r="25" spans="1:20" ht="16" hidden="1">
      <c r="A25" s="87" t="s">
        <v>1052</v>
      </c>
      <c r="B25" s="81" t="s">
        <v>76</v>
      </c>
      <c r="C25" s="18"/>
      <c r="D25" s="21">
        <v>326252.82000000007</v>
      </c>
      <c r="E25" s="21">
        <v>383034.42000000004</v>
      </c>
      <c r="F25" s="21">
        <v>385056.13000000006</v>
      </c>
      <c r="G25" s="21">
        <v>441837.73000000004</v>
      </c>
      <c r="H25" s="21">
        <v>498619.33</v>
      </c>
      <c r="I25" s="21">
        <v>555400.92999999993</v>
      </c>
      <c r="J25" s="3">
        <v>0</v>
      </c>
      <c r="K25" s="3">
        <v>0</v>
      </c>
      <c r="L25" s="3">
        <v>0</v>
      </c>
      <c r="M25" s="3">
        <v>0</v>
      </c>
      <c r="N25" s="13">
        <v>0</v>
      </c>
      <c r="O25" s="13">
        <v>0</v>
      </c>
      <c r="P25" s="20"/>
      <c r="Q25" s="82">
        <f t="shared" si="3"/>
        <v>6.3813209999738149E-2</v>
      </c>
      <c r="R25" s="14">
        <v>-69633.409999999974</v>
      </c>
      <c r="S25" s="15">
        <v>-0.11894273067554981</v>
      </c>
      <c r="T25" s="16">
        <v>8.3343609478265159E-3</v>
      </c>
    </row>
    <row r="26" spans="1:20" ht="16" hidden="1">
      <c r="A26" s="87" t="s">
        <v>540</v>
      </c>
      <c r="B26" s="81" t="s">
        <v>62</v>
      </c>
      <c r="C26" s="18"/>
      <c r="D26" s="21">
        <v>556161.24000000011</v>
      </c>
      <c r="E26" s="21">
        <v>553590.35000000009</v>
      </c>
      <c r="F26" s="21">
        <v>553590.33000000019</v>
      </c>
      <c r="G26" s="21">
        <v>553590.31000000006</v>
      </c>
      <c r="H26" s="21">
        <v>553590.29</v>
      </c>
      <c r="I26" s="21">
        <v>553590.27</v>
      </c>
      <c r="J26" s="3">
        <v>0</v>
      </c>
      <c r="K26" s="3">
        <v>0</v>
      </c>
      <c r="L26" s="3">
        <v>0</v>
      </c>
      <c r="M26" s="3">
        <v>0</v>
      </c>
      <c r="N26" s="13">
        <v>0</v>
      </c>
      <c r="O26" s="13">
        <v>0</v>
      </c>
      <c r="P26" s="20"/>
      <c r="Q26" s="82">
        <f t="shared" si="3"/>
        <v>6.3605172849317604E-2</v>
      </c>
      <c r="R26" s="14">
        <v>92533.330000000045</v>
      </c>
      <c r="S26" s="15">
        <v>2313333.2500000014</v>
      </c>
      <c r="T26" s="16">
        <v>1.4951569601039613E-3</v>
      </c>
    </row>
    <row r="27" spans="1:20" ht="16" hidden="1">
      <c r="A27" s="86" t="s">
        <v>849</v>
      </c>
      <c r="B27" s="81" t="s">
        <v>60</v>
      </c>
      <c r="C27" s="18"/>
      <c r="D27" s="21">
        <v>543026.68000000005</v>
      </c>
      <c r="E27" s="21">
        <v>0</v>
      </c>
      <c r="F27" s="21">
        <v>0</v>
      </c>
      <c r="G27" s="21">
        <v>0</v>
      </c>
      <c r="H27" s="21">
        <v>0</v>
      </c>
      <c r="I27" s="21">
        <v>543026.68000000005</v>
      </c>
      <c r="J27" s="3">
        <v>0</v>
      </c>
      <c r="K27" s="3">
        <v>0</v>
      </c>
      <c r="L27" s="3">
        <v>0</v>
      </c>
      <c r="M27" s="3">
        <v>0</v>
      </c>
      <c r="N27" s="13">
        <v>0</v>
      </c>
      <c r="O27" s="13">
        <v>0</v>
      </c>
      <c r="P27" s="20"/>
      <c r="Q27" s="82">
        <f t="shared" si="3"/>
        <v>6.2391461185166933E-2</v>
      </c>
      <c r="R27" s="14">
        <v>0</v>
      </c>
      <c r="S27" s="15">
        <v>0</v>
      </c>
      <c r="T27" s="16">
        <v>3.3117271890471915E-8</v>
      </c>
    </row>
    <row r="28" spans="1:20" ht="16">
      <c r="A28" s="87" t="s">
        <v>712</v>
      </c>
      <c r="B28" s="81" t="s">
        <v>67</v>
      </c>
      <c r="C28" s="18"/>
      <c r="D28" s="21">
        <v>539193.39999999991</v>
      </c>
      <c r="E28" s="21">
        <v>539193.39999999991</v>
      </c>
      <c r="F28" s="21">
        <v>539193.39999999991</v>
      </c>
      <c r="G28" s="21">
        <v>539193.39999999991</v>
      </c>
      <c r="H28" s="21">
        <v>539193.39999999991</v>
      </c>
      <c r="I28" s="21">
        <v>539193.39999999991</v>
      </c>
      <c r="J28" s="3">
        <v>0</v>
      </c>
      <c r="K28" s="3">
        <v>0</v>
      </c>
      <c r="L28" s="3">
        <v>0</v>
      </c>
      <c r="M28" s="3">
        <v>0</v>
      </c>
      <c r="N28" s="13">
        <v>0</v>
      </c>
      <c r="O28" s="13">
        <v>0</v>
      </c>
      <c r="P28" s="20"/>
      <c r="Q28" s="82">
        <f t="shared" si="3"/>
        <v>6.1951033579783189E-2</v>
      </c>
      <c r="R28" s="14">
        <v>0</v>
      </c>
      <c r="S28" s="15">
        <v>0</v>
      </c>
      <c r="T28" s="16">
        <v>7.887068870136442E-4</v>
      </c>
    </row>
    <row r="29" spans="1:20" ht="16" hidden="1">
      <c r="A29" s="87" t="s">
        <v>540</v>
      </c>
      <c r="B29" s="81" t="s">
        <v>76</v>
      </c>
      <c r="C29" s="18"/>
      <c r="D29" s="21">
        <v>581600.82999999996</v>
      </c>
      <c r="E29" s="21">
        <v>535582.27999999991</v>
      </c>
      <c r="F29" s="21">
        <v>535582.27999999991</v>
      </c>
      <c r="G29" s="21">
        <v>535582.27999999991</v>
      </c>
      <c r="H29" s="21">
        <v>535582.27999999991</v>
      </c>
      <c r="I29" s="21">
        <v>535582.27999999991</v>
      </c>
      <c r="J29" s="3">
        <v>0</v>
      </c>
      <c r="K29" s="3">
        <v>0</v>
      </c>
      <c r="L29" s="3">
        <v>0</v>
      </c>
      <c r="M29" s="3">
        <v>0</v>
      </c>
      <c r="N29" s="13">
        <v>0</v>
      </c>
      <c r="O29" s="13">
        <v>0</v>
      </c>
      <c r="P29" s="20"/>
      <c r="Q29" s="82">
        <f t="shared" si="3"/>
        <v>6.1536131215658131E-2</v>
      </c>
      <c r="R29" s="14">
        <v>0</v>
      </c>
      <c r="S29" s="15">
        <v>0</v>
      </c>
      <c r="T29" s="16">
        <v>0</v>
      </c>
    </row>
    <row r="30" spans="1:20" ht="16">
      <c r="A30" s="87" t="s">
        <v>80</v>
      </c>
      <c r="B30" s="81" t="s">
        <v>67</v>
      </c>
      <c r="C30" s="18"/>
      <c r="D30" s="21">
        <v>585436.44999999995</v>
      </c>
      <c r="E30" s="21">
        <v>585436.44999999995</v>
      </c>
      <c r="F30" s="21">
        <v>585436.44999999995</v>
      </c>
      <c r="G30" s="21">
        <v>585436.44999999995</v>
      </c>
      <c r="H30" s="21">
        <v>585436.44999999995</v>
      </c>
      <c r="I30" s="21">
        <v>515803.04</v>
      </c>
      <c r="J30" s="3">
        <v>0</v>
      </c>
      <c r="K30" s="3">
        <v>0</v>
      </c>
      <c r="L30" s="3">
        <v>0</v>
      </c>
      <c r="M30" s="3">
        <v>0</v>
      </c>
      <c r="N30" s="13">
        <v>0</v>
      </c>
      <c r="O30" s="13">
        <v>0</v>
      </c>
      <c r="P30" s="20"/>
      <c r="Q30" s="82">
        <f t="shared" si="3"/>
        <v>5.9263580473340835E-2</v>
      </c>
      <c r="R30" s="14">
        <v>0</v>
      </c>
      <c r="S30" s="15">
        <v>0</v>
      </c>
      <c r="T30" s="16">
        <v>6.582928423277903E-4</v>
      </c>
    </row>
    <row r="31" spans="1:20" ht="16">
      <c r="A31" s="87" t="s">
        <v>448</v>
      </c>
      <c r="B31" s="81" t="s">
        <v>67</v>
      </c>
      <c r="C31" s="18"/>
      <c r="D31" s="21">
        <v>354596.12000000005</v>
      </c>
      <c r="E31" s="21">
        <v>383648.24000000005</v>
      </c>
      <c r="F31" s="21">
        <v>410700.36000000004</v>
      </c>
      <c r="G31" s="21">
        <v>437752.48000000004</v>
      </c>
      <c r="H31" s="21">
        <v>484873.66000000009</v>
      </c>
      <c r="I31" s="21">
        <v>515099.08000000007</v>
      </c>
      <c r="J31" s="3">
        <v>0</v>
      </c>
      <c r="K31" s="3">
        <v>0</v>
      </c>
      <c r="L31" s="3">
        <v>0</v>
      </c>
      <c r="M31" s="3">
        <v>0</v>
      </c>
      <c r="N31" s="13">
        <v>0</v>
      </c>
      <c r="O31" s="13">
        <v>0</v>
      </c>
      <c r="P31" s="20"/>
      <c r="Q31" s="82">
        <f t="shared" si="3"/>
        <v>5.9182698456612115E-2</v>
      </c>
      <c r="R31" s="14">
        <v>0</v>
      </c>
      <c r="S31" s="15">
        <v>0</v>
      </c>
      <c r="T31" s="16">
        <v>0</v>
      </c>
    </row>
    <row r="32" spans="1:20" ht="16" hidden="1">
      <c r="A32" s="87" t="s">
        <v>573</v>
      </c>
      <c r="B32" s="81" t="s">
        <v>76</v>
      </c>
      <c r="C32" s="18"/>
      <c r="D32" s="21">
        <v>431535.25000000006</v>
      </c>
      <c r="E32" s="21">
        <v>444468.81999999995</v>
      </c>
      <c r="F32" s="21">
        <v>457402.39</v>
      </c>
      <c r="G32" s="21">
        <v>470335.95999999996</v>
      </c>
      <c r="H32" s="21">
        <v>483269.53</v>
      </c>
      <c r="I32" s="21">
        <v>496203.10000000003</v>
      </c>
      <c r="J32" s="3">
        <v>0</v>
      </c>
      <c r="K32" s="3">
        <v>0</v>
      </c>
      <c r="L32" s="3">
        <v>0</v>
      </c>
      <c r="M32" s="3">
        <v>0</v>
      </c>
      <c r="N32" s="13">
        <v>0</v>
      </c>
      <c r="O32" s="13">
        <v>0</v>
      </c>
      <c r="P32" s="20"/>
      <c r="Q32" s="82">
        <f t="shared" si="3"/>
        <v>5.7011630540159661E-2</v>
      </c>
      <c r="R32" s="14">
        <v>0</v>
      </c>
      <c r="S32" s="15">
        <v>0</v>
      </c>
      <c r="T32" s="16">
        <v>0</v>
      </c>
    </row>
    <row r="33" spans="1:20" ht="16" hidden="1">
      <c r="A33" s="87" t="s">
        <v>777</v>
      </c>
      <c r="B33" s="81" t="s">
        <v>62</v>
      </c>
      <c r="C33" s="18"/>
      <c r="D33" s="21">
        <v>470251.28000000014</v>
      </c>
      <c r="E33" s="21">
        <v>470251.28000000014</v>
      </c>
      <c r="F33" s="21">
        <v>470251.28000000014</v>
      </c>
      <c r="G33" s="21">
        <v>470251.28000000014</v>
      </c>
      <c r="H33" s="21">
        <v>470251.28000000014</v>
      </c>
      <c r="I33" s="21">
        <v>470251.28000000014</v>
      </c>
      <c r="J33" s="3">
        <v>0</v>
      </c>
      <c r="K33" s="3">
        <v>0</v>
      </c>
      <c r="L33" s="3">
        <v>0</v>
      </c>
      <c r="M33" s="3">
        <v>0</v>
      </c>
      <c r="N33" s="13">
        <v>0</v>
      </c>
      <c r="O33" s="13">
        <v>0</v>
      </c>
      <c r="P33" s="20"/>
      <c r="Q33" s="82">
        <f t="shared" si="3"/>
        <v>5.4029876549334693E-2</v>
      </c>
      <c r="R33" s="14">
        <v>0</v>
      </c>
      <c r="S33" s="15">
        <v>0</v>
      </c>
      <c r="T33" s="16">
        <v>4.8474089729055388E-10</v>
      </c>
    </row>
    <row r="34" spans="1:20" ht="16">
      <c r="A34" s="87" t="s">
        <v>1050</v>
      </c>
      <c r="B34" s="81" t="s">
        <v>67</v>
      </c>
      <c r="C34" s="18"/>
      <c r="D34" s="21">
        <v>449176.83000000007</v>
      </c>
      <c r="E34" s="21">
        <v>452958.4200000001</v>
      </c>
      <c r="F34" s="21">
        <v>556276.81000000006</v>
      </c>
      <c r="G34" s="21">
        <v>452958.41000000009</v>
      </c>
      <c r="H34" s="21">
        <v>460296.02000000008</v>
      </c>
      <c r="I34" s="21">
        <v>460296.02000000008</v>
      </c>
      <c r="J34" s="3">
        <v>0</v>
      </c>
      <c r="K34" s="3">
        <v>0</v>
      </c>
      <c r="L34" s="3">
        <v>0</v>
      </c>
      <c r="M34" s="3">
        <v>0</v>
      </c>
      <c r="N34" s="13">
        <v>0</v>
      </c>
      <c r="O34" s="13">
        <v>0</v>
      </c>
      <c r="P34" s="20"/>
      <c r="Q34" s="82">
        <f t="shared" si="3"/>
        <v>5.2886059420720957E-2</v>
      </c>
      <c r="R34" s="14">
        <v>0</v>
      </c>
      <c r="S34" s="15">
        <v>0</v>
      </c>
      <c r="T34" s="16">
        <v>0</v>
      </c>
    </row>
    <row r="35" spans="1:20" ht="16" hidden="1">
      <c r="A35" s="85" t="s">
        <v>299</v>
      </c>
      <c r="B35" s="81" t="s">
        <v>162</v>
      </c>
      <c r="C35" s="18"/>
      <c r="D35" s="21">
        <v>444015.88</v>
      </c>
      <c r="E35" s="21">
        <v>444015.88</v>
      </c>
      <c r="F35" s="21">
        <v>444015.88</v>
      </c>
      <c r="G35" s="21">
        <v>444015.88</v>
      </c>
      <c r="H35" s="21">
        <v>444015.88</v>
      </c>
      <c r="I35" s="21">
        <v>444015.88</v>
      </c>
      <c r="J35" s="3">
        <v>0</v>
      </c>
      <c r="K35" s="3">
        <v>0</v>
      </c>
      <c r="L35" s="3">
        <v>0</v>
      </c>
      <c r="M35" s="3">
        <v>0</v>
      </c>
      <c r="N35" s="13">
        <v>0</v>
      </c>
      <c r="O35" s="13">
        <v>0</v>
      </c>
      <c r="P35" s="20"/>
      <c r="Q35" s="82">
        <f t="shared" si="3"/>
        <v>5.1015540419888275E-2</v>
      </c>
      <c r="R35" s="14">
        <v>0</v>
      </c>
      <c r="S35" s="15">
        <v>0</v>
      </c>
      <c r="T35" s="16">
        <v>3.2316059819370267E-9</v>
      </c>
    </row>
    <row r="36" spans="1:20" ht="16" hidden="1">
      <c r="A36" s="80" t="s">
        <v>1009</v>
      </c>
      <c r="B36" s="81" t="s">
        <v>60</v>
      </c>
      <c r="C36" s="18"/>
      <c r="D36" s="21">
        <v>608887.06999999995</v>
      </c>
      <c r="E36" s="21">
        <v>0.03</v>
      </c>
      <c r="F36" s="21">
        <v>45000.03</v>
      </c>
      <c r="G36" s="21">
        <v>86216.16</v>
      </c>
      <c r="H36" s="21">
        <v>93562.35</v>
      </c>
      <c r="I36" s="21">
        <v>438426.91000000003</v>
      </c>
      <c r="J36" s="3">
        <v>0</v>
      </c>
      <c r="K36" s="3">
        <v>0</v>
      </c>
      <c r="L36" s="3">
        <v>0</v>
      </c>
      <c r="M36" s="3">
        <v>0</v>
      </c>
      <c r="N36" s="13">
        <v>0</v>
      </c>
      <c r="O36" s="13">
        <v>0</v>
      </c>
      <c r="P36" s="20"/>
      <c r="Q36" s="82">
        <f t="shared" si="3"/>
        <v>5.0373391483817476E-2</v>
      </c>
      <c r="R36" s="14">
        <v>0</v>
      </c>
      <c r="S36" s="15">
        <v>0</v>
      </c>
      <c r="T36" s="16">
        <v>0</v>
      </c>
    </row>
    <row r="37" spans="1:20" ht="16" hidden="1">
      <c r="A37" s="83" t="s">
        <v>1150</v>
      </c>
      <c r="B37" s="81" t="s">
        <v>60</v>
      </c>
      <c r="C37" s="18"/>
      <c r="D37" s="21">
        <v>29647.669999999991</v>
      </c>
      <c r="E37" s="21">
        <v>-0.41999999999999993</v>
      </c>
      <c r="F37" s="21">
        <v>162827.83000000005</v>
      </c>
      <c r="G37" s="21">
        <v>162828.12000000002</v>
      </c>
      <c r="H37" s="21">
        <v>117048.03999999998</v>
      </c>
      <c r="I37" s="21">
        <v>435571.79000000004</v>
      </c>
      <c r="J37" s="3">
        <v>0</v>
      </c>
      <c r="K37" s="3">
        <v>0</v>
      </c>
      <c r="L37" s="3">
        <v>0</v>
      </c>
      <c r="M37" s="3">
        <v>0</v>
      </c>
      <c r="N37" s="13">
        <v>0</v>
      </c>
      <c r="O37" s="13">
        <v>0</v>
      </c>
      <c r="P37" s="20"/>
      <c r="Q37" s="82">
        <f t="shared" si="3"/>
        <v>5.004535031158816E-2</v>
      </c>
      <c r="R37" s="14">
        <v>0</v>
      </c>
      <c r="S37" s="15">
        <v>0</v>
      </c>
      <c r="T37" s="16">
        <v>0</v>
      </c>
    </row>
    <row r="38" spans="1:20" ht="16">
      <c r="A38" s="87" t="s">
        <v>296</v>
      </c>
      <c r="B38" s="81" t="s">
        <v>67</v>
      </c>
      <c r="C38" s="18"/>
      <c r="D38" s="21">
        <v>354030.56</v>
      </c>
      <c r="E38" s="21">
        <v>354030.56</v>
      </c>
      <c r="F38" s="21">
        <v>393199.53</v>
      </c>
      <c r="G38" s="21">
        <v>432368.5</v>
      </c>
      <c r="H38" s="21">
        <v>471537.47</v>
      </c>
      <c r="I38" s="21">
        <v>418584.97</v>
      </c>
      <c r="J38" s="3">
        <v>0</v>
      </c>
      <c r="K38" s="3">
        <v>0</v>
      </c>
      <c r="L38" s="3">
        <v>0</v>
      </c>
      <c r="M38" s="3">
        <v>0</v>
      </c>
      <c r="N38" s="13">
        <v>0</v>
      </c>
      <c r="O38" s="13">
        <v>0</v>
      </c>
      <c r="P38" s="20"/>
      <c r="Q38" s="82">
        <f t="shared" si="3"/>
        <v>4.8093636777569129E-2</v>
      </c>
      <c r="R38" s="14">
        <v>0</v>
      </c>
      <c r="S38" s="15">
        <v>0</v>
      </c>
      <c r="T38" s="16">
        <v>0</v>
      </c>
    </row>
    <row r="39" spans="1:20" ht="16" hidden="1">
      <c r="A39" s="87" t="s">
        <v>379</v>
      </c>
      <c r="B39" s="81" t="s">
        <v>62</v>
      </c>
      <c r="C39" s="18"/>
      <c r="D39" s="21">
        <v>388944.93999999994</v>
      </c>
      <c r="E39" s="21">
        <v>388944.93999999994</v>
      </c>
      <c r="F39" s="21">
        <v>388944.93999999994</v>
      </c>
      <c r="G39" s="21">
        <v>388944.93999999994</v>
      </c>
      <c r="H39" s="21">
        <v>388944.93999999994</v>
      </c>
      <c r="I39" s="21">
        <v>388944.93999999994</v>
      </c>
      <c r="J39" s="3">
        <v>0</v>
      </c>
      <c r="K39" s="3">
        <v>0</v>
      </c>
      <c r="L39" s="3">
        <v>0</v>
      </c>
      <c r="M39" s="3">
        <v>0</v>
      </c>
      <c r="N39" s="13">
        <v>0</v>
      </c>
      <c r="O39" s="13">
        <v>0</v>
      </c>
      <c r="P39" s="20"/>
      <c r="Q39" s="82">
        <f t="shared" si="3"/>
        <v>4.4688123108752364E-2</v>
      </c>
      <c r="R39" s="14">
        <v>0</v>
      </c>
      <c r="S39" s="15">
        <v>0</v>
      </c>
      <c r="T39" s="16">
        <v>0</v>
      </c>
    </row>
    <row r="40" spans="1:20" ht="16" hidden="1">
      <c r="A40" s="87" t="s">
        <v>986</v>
      </c>
      <c r="B40" s="87" t="s">
        <v>78</v>
      </c>
      <c r="C40" s="18"/>
      <c r="D40" s="21">
        <v>384626.43000000005</v>
      </c>
      <c r="E40" s="21">
        <v>384626.43000000005</v>
      </c>
      <c r="F40" s="21">
        <v>384626.43000000005</v>
      </c>
      <c r="G40" s="91">
        <v>384626.43000000005</v>
      </c>
      <c r="H40" s="91">
        <v>384626.43000000005</v>
      </c>
      <c r="I40" s="91">
        <v>384626.43000000005</v>
      </c>
      <c r="J40" s="3">
        <v>0</v>
      </c>
      <c r="K40" s="3">
        <v>0</v>
      </c>
      <c r="L40" s="3">
        <v>0</v>
      </c>
      <c r="M40" s="3">
        <v>0</v>
      </c>
      <c r="N40" s="13">
        <v>0</v>
      </c>
      <c r="O40" s="13">
        <v>0</v>
      </c>
      <c r="P40" s="20"/>
      <c r="Q40" s="82">
        <f t="shared" si="3"/>
        <v>4.4191944635453874E-2</v>
      </c>
      <c r="R40" s="14">
        <v>0</v>
      </c>
      <c r="S40" s="15">
        <v>0</v>
      </c>
      <c r="T40" s="16">
        <v>0</v>
      </c>
    </row>
    <row r="41" spans="1:20" ht="16" hidden="1">
      <c r="A41" s="87" t="s">
        <v>1206</v>
      </c>
      <c r="B41" s="81" t="s">
        <v>76</v>
      </c>
      <c r="C41" s="18"/>
      <c r="D41" s="21">
        <v>185542.12000000002</v>
      </c>
      <c r="E41" s="21">
        <v>371084.17000000004</v>
      </c>
      <c r="F41" s="21">
        <v>386791.81000000006</v>
      </c>
      <c r="G41" s="21">
        <v>286166.95000000007</v>
      </c>
      <c r="H41" s="21">
        <v>185542.14000000004</v>
      </c>
      <c r="I41" s="21">
        <v>378712.40000000008</v>
      </c>
      <c r="J41" s="3">
        <v>0</v>
      </c>
      <c r="K41" s="3">
        <v>0</v>
      </c>
      <c r="L41" s="3">
        <v>0</v>
      </c>
      <c r="M41" s="3">
        <v>0</v>
      </c>
      <c r="N41" s="13">
        <v>0</v>
      </c>
      <c r="O41" s="13">
        <v>0</v>
      </c>
      <c r="P41" s="20"/>
      <c r="Q41" s="82">
        <f t="shared" si="3"/>
        <v>4.3512447684783032E-2</v>
      </c>
      <c r="R41" s="14">
        <v>33817.179999999993</v>
      </c>
      <c r="S41" s="15">
        <v>0.84511617317879373</v>
      </c>
      <c r="T41" s="16">
        <v>1.1929798258721715E-3</v>
      </c>
    </row>
    <row r="42" spans="1:20" ht="16" hidden="1">
      <c r="A42" s="86" t="s">
        <v>1062</v>
      </c>
      <c r="B42" s="81" t="s">
        <v>463</v>
      </c>
      <c r="C42" s="18"/>
      <c r="D42" s="21">
        <v>305449.32</v>
      </c>
      <c r="E42" s="21">
        <v>324678.64</v>
      </c>
      <c r="F42" s="21">
        <v>339401.64</v>
      </c>
      <c r="G42" s="21">
        <v>341614.24</v>
      </c>
      <c r="H42" s="21">
        <v>358133.24</v>
      </c>
      <c r="I42" s="21">
        <v>377043.24</v>
      </c>
      <c r="J42" s="3">
        <v>0</v>
      </c>
      <c r="K42" s="3">
        <v>0</v>
      </c>
      <c r="L42" s="3">
        <v>0</v>
      </c>
      <c r="M42" s="3">
        <v>0</v>
      </c>
      <c r="N42" s="13">
        <v>0</v>
      </c>
      <c r="O42" s="13">
        <v>0</v>
      </c>
      <c r="P42" s="20"/>
      <c r="Q42" s="82">
        <f t="shared" si="3"/>
        <v>4.3320668283903803E-2</v>
      </c>
      <c r="R42" s="14">
        <v>0</v>
      </c>
      <c r="S42" s="15">
        <v>0</v>
      </c>
      <c r="T42" s="16">
        <v>0</v>
      </c>
    </row>
    <row r="43" spans="1:20" ht="16" hidden="1">
      <c r="A43" s="87" t="s">
        <v>809</v>
      </c>
      <c r="B43" s="81" t="s">
        <v>62</v>
      </c>
      <c r="C43" s="18"/>
      <c r="D43" s="21">
        <v>222655.37</v>
      </c>
      <c r="E43" s="21">
        <v>252036.86</v>
      </c>
      <c r="F43" s="21">
        <v>281418.34999999998</v>
      </c>
      <c r="G43" s="21">
        <v>310799.83999999991</v>
      </c>
      <c r="H43" s="21">
        <v>340181.3299999999</v>
      </c>
      <c r="I43" s="21">
        <v>369562.81999999989</v>
      </c>
      <c r="J43" s="3">
        <v>0</v>
      </c>
      <c r="K43" s="3">
        <v>0</v>
      </c>
      <c r="L43" s="3">
        <v>0</v>
      </c>
      <c r="M43" s="3">
        <v>0</v>
      </c>
      <c r="N43" s="13">
        <v>0</v>
      </c>
      <c r="O43" s="13">
        <v>0</v>
      </c>
      <c r="P43" s="20"/>
      <c r="Q43" s="82">
        <f t="shared" si="3"/>
        <v>4.2461199769246748E-2</v>
      </c>
      <c r="R43" s="14">
        <v>0</v>
      </c>
      <c r="S43" s="15">
        <v>0</v>
      </c>
      <c r="T43" s="16">
        <v>0</v>
      </c>
    </row>
    <row r="44" spans="1:20" ht="16">
      <c r="A44" s="87" t="s">
        <v>911</v>
      </c>
      <c r="B44" s="81" t="s">
        <v>67</v>
      </c>
      <c r="C44" s="18"/>
      <c r="D44" s="21">
        <v>367560.95</v>
      </c>
      <c r="E44" s="21">
        <v>367560.95</v>
      </c>
      <c r="F44" s="21">
        <v>367560.95</v>
      </c>
      <c r="G44" s="21">
        <v>367560.95</v>
      </c>
      <c r="H44" s="21">
        <v>367560.95</v>
      </c>
      <c r="I44" s="21">
        <v>367560.95</v>
      </c>
      <c r="J44" s="3">
        <v>0</v>
      </c>
      <c r="K44" s="3">
        <v>0</v>
      </c>
      <c r="L44" s="3">
        <v>0</v>
      </c>
      <c r="M44" s="3">
        <v>0</v>
      </c>
      <c r="N44" s="13">
        <v>0</v>
      </c>
      <c r="O44" s="13">
        <v>0</v>
      </c>
      <c r="P44" s="20"/>
      <c r="Q44" s="82">
        <f t="shared" si="3"/>
        <v>4.2231193401230459E-2</v>
      </c>
      <c r="R44" s="14">
        <v>0</v>
      </c>
      <c r="S44" s="15">
        <v>0</v>
      </c>
      <c r="T44" s="16">
        <v>1.3947126677142923E-4</v>
      </c>
    </row>
    <row r="45" spans="1:20" ht="16" hidden="1">
      <c r="A45" s="86" t="s">
        <v>1104</v>
      </c>
      <c r="B45" s="81" t="s">
        <v>89</v>
      </c>
      <c r="C45" s="18"/>
      <c r="D45" s="21">
        <v>346640</v>
      </c>
      <c r="E45" s="21">
        <v>346640</v>
      </c>
      <c r="F45" s="21">
        <v>346640</v>
      </c>
      <c r="G45" s="21">
        <v>346640</v>
      </c>
      <c r="H45" s="21">
        <v>346640</v>
      </c>
      <c r="I45" s="21">
        <v>346640</v>
      </c>
      <c r="J45" s="3">
        <v>0</v>
      </c>
      <c r="K45" s="3">
        <v>0</v>
      </c>
      <c r="L45" s="3">
        <v>0</v>
      </c>
      <c r="M45" s="3">
        <v>0</v>
      </c>
      <c r="N45" s="13">
        <v>0</v>
      </c>
      <c r="O45" s="13">
        <v>0</v>
      </c>
      <c r="P45" s="20"/>
      <c r="Q45" s="82">
        <f t="shared" si="3"/>
        <v>3.9827465024787116E-2</v>
      </c>
      <c r="R45" s="14">
        <v>0</v>
      </c>
      <c r="S45" s="15">
        <v>0</v>
      </c>
      <c r="T45" s="16">
        <v>0</v>
      </c>
    </row>
    <row r="46" spans="1:20" ht="16" hidden="1">
      <c r="A46" s="87" t="s">
        <v>952</v>
      </c>
      <c r="B46" s="81" t="s">
        <v>62</v>
      </c>
      <c r="C46" s="18"/>
      <c r="D46" s="21">
        <v>342722.16000000003</v>
      </c>
      <c r="E46" s="21">
        <v>342722.16000000003</v>
      </c>
      <c r="F46" s="21">
        <v>342722.16000000003</v>
      </c>
      <c r="G46" s="21">
        <v>342722.16000000003</v>
      </c>
      <c r="H46" s="21">
        <v>342722.16000000003</v>
      </c>
      <c r="I46" s="21">
        <v>342722.16000000003</v>
      </c>
      <c r="J46" s="3">
        <v>0</v>
      </c>
      <c r="K46" s="3">
        <v>0</v>
      </c>
      <c r="L46" s="3">
        <v>0</v>
      </c>
      <c r="M46" s="3">
        <v>0</v>
      </c>
      <c r="N46" s="13">
        <v>0</v>
      </c>
      <c r="O46" s="13">
        <v>0</v>
      </c>
      <c r="P46" s="20"/>
      <c r="Q46" s="82">
        <f t="shared" si="3"/>
        <v>3.9377321834235791E-2</v>
      </c>
      <c r="R46" s="14">
        <v>0</v>
      </c>
      <c r="S46" s="15">
        <v>0</v>
      </c>
      <c r="T46" s="16">
        <v>7.7720123865585464E-8</v>
      </c>
    </row>
    <row r="47" spans="1:20" ht="16" hidden="1">
      <c r="A47" s="87" t="s">
        <v>870</v>
      </c>
      <c r="B47" s="81" t="s">
        <v>76</v>
      </c>
      <c r="C47" s="18"/>
      <c r="D47" s="21">
        <v>336090.62</v>
      </c>
      <c r="E47" s="21">
        <v>371562.90000000008</v>
      </c>
      <c r="F47" s="21">
        <v>443063.67000000004</v>
      </c>
      <c r="G47" s="21">
        <v>444562.84000000008</v>
      </c>
      <c r="H47" s="21">
        <v>357404.21000000008</v>
      </c>
      <c r="I47" s="21">
        <v>338661.20000000007</v>
      </c>
      <c r="J47" s="3">
        <v>0</v>
      </c>
      <c r="K47" s="3">
        <v>0</v>
      </c>
      <c r="L47" s="3">
        <v>0</v>
      </c>
      <c r="M47" s="3">
        <v>0</v>
      </c>
      <c r="N47" s="13">
        <v>0</v>
      </c>
      <c r="O47" s="13">
        <v>0</v>
      </c>
      <c r="P47" s="20"/>
      <c r="Q47" s="82">
        <f t="shared" si="3"/>
        <v>3.8910734763017644E-2</v>
      </c>
      <c r="R47" s="14">
        <v>0</v>
      </c>
      <c r="S47" s="15">
        <v>0</v>
      </c>
      <c r="T47" s="16">
        <v>1.6158029909684785E-10</v>
      </c>
    </row>
    <row r="48" spans="1:20" ht="16" hidden="1">
      <c r="A48" s="86" t="s">
        <v>598</v>
      </c>
      <c r="B48" s="81" t="s">
        <v>599</v>
      </c>
      <c r="C48" s="18"/>
      <c r="D48" s="21">
        <v>193358.30999999997</v>
      </c>
      <c r="E48" s="21">
        <v>7.0000000000000034E-2</v>
      </c>
      <c r="F48" s="21">
        <v>7.0000000000000007E-2</v>
      </c>
      <c r="G48" s="21">
        <v>114340.03000000001</v>
      </c>
      <c r="H48" s="21">
        <v>230721.66999999998</v>
      </c>
      <c r="I48" s="21">
        <v>333592.55</v>
      </c>
      <c r="J48" s="3">
        <v>0</v>
      </c>
      <c r="K48" s="3">
        <v>0</v>
      </c>
      <c r="L48" s="3">
        <v>0</v>
      </c>
      <c r="M48" s="3">
        <v>0</v>
      </c>
      <c r="N48" s="13">
        <v>0</v>
      </c>
      <c r="O48" s="13">
        <v>0</v>
      </c>
      <c r="P48" s="20"/>
      <c r="Q48" s="82">
        <f t="shared" si="3"/>
        <v>3.8328368386956344E-2</v>
      </c>
      <c r="R48" s="14">
        <v>0</v>
      </c>
      <c r="S48" s="15">
        <v>0</v>
      </c>
      <c r="T48" s="16">
        <v>0</v>
      </c>
    </row>
    <row r="49" spans="1:20" ht="16" hidden="1">
      <c r="A49" s="87" t="s">
        <v>313</v>
      </c>
      <c r="B49" s="81" t="s">
        <v>62</v>
      </c>
      <c r="C49" s="18"/>
      <c r="D49" s="21">
        <v>332803.62999999995</v>
      </c>
      <c r="E49" s="21">
        <v>332803.62999999995</v>
      </c>
      <c r="F49" s="21">
        <v>332803.63</v>
      </c>
      <c r="G49" s="21">
        <v>332803.62999999995</v>
      </c>
      <c r="H49" s="21">
        <v>332803.62999999995</v>
      </c>
      <c r="I49" s="21">
        <v>332803.62999999995</v>
      </c>
      <c r="J49" s="3">
        <v>0</v>
      </c>
      <c r="K49" s="3">
        <v>0</v>
      </c>
      <c r="L49" s="3">
        <v>0</v>
      </c>
      <c r="M49" s="3">
        <v>0</v>
      </c>
      <c r="N49" s="13">
        <v>0</v>
      </c>
      <c r="O49" s="13">
        <v>0</v>
      </c>
      <c r="P49" s="20"/>
      <c r="Q49" s="82">
        <f t="shared" si="3"/>
        <v>3.8237724826757413E-2</v>
      </c>
      <c r="R49" s="14">
        <v>0.01</v>
      </c>
      <c r="S49" s="15">
        <v>0</v>
      </c>
      <c r="T49" s="16">
        <v>1.6158029909685129E-10</v>
      </c>
    </row>
    <row r="50" spans="1:20" ht="16">
      <c r="A50" s="87" t="s">
        <v>402</v>
      </c>
      <c r="B50" s="81" t="s">
        <v>67</v>
      </c>
      <c r="C50" s="18"/>
      <c r="D50" s="21">
        <v>0.01</v>
      </c>
      <c r="E50" s="21">
        <v>0.01</v>
      </c>
      <c r="F50" s="21">
        <v>0.01</v>
      </c>
      <c r="G50" s="21">
        <v>0.01</v>
      </c>
      <c r="H50" s="21">
        <v>0.01</v>
      </c>
      <c r="I50" s="21">
        <v>327789.53000000003</v>
      </c>
      <c r="J50" s="3">
        <v>0</v>
      </c>
      <c r="K50" s="3">
        <v>0</v>
      </c>
      <c r="L50" s="3">
        <v>0</v>
      </c>
      <c r="M50" s="3">
        <v>0</v>
      </c>
      <c r="N50" s="13">
        <v>0</v>
      </c>
      <c r="O50" s="13">
        <v>0</v>
      </c>
      <c r="P50" s="20"/>
      <c r="Q50" s="82">
        <f t="shared" si="3"/>
        <v>3.7661626014211885E-2</v>
      </c>
      <c r="R50" s="14">
        <v>-34979.96</v>
      </c>
      <c r="S50" s="15">
        <v>-0.97611964371871318</v>
      </c>
      <c r="T50" s="16">
        <v>1.3827557255811243E-5</v>
      </c>
    </row>
    <row r="51" spans="1:20" ht="16" hidden="1">
      <c r="A51" s="87" t="s">
        <v>1148</v>
      </c>
      <c r="B51" s="81" t="s">
        <v>62</v>
      </c>
      <c r="C51" s="18"/>
      <c r="D51" s="21">
        <v>-2.0000000000000007E-2</v>
      </c>
      <c r="E51" s="21">
        <v>-2.0000000000000011E-2</v>
      </c>
      <c r="F51" s="21">
        <v>-2.0000000000000007E-2</v>
      </c>
      <c r="G51" s="21">
        <v>-2.0000000000000004E-2</v>
      </c>
      <c r="H51" s="21">
        <v>163063.22</v>
      </c>
      <c r="I51" s="21">
        <v>326126.45999999996</v>
      </c>
      <c r="J51" s="3">
        <v>0</v>
      </c>
      <c r="K51" s="3">
        <v>0</v>
      </c>
      <c r="L51" s="3">
        <v>0</v>
      </c>
      <c r="M51" s="3">
        <v>0</v>
      </c>
      <c r="N51" s="13">
        <v>0</v>
      </c>
      <c r="O51" s="13">
        <v>0</v>
      </c>
      <c r="P51" s="20"/>
      <c r="Q51" s="82">
        <f t="shared" si="3"/>
        <v>3.747054632848959E-2</v>
      </c>
      <c r="R51" s="14">
        <v>0</v>
      </c>
      <c r="S51" s="15">
        <v>0</v>
      </c>
      <c r="T51" s="16">
        <v>0</v>
      </c>
    </row>
    <row r="52" spans="1:20" ht="16" hidden="1">
      <c r="A52" s="87" t="s">
        <v>540</v>
      </c>
      <c r="B52" s="81" t="s">
        <v>85</v>
      </c>
      <c r="C52" s="18"/>
      <c r="D52" s="21">
        <v>93777.3</v>
      </c>
      <c r="E52" s="21">
        <v>95191.5</v>
      </c>
      <c r="F52" s="21">
        <v>93777.289999999979</v>
      </c>
      <c r="G52" s="21">
        <v>208605.85999999993</v>
      </c>
      <c r="H52" s="21">
        <v>324309.20000000013</v>
      </c>
      <c r="I52" s="21">
        <v>322422.97000000015</v>
      </c>
      <c r="J52" s="3">
        <v>0</v>
      </c>
      <c r="K52" s="3">
        <v>0</v>
      </c>
      <c r="L52" s="3">
        <v>0</v>
      </c>
      <c r="M52" s="3">
        <v>0</v>
      </c>
      <c r="N52" s="13">
        <v>0</v>
      </c>
      <c r="O52" s="13">
        <v>0</v>
      </c>
      <c r="P52" s="20"/>
      <c r="Q52" s="82">
        <f t="shared" si="3"/>
        <v>3.7045031043338887E-2</v>
      </c>
      <c r="R52" s="14">
        <v>11440.439999999995</v>
      </c>
      <c r="S52" s="15">
        <v>0.40032948929159778</v>
      </c>
      <c r="T52" s="16">
        <v>6.4661204092577955E-4</v>
      </c>
    </row>
    <row r="53" spans="1:20" ht="16">
      <c r="A53" s="87" t="s">
        <v>1193</v>
      </c>
      <c r="B53" s="81" t="s">
        <v>67</v>
      </c>
      <c r="C53" s="18"/>
      <c r="D53" s="21">
        <v>321959.78000000009</v>
      </c>
      <c r="E53" s="21">
        <v>321959.78000000009</v>
      </c>
      <c r="F53" s="21">
        <v>321959.78000000009</v>
      </c>
      <c r="G53" s="21">
        <v>321959.78000000009</v>
      </c>
      <c r="H53" s="21">
        <v>321959.78000000009</v>
      </c>
      <c r="I53" s="21">
        <v>321959.78000000009</v>
      </c>
      <c r="J53" s="3">
        <v>0</v>
      </c>
      <c r="K53" s="3">
        <v>0</v>
      </c>
      <c r="L53" s="3">
        <v>0</v>
      </c>
      <c r="M53" s="3">
        <v>0</v>
      </c>
      <c r="N53" s="13">
        <v>0</v>
      </c>
      <c r="O53" s="13">
        <v>0</v>
      </c>
      <c r="P53" s="20"/>
      <c r="Q53" s="82">
        <f t="shared" si="3"/>
        <v>3.6991812477896832E-2</v>
      </c>
      <c r="R53" s="14">
        <v>84821.960000000021</v>
      </c>
      <c r="S53" s="15">
        <v>0.99999941053035657</v>
      </c>
      <c r="T53" s="16">
        <v>2.7411123412577273E-3</v>
      </c>
    </row>
    <row r="54" spans="1:20" ht="16" hidden="1">
      <c r="A54" s="85" t="s">
        <v>1065</v>
      </c>
      <c r="B54" s="81" t="s">
        <v>66</v>
      </c>
      <c r="C54" s="18"/>
      <c r="D54" s="21">
        <v>317871.01</v>
      </c>
      <c r="E54" s="21">
        <v>317871.01</v>
      </c>
      <c r="F54" s="21">
        <v>317871.01</v>
      </c>
      <c r="G54" s="21">
        <v>317871.01</v>
      </c>
      <c r="H54" s="21">
        <v>317871.01</v>
      </c>
      <c r="I54" s="21">
        <v>317871.01</v>
      </c>
      <c r="J54" s="3">
        <v>0</v>
      </c>
      <c r="K54" s="3">
        <v>0</v>
      </c>
      <c r="L54" s="3">
        <v>0</v>
      </c>
      <c r="M54" s="3">
        <v>0</v>
      </c>
      <c r="N54" s="13">
        <v>0</v>
      </c>
      <c r="O54" s="13">
        <v>0</v>
      </c>
      <c r="P54" s="20"/>
      <c r="Q54" s="82">
        <f t="shared" si="3"/>
        <v>3.6522030155691075E-2</v>
      </c>
      <c r="R54" s="14">
        <v>0</v>
      </c>
      <c r="S54" s="15">
        <v>0</v>
      </c>
      <c r="T54" s="16">
        <v>1.6153835285120574E-3</v>
      </c>
    </row>
    <row r="55" spans="1:20" ht="16" hidden="1">
      <c r="A55" s="80" t="s">
        <v>1219</v>
      </c>
      <c r="B55" s="81" t="s">
        <v>66</v>
      </c>
      <c r="C55" s="18"/>
      <c r="D55" s="21">
        <v>137276.15000000005</v>
      </c>
      <c r="E55" s="21">
        <v>202745.40000000005</v>
      </c>
      <c r="F55" s="21">
        <v>218214.65000000005</v>
      </c>
      <c r="G55" s="21">
        <v>233683.90000000005</v>
      </c>
      <c r="H55" s="21">
        <v>299153.15000000008</v>
      </c>
      <c r="I55" s="21">
        <v>314622.40000000008</v>
      </c>
      <c r="J55" s="3">
        <v>0</v>
      </c>
      <c r="K55" s="3">
        <v>0</v>
      </c>
      <c r="L55" s="3">
        <v>0</v>
      </c>
      <c r="M55" s="3">
        <v>0</v>
      </c>
      <c r="N55" s="13">
        <v>0</v>
      </c>
      <c r="O55" s="13">
        <v>0</v>
      </c>
      <c r="P55" s="20"/>
      <c r="Q55" s="82">
        <f t="shared" si="3"/>
        <v>3.614877865224609E-2</v>
      </c>
      <c r="R55" s="14">
        <v>0</v>
      </c>
      <c r="S55" s="15">
        <v>0</v>
      </c>
      <c r="T55" s="16">
        <v>0</v>
      </c>
    </row>
    <row r="56" spans="1:20" ht="16" hidden="1">
      <c r="A56" s="80" t="s">
        <v>380</v>
      </c>
      <c r="B56" s="81" t="s">
        <v>60</v>
      </c>
      <c r="C56" s="18"/>
      <c r="D56" s="21">
        <v>289015.32999999996</v>
      </c>
      <c r="E56" s="21">
        <v>289015.32999999996</v>
      </c>
      <c r="F56" s="21">
        <v>289015.32999999996</v>
      </c>
      <c r="G56" s="21">
        <v>289015.32999999996</v>
      </c>
      <c r="H56" s="21">
        <v>289015.32999999996</v>
      </c>
      <c r="I56" s="21">
        <v>289015.32999999996</v>
      </c>
      <c r="J56" s="3">
        <v>0</v>
      </c>
      <c r="K56" s="3">
        <v>0</v>
      </c>
      <c r="L56" s="3">
        <v>0</v>
      </c>
      <c r="M56" s="3">
        <v>0</v>
      </c>
      <c r="N56" s="13">
        <v>0</v>
      </c>
      <c r="O56" s="13">
        <v>0</v>
      </c>
      <c r="P56" s="20"/>
      <c r="Q56" s="82">
        <f t="shared" si="3"/>
        <v>3.3206634973466147E-2</v>
      </c>
      <c r="R56" s="14">
        <v>0</v>
      </c>
      <c r="S56" s="15">
        <v>0</v>
      </c>
      <c r="T56" s="16">
        <v>0</v>
      </c>
    </row>
    <row r="57" spans="1:20" ht="16" hidden="1">
      <c r="A57" s="83" t="s">
        <v>869</v>
      </c>
      <c r="B57" s="81" t="s">
        <v>60</v>
      </c>
      <c r="C57" s="18"/>
      <c r="D57" s="21">
        <v>303201.37000000005</v>
      </c>
      <c r="E57" s="21">
        <v>268250.5</v>
      </c>
      <c r="F57" s="21">
        <v>154589.74</v>
      </c>
      <c r="G57" s="21">
        <v>333787.92000000004</v>
      </c>
      <c r="H57" s="21">
        <v>129010.91</v>
      </c>
      <c r="I57" s="21">
        <v>283399.18000000005</v>
      </c>
      <c r="J57" s="3">
        <v>0</v>
      </c>
      <c r="K57" s="3">
        <v>0</v>
      </c>
      <c r="L57" s="3">
        <v>0</v>
      </c>
      <c r="M57" s="3">
        <v>0</v>
      </c>
      <c r="N57" s="13">
        <v>0</v>
      </c>
      <c r="O57" s="13">
        <v>0</v>
      </c>
      <c r="P57" s="20"/>
      <c r="Q57" s="82">
        <f t="shared" si="3"/>
        <v>3.2561363170734332E-2</v>
      </c>
      <c r="R57" s="14">
        <v>0</v>
      </c>
      <c r="S57" s="15">
        <v>0</v>
      </c>
      <c r="T57" s="16">
        <v>2.7145490248271018E-8</v>
      </c>
    </row>
    <row r="58" spans="1:20" ht="16" hidden="1">
      <c r="A58" s="87" t="s">
        <v>621</v>
      </c>
      <c r="B58" s="81" t="s">
        <v>62</v>
      </c>
      <c r="C58" s="18"/>
      <c r="D58" s="21">
        <v>83956.06</v>
      </c>
      <c r="E58" s="21">
        <v>149348.4</v>
      </c>
      <c r="F58" s="21">
        <v>213126.5</v>
      </c>
      <c r="G58" s="21">
        <v>276904.59999999998</v>
      </c>
      <c r="H58" s="21">
        <v>340682.69999999995</v>
      </c>
      <c r="I58" s="21">
        <v>280712.25</v>
      </c>
      <c r="J58" s="3">
        <v>0</v>
      </c>
      <c r="K58" s="3">
        <v>0</v>
      </c>
      <c r="L58" s="3">
        <v>0</v>
      </c>
      <c r="M58" s="3">
        <v>0</v>
      </c>
      <c r="N58" s="13">
        <v>0</v>
      </c>
      <c r="O58" s="13">
        <v>0</v>
      </c>
      <c r="P58" s="20"/>
      <c r="Q58" s="82">
        <f t="shared" si="3"/>
        <v>3.2252646315786684E-2</v>
      </c>
      <c r="R58" s="14">
        <v>0</v>
      </c>
      <c r="S58" s="15">
        <v>0</v>
      </c>
      <c r="T58" s="16">
        <v>0</v>
      </c>
    </row>
    <row r="59" spans="1:20" ht="16">
      <c r="A59" s="86" t="s">
        <v>678</v>
      </c>
      <c r="B59" s="81" t="s">
        <v>67</v>
      </c>
      <c r="C59" s="18"/>
      <c r="D59" s="21">
        <v>113.36999999999996</v>
      </c>
      <c r="E59" s="21">
        <v>113.36999999999995</v>
      </c>
      <c r="F59" s="21">
        <v>395031.83999999979</v>
      </c>
      <c r="G59" s="21">
        <v>294997.78000000014</v>
      </c>
      <c r="H59" s="21">
        <v>274868.26000000018</v>
      </c>
      <c r="I59" s="21">
        <v>280578.68000000017</v>
      </c>
      <c r="J59" s="3">
        <v>0</v>
      </c>
      <c r="K59" s="3">
        <v>0</v>
      </c>
      <c r="L59" s="3">
        <v>0</v>
      </c>
      <c r="M59" s="3">
        <v>0</v>
      </c>
      <c r="N59" s="13">
        <v>0</v>
      </c>
      <c r="O59" s="13">
        <v>0</v>
      </c>
      <c r="P59" s="20"/>
      <c r="Q59" s="82">
        <f t="shared" si="3"/>
        <v>3.2237299689594226E-2</v>
      </c>
      <c r="R59" s="14">
        <v>0</v>
      </c>
      <c r="S59" s="15">
        <v>0</v>
      </c>
      <c r="T59" s="16">
        <v>1.6704909419438762E-2</v>
      </c>
    </row>
    <row r="60" spans="1:20" ht="16" hidden="1">
      <c r="A60" s="87" t="s">
        <v>521</v>
      </c>
      <c r="B60" s="81" t="s">
        <v>62</v>
      </c>
      <c r="C60" s="18"/>
      <c r="D60" s="21">
        <v>200117.16999999998</v>
      </c>
      <c r="E60" s="21">
        <v>144085.54</v>
      </c>
      <c r="F60" s="21">
        <v>178053.91</v>
      </c>
      <c r="G60" s="21">
        <v>212022.28</v>
      </c>
      <c r="H60" s="21">
        <v>245990.65</v>
      </c>
      <c r="I60" s="21">
        <v>279959.02</v>
      </c>
      <c r="J60" s="3">
        <v>0</v>
      </c>
      <c r="K60" s="3">
        <v>0</v>
      </c>
      <c r="L60" s="3">
        <v>0</v>
      </c>
      <c r="M60" s="3">
        <v>0</v>
      </c>
      <c r="N60" s="13">
        <v>0</v>
      </c>
      <c r="O60" s="13">
        <v>0</v>
      </c>
      <c r="P60" s="20"/>
      <c r="Q60" s="82">
        <f t="shared" si="3"/>
        <v>3.216610338513639E-2</v>
      </c>
      <c r="R60" s="14">
        <v>0</v>
      </c>
      <c r="S60" s="15">
        <v>0</v>
      </c>
      <c r="T60" s="16">
        <v>0</v>
      </c>
    </row>
    <row r="61" spans="1:20" ht="16" hidden="1">
      <c r="A61" s="87" t="s">
        <v>334</v>
      </c>
      <c r="B61" s="81" t="s">
        <v>76</v>
      </c>
      <c r="C61" s="18"/>
      <c r="D61" s="21">
        <v>275411.51999999996</v>
      </c>
      <c r="E61" s="21">
        <v>275411.51999999996</v>
      </c>
      <c r="F61" s="21">
        <v>275411.51999999996</v>
      </c>
      <c r="G61" s="21">
        <v>275411.51999999996</v>
      </c>
      <c r="H61" s="21">
        <v>275411.51999999996</v>
      </c>
      <c r="I61" s="21">
        <v>275411.51999999996</v>
      </c>
      <c r="J61" s="3">
        <v>0</v>
      </c>
      <c r="K61" s="3">
        <v>0</v>
      </c>
      <c r="L61" s="3">
        <v>0</v>
      </c>
      <c r="M61" s="3">
        <v>0</v>
      </c>
      <c r="N61" s="13">
        <v>0</v>
      </c>
      <c r="O61" s="13">
        <v>0</v>
      </c>
      <c r="P61" s="20"/>
      <c r="Q61" s="82">
        <f t="shared" si="3"/>
        <v>3.1643614932562472E-2</v>
      </c>
      <c r="R61" s="14">
        <v>0</v>
      </c>
      <c r="S61" s="15">
        <v>0</v>
      </c>
      <c r="T61" s="16">
        <v>1.6158029909685134E-10</v>
      </c>
    </row>
    <row r="62" spans="1:20" ht="16" hidden="1">
      <c r="A62" s="87" t="s">
        <v>321</v>
      </c>
      <c r="B62" s="87" t="s">
        <v>78</v>
      </c>
      <c r="C62" s="18"/>
      <c r="D62" s="21">
        <v>0</v>
      </c>
      <c r="E62" s="21">
        <v>0</v>
      </c>
      <c r="F62" s="21">
        <v>0</v>
      </c>
      <c r="G62" s="91">
        <v>0</v>
      </c>
      <c r="H62" s="91">
        <v>0</v>
      </c>
      <c r="I62" s="91">
        <v>274820.31</v>
      </c>
      <c r="J62" s="3">
        <v>0</v>
      </c>
      <c r="K62" s="3">
        <v>0</v>
      </c>
      <c r="L62" s="3">
        <v>0</v>
      </c>
      <c r="M62" s="3">
        <v>0</v>
      </c>
      <c r="N62" s="13">
        <v>0</v>
      </c>
      <c r="O62" s="13">
        <v>0</v>
      </c>
      <c r="P62" s="20"/>
      <c r="Q62" s="82">
        <f t="shared" si="3"/>
        <v>3.1575687412376388E-2</v>
      </c>
      <c r="R62" s="14">
        <v>9.9999999999909051E-3</v>
      </c>
      <c r="S62" s="15">
        <v>5.5576242267904752E-6</v>
      </c>
      <c r="T62" s="16">
        <v>2.9073789537692841E-5</v>
      </c>
    </row>
    <row r="63" spans="1:20" ht="16">
      <c r="A63" s="86" t="s">
        <v>1185</v>
      </c>
      <c r="B63" s="81" t="s">
        <v>67</v>
      </c>
      <c r="C63" s="18"/>
      <c r="D63" s="21">
        <v>315224.61000000004</v>
      </c>
      <c r="E63" s="21">
        <v>320087.85000000003</v>
      </c>
      <c r="F63" s="21">
        <v>324951.09000000003</v>
      </c>
      <c r="G63" s="21">
        <v>278267.89999999997</v>
      </c>
      <c r="H63" s="21">
        <v>278269.90000000002</v>
      </c>
      <c r="I63" s="21">
        <v>274574.78000000003</v>
      </c>
      <c r="J63" s="3">
        <v>0</v>
      </c>
      <c r="K63" s="3">
        <v>0</v>
      </c>
      <c r="L63" s="3">
        <v>0</v>
      </c>
      <c r="M63" s="3">
        <v>0</v>
      </c>
      <c r="N63" s="13">
        <v>0</v>
      </c>
      <c r="O63" s="13">
        <v>0</v>
      </c>
      <c r="P63" s="20"/>
      <c r="Q63" s="82">
        <f t="shared" si="3"/>
        <v>3.1547477057288879E-2</v>
      </c>
      <c r="R63" s="14">
        <v>0</v>
      </c>
      <c r="S63" s="15">
        <v>0</v>
      </c>
      <c r="T63" s="16">
        <v>-2.7921075683935905E-7</v>
      </c>
    </row>
    <row r="64" spans="1:20" ht="16" hidden="1">
      <c r="A64" s="87" t="s">
        <v>172</v>
      </c>
      <c r="B64" s="81" t="s">
        <v>145</v>
      </c>
      <c r="C64" s="18"/>
      <c r="D64" s="21">
        <v>265224.07000000018</v>
      </c>
      <c r="E64" s="21">
        <v>265223.40000000014</v>
      </c>
      <c r="F64" s="21">
        <v>265222.74000000017</v>
      </c>
      <c r="G64" s="21">
        <v>265222.07000000018</v>
      </c>
      <c r="H64" s="21">
        <v>265221.40000000014</v>
      </c>
      <c r="I64" s="21">
        <v>265220.74000000017</v>
      </c>
      <c r="J64" s="3">
        <v>0</v>
      </c>
      <c r="K64" s="3">
        <v>0</v>
      </c>
      <c r="L64" s="3">
        <v>0</v>
      </c>
      <c r="M64" s="3">
        <v>0</v>
      </c>
      <c r="N64" s="13">
        <v>0</v>
      </c>
      <c r="O64" s="13">
        <v>0</v>
      </c>
      <c r="P64" s="20"/>
      <c r="Q64" s="82">
        <f t="shared" si="3"/>
        <v>3.0472737555383579E-2</v>
      </c>
      <c r="R64" s="14">
        <v>0</v>
      </c>
      <c r="S64" s="15">
        <v>0</v>
      </c>
      <c r="T64" s="16">
        <v>0</v>
      </c>
    </row>
    <row r="65" spans="1:20" ht="16" hidden="1">
      <c r="A65" s="87" t="s">
        <v>981</v>
      </c>
      <c r="B65" s="81" t="s">
        <v>76</v>
      </c>
      <c r="C65" s="18"/>
      <c r="D65" s="21">
        <v>173290.79000000007</v>
      </c>
      <c r="E65" s="21">
        <v>211856.86000000016</v>
      </c>
      <c r="F65" s="21">
        <v>250422.93000000017</v>
      </c>
      <c r="G65" s="21">
        <v>288989.00000000017</v>
      </c>
      <c r="H65" s="21">
        <v>290362.14000000019</v>
      </c>
      <c r="I65" s="21">
        <v>254542.35000000009</v>
      </c>
      <c r="J65" s="3">
        <v>0</v>
      </c>
      <c r="K65" s="3">
        <v>0</v>
      </c>
      <c r="L65" s="3">
        <v>0</v>
      </c>
      <c r="M65" s="3">
        <v>0</v>
      </c>
      <c r="N65" s="13">
        <v>0</v>
      </c>
      <c r="O65" s="13">
        <v>0</v>
      </c>
      <c r="P65" s="20"/>
      <c r="Q65" s="82">
        <f t="shared" si="3"/>
        <v>2.9245835858389465E-2</v>
      </c>
      <c r="R65" s="14">
        <v>3415.7900000000009</v>
      </c>
      <c r="S65" s="15">
        <v>0.21603104562039069</v>
      </c>
      <c r="T65" s="16">
        <v>3.1067625796428347E-4</v>
      </c>
    </row>
    <row r="66" spans="1:20" ht="16">
      <c r="A66" s="86" t="s">
        <v>1206</v>
      </c>
      <c r="B66" s="81" t="s">
        <v>67</v>
      </c>
      <c r="C66" s="18"/>
      <c r="D66" s="21">
        <v>164374.21000000002</v>
      </c>
      <c r="E66" s="21">
        <v>328748.34999999998</v>
      </c>
      <c r="F66" s="21">
        <v>498902.0199999999</v>
      </c>
      <c r="G66" s="21">
        <v>416801.42999999993</v>
      </c>
      <c r="H66" s="21">
        <v>334700.79999999993</v>
      </c>
      <c r="I66" s="21">
        <v>252600.21000000002</v>
      </c>
      <c r="J66" s="3">
        <v>0</v>
      </c>
      <c r="K66" s="3">
        <v>0</v>
      </c>
      <c r="L66" s="3">
        <v>0</v>
      </c>
      <c r="M66" s="3">
        <v>0</v>
      </c>
      <c r="N66" s="13">
        <v>0</v>
      </c>
      <c r="O66" s="13">
        <v>0</v>
      </c>
      <c r="P66" s="20"/>
      <c r="Q66" s="82">
        <f t="shared" si="3"/>
        <v>2.9022692213907457E-2</v>
      </c>
      <c r="R66" s="14">
        <v>2.0000000002255547E-2</v>
      </c>
      <c r="S66" s="15">
        <v>2.1019199990599741E-6</v>
      </c>
      <c r="T66" s="16">
        <v>1.537457551345423E-4</v>
      </c>
    </row>
    <row r="67" spans="1:20" ht="16" hidden="1">
      <c r="A67" s="87" t="s">
        <v>1004</v>
      </c>
      <c r="B67" s="81" t="s">
        <v>85</v>
      </c>
      <c r="C67" s="18"/>
      <c r="D67" s="21">
        <v>0</v>
      </c>
      <c r="E67" s="21">
        <v>0</v>
      </c>
      <c r="F67" s="21">
        <v>0</v>
      </c>
      <c r="G67" s="21">
        <v>45899.4</v>
      </c>
      <c r="H67" s="21">
        <v>0</v>
      </c>
      <c r="I67" s="21">
        <v>251485.81999999998</v>
      </c>
      <c r="J67" s="3">
        <v>0</v>
      </c>
      <c r="K67" s="3">
        <v>0</v>
      </c>
      <c r="L67" s="3">
        <v>0</v>
      </c>
      <c r="M67" s="3">
        <v>0</v>
      </c>
      <c r="N67" s="13">
        <v>0</v>
      </c>
      <c r="O67" s="13">
        <v>0</v>
      </c>
      <c r="P67" s="20"/>
      <c r="Q67" s="82">
        <f t="shared" si="3"/>
        <v>2.8894653531848336E-2</v>
      </c>
      <c r="R67" s="14">
        <v>0</v>
      </c>
      <c r="S67" s="15">
        <v>0</v>
      </c>
      <c r="T67" s="16">
        <v>-5.6059427619732405E-26</v>
      </c>
    </row>
    <row r="68" spans="1:20" ht="16" hidden="1">
      <c r="A68" s="86" t="s">
        <v>943</v>
      </c>
      <c r="B68" s="81" t="s">
        <v>62</v>
      </c>
      <c r="C68" s="18"/>
      <c r="D68" s="21">
        <v>71724.88</v>
      </c>
      <c r="E68" s="21">
        <v>107587.32</v>
      </c>
      <c r="F68" s="21">
        <v>143449.76</v>
      </c>
      <c r="G68" s="21">
        <v>179312.2</v>
      </c>
      <c r="H68" s="21">
        <v>215174.64</v>
      </c>
      <c r="I68" s="21">
        <v>251037.08000000002</v>
      </c>
      <c r="J68" s="3">
        <v>0</v>
      </c>
      <c r="K68" s="3">
        <v>0</v>
      </c>
      <c r="L68" s="3">
        <v>0</v>
      </c>
      <c r="M68" s="3">
        <v>0</v>
      </c>
      <c r="N68" s="13">
        <v>0</v>
      </c>
      <c r="O68" s="13">
        <v>0</v>
      </c>
      <c r="P68" s="20"/>
      <c r="Q68" s="82">
        <f t="shared" si="3"/>
        <v>2.884309521008737E-2</v>
      </c>
      <c r="R68" s="14">
        <v>0</v>
      </c>
      <c r="S68" s="15">
        <v>0</v>
      </c>
      <c r="T68" s="16">
        <v>2.9504562615085048E-7</v>
      </c>
    </row>
    <row r="69" spans="1:20" ht="16" hidden="1">
      <c r="A69" s="87" t="s">
        <v>1181</v>
      </c>
      <c r="B69" s="87" t="s">
        <v>78</v>
      </c>
      <c r="C69" s="18"/>
      <c r="D69" s="21">
        <v>313071.70000000007</v>
      </c>
      <c r="E69" s="21">
        <v>283686.10000000009</v>
      </c>
      <c r="F69" s="21">
        <v>221794.9</v>
      </c>
      <c r="G69" s="91">
        <v>162409.29999999999</v>
      </c>
      <c r="H69" s="91">
        <v>253023.69999999998</v>
      </c>
      <c r="I69" s="91">
        <v>243672.9</v>
      </c>
      <c r="J69" s="3">
        <v>0</v>
      </c>
      <c r="K69" s="3">
        <v>0</v>
      </c>
      <c r="L69" s="3">
        <v>0</v>
      </c>
      <c r="M69" s="3">
        <v>0</v>
      </c>
      <c r="N69" s="13">
        <v>0</v>
      </c>
      <c r="O69" s="13">
        <v>0</v>
      </c>
      <c r="P69" s="20"/>
      <c r="Q69" s="82">
        <f t="shared" si="3"/>
        <v>2.7996982178163075E-2</v>
      </c>
      <c r="R69" s="14">
        <v>0</v>
      </c>
      <c r="S69" s="15">
        <v>0</v>
      </c>
      <c r="T69" s="16">
        <v>0</v>
      </c>
    </row>
    <row r="70" spans="1:20" ht="16" hidden="1">
      <c r="A70" s="87" t="s">
        <v>776</v>
      </c>
      <c r="B70" s="87" t="s">
        <v>78</v>
      </c>
      <c r="C70" s="18"/>
      <c r="D70" s="21">
        <v>130822.79999999997</v>
      </c>
      <c r="E70" s="21">
        <v>156987.35999999996</v>
      </c>
      <c r="F70" s="21">
        <v>183151.91999999995</v>
      </c>
      <c r="G70" s="91">
        <v>209316.47999999995</v>
      </c>
      <c r="H70" s="91">
        <v>235481.03999999995</v>
      </c>
      <c r="I70" s="91">
        <v>236142.23999999996</v>
      </c>
      <c r="J70" s="3">
        <v>0</v>
      </c>
      <c r="K70" s="3">
        <v>0</v>
      </c>
      <c r="L70" s="3">
        <v>0</v>
      </c>
      <c r="M70" s="3">
        <v>0</v>
      </c>
      <c r="N70" s="13">
        <v>0</v>
      </c>
      <c r="O70" s="13">
        <v>0</v>
      </c>
      <c r="P70" s="20"/>
      <c r="Q70" s="82">
        <f t="shared" si="3"/>
        <v>2.7131741300700677E-2</v>
      </c>
      <c r="R70" s="14">
        <v>0</v>
      </c>
      <c r="S70" s="15">
        <v>0</v>
      </c>
      <c r="T70" s="16">
        <v>1.615802990968513E-7</v>
      </c>
    </row>
    <row r="71" spans="1:20" ht="16" hidden="1">
      <c r="A71" s="85" t="s">
        <v>1160</v>
      </c>
      <c r="B71" s="81" t="s">
        <v>66</v>
      </c>
      <c r="C71" s="18"/>
      <c r="D71" s="21">
        <v>151264</v>
      </c>
      <c r="E71" s="21">
        <v>151264</v>
      </c>
      <c r="F71" s="21">
        <v>151264</v>
      </c>
      <c r="G71" s="21">
        <v>190475.53</v>
      </c>
      <c r="H71" s="21">
        <v>216616.55000000002</v>
      </c>
      <c r="I71" s="21">
        <v>229687.06000000003</v>
      </c>
      <c r="J71" s="3">
        <v>0</v>
      </c>
      <c r="K71" s="3">
        <v>0</v>
      </c>
      <c r="L71" s="3">
        <v>0</v>
      </c>
      <c r="M71" s="3">
        <v>0</v>
      </c>
      <c r="N71" s="13">
        <v>0</v>
      </c>
      <c r="O71" s="13">
        <v>0</v>
      </c>
      <c r="P71" s="20"/>
      <c r="Q71" s="82">
        <f t="shared" si="3"/>
        <v>2.6390068511412935E-2</v>
      </c>
      <c r="R71" s="14">
        <v>13.200000000000001</v>
      </c>
      <c r="S71" s="15">
        <v>33.000000000000064</v>
      </c>
      <c r="T71" s="16">
        <v>2.1974920677171777E-7</v>
      </c>
    </row>
    <row r="72" spans="1:20" ht="16" hidden="1">
      <c r="A72" s="80" t="s">
        <v>388</v>
      </c>
      <c r="B72" s="81" t="s">
        <v>60</v>
      </c>
      <c r="C72" s="18"/>
      <c r="D72" s="21">
        <v>225279.62999999998</v>
      </c>
      <c r="E72" s="21">
        <v>225279.62999999998</v>
      </c>
      <c r="F72" s="21">
        <v>225279.62999999998</v>
      </c>
      <c r="G72" s="21">
        <v>225279.62999999998</v>
      </c>
      <c r="H72" s="21">
        <v>225279.62999999998</v>
      </c>
      <c r="I72" s="21">
        <v>225279.62999999998</v>
      </c>
      <c r="J72" s="3">
        <v>0</v>
      </c>
      <c r="K72" s="3">
        <v>0</v>
      </c>
      <c r="L72" s="3">
        <v>0</v>
      </c>
      <c r="M72" s="3">
        <v>0</v>
      </c>
      <c r="N72" s="13">
        <v>0</v>
      </c>
      <c r="O72" s="13">
        <v>0</v>
      </c>
      <c r="P72" s="20"/>
      <c r="Q72" s="82">
        <f t="shared" si="3"/>
        <v>2.5883673507448596E-2</v>
      </c>
      <c r="R72" s="14">
        <v>-13019.57</v>
      </c>
      <c r="S72" s="15">
        <v>-1</v>
      </c>
      <c r="T72" s="16">
        <v>0</v>
      </c>
    </row>
    <row r="73" spans="1:20" ht="16">
      <c r="A73" s="83" t="s">
        <v>948</v>
      </c>
      <c r="B73" s="81" t="s">
        <v>67</v>
      </c>
      <c r="C73" s="18"/>
      <c r="D73" s="21">
        <v>152024.99000000002</v>
      </c>
      <c r="E73" s="21">
        <v>214321.96000000002</v>
      </c>
      <c r="F73" s="21">
        <v>281406.26</v>
      </c>
      <c r="G73" s="21">
        <v>348490.56</v>
      </c>
      <c r="H73" s="21">
        <v>250146.72999999998</v>
      </c>
      <c r="I73" s="21">
        <v>214321.94999999998</v>
      </c>
      <c r="J73" s="3">
        <v>0</v>
      </c>
      <c r="K73" s="3">
        <v>0</v>
      </c>
      <c r="L73" s="3">
        <v>0</v>
      </c>
      <c r="M73" s="3">
        <v>0</v>
      </c>
      <c r="N73" s="13">
        <v>0</v>
      </c>
      <c r="O73" s="13">
        <v>0</v>
      </c>
      <c r="P73" s="20"/>
      <c r="Q73" s="82">
        <f t="shared" si="3"/>
        <v>2.4624682574628354E-2</v>
      </c>
      <c r="R73" s="14">
        <v>0</v>
      </c>
      <c r="S73" s="15">
        <v>0</v>
      </c>
      <c r="T73" s="16">
        <v>1.6158029909685124E-10</v>
      </c>
    </row>
    <row r="74" spans="1:20" ht="16" hidden="1">
      <c r="A74" s="87" t="s">
        <v>242</v>
      </c>
      <c r="B74" s="87" t="s">
        <v>78</v>
      </c>
      <c r="C74" s="18"/>
      <c r="D74" s="21">
        <v>0</v>
      </c>
      <c r="E74" s="21">
        <v>0</v>
      </c>
      <c r="F74" s="21">
        <v>0</v>
      </c>
      <c r="G74" s="91">
        <v>0</v>
      </c>
      <c r="H74" s="91">
        <v>129842.86</v>
      </c>
      <c r="I74" s="91">
        <v>209017.37000000002</v>
      </c>
      <c r="J74" s="3">
        <v>0</v>
      </c>
      <c r="K74" s="3">
        <v>0</v>
      </c>
      <c r="L74" s="3">
        <v>0</v>
      </c>
      <c r="M74" s="3">
        <v>0</v>
      </c>
      <c r="N74" s="13">
        <v>0</v>
      </c>
      <c r="O74" s="13">
        <v>0</v>
      </c>
      <c r="P74" s="20"/>
      <c r="Q74" s="82">
        <f t="shared" si="3"/>
        <v>2.4015208842741716E-2</v>
      </c>
      <c r="R74" s="14">
        <v>0</v>
      </c>
      <c r="S74" s="15">
        <v>0</v>
      </c>
      <c r="T74" s="16">
        <v>0</v>
      </c>
    </row>
    <row r="75" spans="1:20" ht="16" hidden="1">
      <c r="A75" s="85" t="s">
        <v>59</v>
      </c>
      <c r="B75" s="81" t="s">
        <v>60</v>
      </c>
      <c r="C75" s="18"/>
      <c r="D75" s="21">
        <v>208800</v>
      </c>
      <c r="E75" s="21">
        <v>208800</v>
      </c>
      <c r="F75" s="21">
        <v>208800</v>
      </c>
      <c r="G75" s="21">
        <v>208800</v>
      </c>
      <c r="H75" s="21">
        <v>208800</v>
      </c>
      <c r="I75" s="21">
        <v>208800</v>
      </c>
      <c r="J75" s="3">
        <v>0</v>
      </c>
      <c r="K75" s="3">
        <v>0</v>
      </c>
      <c r="L75" s="3">
        <v>0</v>
      </c>
      <c r="M75" s="3">
        <v>0</v>
      </c>
      <c r="N75" s="13">
        <v>0</v>
      </c>
      <c r="O75" s="13">
        <v>0</v>
      </c>
      <c r="P75" s="20"/>
      <c r="Q75" s="82">
        <f t="shared" ref="Q75:Q138" si="4">IFERROR(I75/$I$4," ")</f>
        <v>2.3990233952156558E-2</v>
      </c>
      <c r="R75" s="14">
        <v>0</v>
      </c>
      <c r="S75" s="15">
        <v>0</v>
      </c>
      <c r="T75" s="16">
        <v>3.2316059819370248E-10</v>
      </c>
    </row>
    <row r="76" spans="1:20" ht="16">
      <c r="A76" s="80" t="s">
        <v>244</v>
      </c>
      <c r="B76" s="81" t="s">
        <v>67</v>
      </c>
      <c r="C76" s="18"/>
      <c r="D76" s="21">
        <v>60610.559999999998</v>
      </c>
      <c r="E76" s="21">
        <v>60610.579999999994</v>
      </c>
      <c r="F76" s="21">
        <v>5.0000000000000211E-2</v>
      </c>
      <c r="G76" s="21">
        <v>7.000000000000009E-2</v>
      </c>
      <c r="H76" s="21">
        <v>115660.59000000001</v>
      </c>
      <c r="I76" s="21">
        <v>207336.34999999992</v>
      </c>
      <c r="J76" s="3">
        <v>0</v>
      </c>
      <c r="K76" s="3">
        <v>0</v>
      </c>
      <c r="L76" s="3">
        <v>0</v>
      </c>
      <c r="M76" s="3">
        <v>0</v>
      </c>
      <c r="N76" s="13">
        <v>0</v>
      </c>
      <c r="O76" s="13">
        <v>0</v>
      </c>
      <c r="P76" s="20"/>
      <c r="Q76" s="82">
        <f t="shared" si="4"/>
        <v>2.3822066778190678E-2</v>
      </c>
      <c r="R76" s="14">
        <v>0</v>
      </c>
      <c r="S76" s="15">
        <v>0</v>
      </c>
      <c r="T76" s="16">
        <v>0</v>
      </c>
    </row>
    <row r="77" spans="1:20" ht="16">
      <c r="A77" s="80" t="s">
        <v>528</v>
      </c>
      <c r="B77" s="81" t="s">
        <v>67</v>
      </c>
      <c r="C77" s="18"/>
      <c r="D77" s="21">
        <v>205880.68</v>
      </c>
      <c r="E77" s="21">
        <v>205880.68</v>
      </c>
      <c r="F77" s="21">
        <v>205880.68</v>
      </c>
      <c r="G77" s="21">
        <v>205880.68</v>
      </c>
      <c r="H77" s="21">
        <v>205880.68</v>
      </c>
      <c r="I77" s="21">
        <v>205880.68</v>
      </c>
      <c r="J77" s="3">
        <v>0</v>
      </c>
      <c r="K77" s="3">
        <v>0</v>
      </c>
      <c r="L77" s="3">
        <v>0</v>
      </c>
      <c r="M77" s="3">
        <v>0</v>
      </c>
      <c r="N77" s="13">
        <v>0</v>
      </c>
      <c r="O77" s="13">
        <v>0</v>
      </c>
      <c r="P77" s="20"/>
      <c r="Q77" s="82">
        <f t="shared" si="4"/>
        <v>2.3654816472361492E-2</v>
      </c>
      <c r="R77" s="14">
        <v>0</v>
      </c>
      <c r="S77" s="15">
        <v>0</v>
      </c>
      <c r="T77" s="16">
        <v>0</v>
      </c>
    </row>
    <row r="78" spans="1:20" ht="16" hidden="1">
      <c r="A78" s="80" t="s">
        <v>1027</v>
      </c>
      <c r="B78" s="81" t="s">
        <v>60</v>
      </c>
      <c r="C78" s="18"/>
      <c r="D78" s="21">
        <v>579.38999999999976</v>
      </c>
      <c r="E78" s="21">
        <v>194504.50999999989</v>
      </c>
      <c r="F78" s="21">
        <v>-1.48</v>
      </c>
      <c r="G78" s="21">
        <v>-1.48</v>
      </c>
      <c r="H78" s="21">
        <v>-1.48</v>
      </c>
      <c r="I78" s="21">
        <v>203153.33999999991</v>
      </c>
      <c r="J78" s="3">
        <v>0</v>
      </c>
      <c r="K78" s="3">
        <v>0</v>
      </c>
      <c r="L78" s="3">
        <v>0</v>
      </c>
      <c r="M78" s="3">
        <v>0</v>
      </c>
      <c r="N78" s="13">
        <v>0</v>
      </c>
      <c r="O78" s="13">
        <v>0</v>
      </c>
      <c r="P78" s="20"/>
      <c r="Q78" s="82">
        <f t="shared" si="4"/>
        <v>2.3341456679894651E-2</v>
      </c>
      <c r="R78" s="14">
        <v>-1500</v>
      </c>
      <c r="S78" s="15">
        <v>-1</v>
      </c>
      <c r="T78" s="16">
        <v>0</v>
      </c>
    </row>
    <row r="79" spans="1:20" ht="16" hidden="1">
      <c r="A79" s="83" t="s">
        <v>365</v>
      </c>
      <c r="B79" s="81" t="s">
        <v>66</v>
      </c>
      <c r="C79" s="18"/>
      <c r="D79" s="21">
        <v>0</v>
      </c>
      <c r="E79" s="21">
        <v>132198.06</v>
      </c>
      <c r="F79" s="21">
        <v>195074.74</v>
      </c>
      <c r="G79" s="21">
        <v>56512.61</v>
      </c>
      <c r="H79" s="21">
        <v>131759.78999999998</v>
      </c>
      <c r="I79" s="21">
        <v>198499.91999999998</v>
      </c>
      <c r="J79" s="3">
        <v>0</v>
      </c>
      <c r="K79" s="3">
        <v>0</v>
      </c>
      <c r="L79" s="3">
        <v>0</v>
      </c>
      <c r="M79" s="3">
        <v>0</v>
      </c>
      <c r="N79" s="13">
        <v>0</v>
      </c>
      <c r="O79" s="13">
        <v>0</v>
      </c>
      <c r="P79" s="20"/>
      <c r="Q79" s="82">
        <f t="shared" si="4"/>
        <v>2.2806798468794829E-2</v>
      </c>
      <c r="R79" s="14">
        <v>0</v>
      </c>
      <c r="S79" s="15">
        <v>0</v>
      </c>
      <c r="T79" s="16">
        <v>0</v>
      </c>
    </row>
    <row r="80" spans="1:20" ht="16" hidden="1">
      <c r="A80" s="87" t="s">
        <v>328</v>
      </c>
      <c r="B80" s="87" t="s">
        <v>78</v>
      </c>
      <c r="C80" s="18"/>
      <c r="D80" s="21">
        <v>196184.28</v>
      </c>
      <c r="E80" s="21">
        <v>196184.28</v>
      </c>
      <c r="F80" s="21">
        <v>196184.28</v>
      </c>
      <c r="G80" s="91">
        <v>196184.28</v>
      </c>
      <c r="H80" s="91">
        <v>196184.28</v>
      </c>
      <c r="I80" s="91">
        <v>196184.28</v>
      </c>
      <c r="J80" s="3">
        <v>0</v>
      </c>
      <c r="K80" s="3">
        <v>0</v>
      </c>
      <c r="L80" s="3">
        <v>0</v>
      </c>
      <c r="M80" s="3">
        <v>0</v>
      </c>
      <c r="N80" s="13">
        <v>0</v>
      </c>
      <c r="O80" s="13">
        <v>0</v>
      </c>
      <c r="P80" s="20"/>
      <c r="Q80" s="82">
        <f t="shared" si="4"/>
        <v>2.2540741259269102E-2</v>
      </c>
      <c r="R80" s="14">
        <v>0</v>
      </c>
      <c r="S80" s="15">
        <v>0</v>
      </c>
      <c r="T80" s="16">
        <v>0</v>
      </c>
    </row>
    <row r="81" spans="1:20" ht="16" hidden="1">
      <c r="A81" s="85" t="s">
        <v>488</v>
      </c>
      <c r="B81" s="81" t="s">
        <v>66</v>
      </c>
      <c r="C81" s="18"/>
      <c r="D81" s="21">
        <v>179015.93999999997</v>
      </c>
      <c r="E81" s="21">
        <v>210040.18999999997</v>
      </c>
      <c r="F81" s="21">
        <v>88491.24</v>
      </c>
      <c r="G81" s="21">
        <v>128257.75</v>
      </c>
      <c r="H81" s="21">
        <v>162391.91</v>
      </c>
      <c r="I81" s="21">
        <v>192667.05000000002</v>
      </c>
      <c r="J81" s="3">
        <v>0</v>
      </c>
      <c r="K81" s="3">
        <v>0</v>
      </c>
      <c r="L81" s="3">
        <v>0</v>
      </c>
      <c r="M81" s="3">
        <v>0</v>
      </c>
      <c r="N81" s="13">
        <v>0</v>
      </c>
      <c r="O81" s="13">
        <v>0</v>
      </c>
      <c r="P81" s="20"/>
      <c r="Q81" s="82">
        <f t="shared" si="4"/>
        <v>2.2136626457719567E-2</v>
      </c>
      <c r="R81" s="14">
        <v>0</v>
      </c>
      <c r="S81" s="15">
        <v>0</v>
      </c>
      <c r="T81" s="16">
        <v>0</v>
      </c>
    </row>
    <row r="82" spans="1:20" ht="16" hidden="1">
      <c r="A82" s="80" t="s">
        <v>767</v>
      </c>
      <c r="B82" s="81" t="s">
        <v>60</v>
      </c>
      <c r="C82" s="18"/>
      <c r="D82" s="21">
        <v>191103.47999999984</v>
      </c>
      <c r="E82" s="21">
        <v>191103.47999999984</v>
      </c>
      <c r="F82" s="21">
        <v>191103.47999999984</v>
      </c>
      <c r="G82" s="21">
        <v>191103.47999999984</v>
      </c>
      <c r="H82" s="21">
        <v>191103.47999999984</v>
      </c>
      <c r="I82" s="21">
        <v>191103.47999999984</v>
      </c>
      <c r="J82" s="3">
        <v>0</v>
      </c>
      <c r="K82" s="3">
        <v>0</v>
      </c>
      <c r="L82" s="3">
        <v>0</v>
      </c>
      <c r="M82" s="3">
        <v>0</v>
      </c>
      <c r="N82" s="13">
        <v>0</v>
      </c>
      <c r="O82" s="13">
        <v>0</v>
      </c>
      <c r="P82" s="20"/>
      <c r="Q82" s="82">
        <f t="shared" si="4"/>
        <v>2.195697889976661E-2</v>
      </c>
      <c r="R82" s="14">
        <v>0</v>
      </c>
      <c r="S82" s="15">
        <v>0</v>
      </c>
      <c r="T82" s="16">
        <v>0</v>
      </c>
    </row>
    <row r="83" spans="1:20" ht="16" hidden="1">
      <c r="A83" s="83" t="s">
        <v>981</v>
      </c>
      <c r="B83" s="81" t="s">
        <v>162</v>
      </c>
      <c r="C83" s="18"/>
      <c r="D83" s="21">
        <v>100722.64</v>
      </c>
      <c r="E83" s="21">
        <v>101604.97000000003</v>
      </c>
      <c r="F83" s="21">
        <v>163348.75</v>
      </c>
      <c r="G83" s="21">
        <v>188970.29</v>
      </c>
      <c r="H83" s="21">
        <v>214591.83000000002</v>
      </c>
      <c r="I83" s="21">
        <v>189852.63000000003</v>
      </c>
      <c r="J83" s="3">
        <v>0</v>
      </c>
      <c r="K83" s="3">
        <v>0</v>
      </c>
      <c r="L83" s="3">
        <v>0</v>
      </c>
      <c r="M83" s="3">
        <v>0</v>
      </c>
      <c r="N83" s="13">
        <v>0</v>
      </c>
      <c r="O83" s="13">
        <v>0</v>
      </c>
      <c r="P83" s="20"/>
      <c r="Q83" s="82">
        <f t="shared" si="4"/>
        <v>2.1813261542778819E-2</v>
      </c>
      <c r="R83" s="14">
        <v>0</v>
      </c>
      <c r="S83" s="15">
        <v>0</v>
      </c>
      <c r="T83" s="16">
        <v>4.0827463654596E-5</v>
      </c>
    </row>
    <row r="84" spans="1:20" ht="16" hidden="1">
      <c r="A84" s="87" t="s">
        <v>885</v>
      </c>
      <c r="B84" s="81" t="s">
        <v>76</v>
      </c>
      <c r="C84" s="18"/>
      <c r="D84" s="21">
        <v>376741.44000000006</v>
      </c>
      <c r="E84" s="21">
        <v>376741.45</v>
      </c>
      <c r="F84" s="21">
        <v>376741.46</v>
      </c>
      <c r="G84" s="21">
        <v>376741.47000000003</v>
      </c>
      <c r="H84" s="21">
        <v>376741.48000000004</v>
      </c>
      <c r="I84" s="21">
        <v>188370.79000000015</v>
      </c>
      <c r="J84" s="3">
        <v>0</v>
      </c>
      <c r="K84" s="3">
        <v>0</v>
      </c>
      <c r="L84" s="3">
        <v>0</v>
      </c>
      <c r="M84" s="3">
        <v>0</v>
      </c>
      <c r="N84" s="13">
        <v>0</v>
      </c>
      <c r="O84" s="13">
        <v>0</v>
      </c>
      <c r="P84" s="20"/>
      <c r="Q84" s="82">
        <f t="shared" si="4"/>
        <v>2.1643004415002668E-2</v>
      </c>
      <c r="R84" s="14">
        <v>0</v>
      </c>
      <c r="S84" s="15">
        <v>0</v>
      </c>
      <c r="T84" s="16">
        <v>0</v>
      </c>
    </row>
    <row r="85" spans="1:20" ht="16" hidden="1">
      <c r="A85" s="85" t="s">
        <v>673</v>
      </c>
      <c r="B85" s="81" t="s">
        <v>62</v>
      </c>
      <c r="C85" s="18"/>
      <c r="D85" s="21">
        <v>2423.31</v>
      </c>
      <c r="E85" s="21">
        <v>96489.319999999992</v>
      </c>
      <c r="F85" s="21">
        <v>6197.3300000000008</v>
      </c>
      <c r="G85" s="21">
        <v>98843.4</v>
      </c>
      <c r="H85" s="21">
        <v>93182.37999999999</v>
      </c>
      <c r="I85" s="21">
        <v>187248.38999999998</v>
      </c>
      <c r="J85" s="3">
        <v>0</v>
      </c>
      <c r="K85" s="3">
        <v>0</v>
      </c>
      <c r="L85" s="3">
        <v>0</v>
      </c>
      <c r="M85" s="3">
        <v>0</v>
      </c>
      <c r="N85" s="13">
        <v>0</v>
      </c>
      <c r="O85" s="13">
        <v>0</v>
      </c>
      <c r="P85" s="20"/>
      <c r="Q85" s="82">
        <f t="shared" si="4"/>
        <v>2.1514045417934159E-2</v>
      </c>
      <c r="R85" s="14">
        <v>0</v>
      </c>
      <c r="S85" s="15">
        <v>0</v>
      </c>
      <c r="T85" s="16">
        <v>-8.0790149548425605E-10</v>
      </c>
    </row>
    <row r="86" spans="1:20" ht="16">
      <c r="A86" s="83" t="s">
        <v>1002</v>
      </c>
      <c r="B86" s="81" t="s">
        <v>67</v>
      </c>
      <c r="C86" s="18"/>
      <c r="D86" s="21">
        <v>123812.38999999998</v>
      </c>
      <c r="E86" s="21">
        <v>123812.38999999998</v>
      </c>
      <c r="F86" s="21">
        <v>123812.39</v>
      </c>
      <c r="G86" s="21">
        <v>143130.36999999994</v>
      </c>
      <c r="H86" s="21">
        <v>123812.38999999998</v>
      </c>
      <c r="I86" s="21">
        <v>184367.82999999996</v>
      </c>
      <c r="J86" s="3">
        <v>0</v>
      </c>
      <c r="K86" s="3">
        <v>0</v>
      </c>
      <c r="L86" s="3">
        <v>0</v>
      </c>
      <c r="M86" s="3">
        <v>0</v>
      </c>
      <c r="N86" s="13">
        <v>0</v>
      </c>
      <c r="O86" s="13">
        <v>0</v>
      </c>
      <c r="P86" s="20"/>
      <c r="Q86" s="82">
        <f t="shared" si="4"/>
        <v>2.1183081297660094E-2</v>
      </c>
      <c r="R86" s="14">
        <v>0</v>
      </c>
      <c r="S86" s="15">
        <v>0</v>
      </c>
      <c r="T86" s="16">
        <v>0</v>
      </c>
    </row>
    <row r="87" spans="1:20" ht="16" hidden="1">
      <c r="A87" s="87" t="s">
        <v>494</v>
      </c>
      <c r="B87" s="81" t="s">
        <v>85</v>
      </c>
      <c r="C87" s="18"/>
      <c r="D87" s="21">
        <v>179044.36000000002</v>
      </c>
      <c r="E87" s="21">
        <v>179044.36000000002</v>
      </c>
      <c r="F87" s="21">
        <v>179044.36000000002</v>
      </c>
      <c r="G87" s="21">
        <v>179044.36000000002</v>
      </c>
      <c r="H87" s="21">
        <v>179044.36000000002</v>
      </c>
      <c r="I87" s="21">
        <v>179044.36000000002</v>
      </c>
      <c r="J87" s="3">
        <v>0</v>
      </c>
      <c r="K87" s="3">
        <v>0</v>
      </c>
      <c r="L87" s="3">
        <v>0</v>
      </c>
      <c r="M87" s="3">
        <v>0</v>
      </c>
      <c r="N87" s="13">
        <v>0</v>
      </c>
      <c r="O87" s="13">
        <v>0</v>
      </c>
      <c r="P87" s="20"/>
      <c r="Q87" s="82">
        <f t="shared" si="4"/>
        <v>2.0571437184933629E-2</v>
      </c>
      <c r="R87" s="14">
        <v>-1500</v>
      </c>
      <c r="S87" s="15">
        <v>-5.6857766884671972E-2</v>
      </c>
      <c r="T87" s="16">
        <v>4.0203796016141977E-4</v>
      </c>
    </row>
    <row r="88" spans="1:20" ht="16" hidden="1">
      <c r="A88" s="87" t="s">
        <v>397</v>
      </c>
      <c r="B88" s="87" t="s">
        <v>78</v>
      </c>
      <c r="C88" s="18"/>
      <c r="D88" s="21">
        <v>89742.389999999985</v>
      </c>
      <c r="E88" s="21">
        <v>111543.03999999998</v>
      </c>
      <c r="F88" s="21">
        <v>161351.79</v>
      </c>
      <c r="G88" s="21">
        <v>175855.34999999998</v>
      </c>
      <c r="H88" s="21">
        <v>181295.35999999999</v>
      </c>
      <c r="I88" s="21">
        <v>175015.36</v>
      </c>
      <c r="J88" s="3">
        <v>0</v>
      </c>
      <c r="K88" s="3">
        <v>0</v>
      </c>
      <c r="L88" s="3">
        <v>0</v>
      </c>
      <c r="M88" s="3">
        <v>0</v>
      </c>
      <c r="N88" s="13">
        <v>0</v>
      </c>
      <c r="O88" s="13">
        <v>0</v>
      </c>
      <c r="P88" s="20"/>
      <c r="Q88" s="82">
        <f t="shared" si="4"/>
        <v>2.0108522182092445E-2</v>
      </c>
      <c r="R88" s="14">
        <v>0</v>
      </c>
      <c r="S88" s="15">
        <v>0</v>
      </c>
      <c r="T88" s="16">
        <v>0</v>
      </c>
    </row>
    <row r="89" spans="1:20" ht="16">
      <c r="A89" s="85" t="s">
        <v>227</v>
      </c>
      <c r="B89" s="81" t="s">
        <v>67</v>
      </c>
      <c r="C89" s="18"/>
      <c r="D89" s="21">
        <v>133502.64999999997</v>
      </c>
      <c r="E89" s="21">
        <v>155253.96999999997</v>
      </c>
      <c r="F89" s="21">
        <v>147253.96999999997</v>
      </c>
      <c r="G89" s="21">
        <v>123253.96000000004</v>
      </c>
      <c r="H89" s="21">
        <v>141005.28999999995</v>
      </c>
      <c r="I89" s="21">
        <v>174058.77999999994</v>
      </c>
      <c r="J89" s="3">
        <v>0</v>
      </c>
      <c r="K89" s="3">
        <v>0</v>
      </c>
      <c r="L89" s="3">
        <v>0</v>
      </c>
      <c r="M89" s="3">
        <v>0</v>
      </c>
      <c r="N89" s="13">
        <v>0</v>
      </c>
      <c r="O89" s="13">
        <v>0</v>
      </c>
      <c r="P89" s="20"/>
      <c r="Q89" s="82">
        <f t="shared" si="4"/>
        <v>1.9998615199362777E-2</v>
      </c>
      <c r="R89" s="14">
        <v>0</v>
      </c>
      <c r="S89" s="15">
        <v>0</v>
      </c>
      <c r="T89" s="16">
        <v>0</v>
      </c>
    </row>
    <row r="90" spans="1:20" ht="16" hidden="1">
      <c r="A90" s="80" t="s">
        <v>924</v>
      </c>
      <c r="B90" s="81" t="s">
        <v>62</v>
      </c>
      <c r="C90" s="18"/>
      <c r="D90" s="21">
        <v>0</v>
      </c>
      <c r="E90" s="21">
        <v>0</v>
      </c>
      <c r="F90" s="21">
        <v>0</v>
      </c>
      <c r="G90" s="21">
        <v>88145.709999999992</v>
      </c>
      <c r="H90" s="21">
        <v>146136.31</v>
      </c>
      <c r="I90" s="21">
        <v>173971.8</v>
      </c>
      <c r="J90" s="3">
        <v>0</v>
      </c>
      <c r="K90" s="3">
        <v>0</v>
      </c>
      <c r="L90" s="3">
        <v>0</v>
      </c>
      <c r="M90" s="3">
        <v>0</v>
      </c>
      <c r="N90" s="13">
        <v>0</v>
      </c>
      <c r="O90" s="13">
        <v>0</v>
      </c>
      <c r="P90" s="20"/>
      <c r="Q90" s="82">
        <f t="shared" si="4"/>
        <v>1.9988621566464512E-2</v>
      </c>
      <c r="R90" s="14">
        <v>0</v>
      </c>
      <c r="S90" s="15">
        <v>0</v>
      </c>
      <c r="T90" s="16">
        <v>0</v>
      </c>
    </row>
    <row r="91" spans="1:20" ht="16" hidden="1">
      <c r="A91" s="80" t="s">
        <v>906</v>
      </c>
      <c r="B91" s="81" t="s">
        <v>62</v>
      </c>
      <c r="C91" s="18"/>
      <c r="D91" s="21">
        <v>4.8600000000000003</v>
      </c>
      <c r="E91" s="21">
        <v>4.8600000000000003</v>
      </c>
      <c r="F91" s="21">
        <v>4.8600000000000003</v>
      </c>
      <c r="G91" s="21">
        <v>172127.77000000008</v>
      </c>
      <c r="H91" s="21">
        <v>172127.77000000008</v>
      </c>
      <c r="I91" s="21">
        <v>172127.77000000008</v>
      </c>
      <c r="J91" s="3">
        <v>0</v>
      </c>
      <c r="K91" s="3">
        <v>0</v>
      </c>
      <c r="L91" s="3">
        <v>0</v>
      </c>
      <c r="M91" s="3">
        <v>0</v>
      </c>
      <c r="N91" s="13">
        <v>0</v>
      </c>
      <c r="O91" s="13">
        <v>0</v>
      </c>
      <c r="P91" s="20"/>
      <c r="Q91" s="82">
        <f t="shared" si="4"/>
        <v>1.977675034465037E-2</v>
      </c>
      <c r="R91" s="14">
        <v>0</v>
      </c>
      <c r="S91" s="15">
        <v>0</v>
      </c>
      <c r="T91" s="16">
        <v>8.0790149548425657E-10</v>
      </c>
    </row>
    <row r="92" spans="1:20" ht="16" hidden="1">
      <c r="A92" s="83" t="s">
        <v>110</v>
      </c>
      <c r="B92" s="81" t="s">
        <v>62</v>
      </c>
      <c r="C92" s="18"/>
      <c r="D92" s="21">
        <v>84822.010000000009</v>
      </c>
      <c r="E92" s="21">
        <v>84822.010000000009</v>
      </c>
      <c r="F92" s="21">
        <v>84822.00999999998</v>
      </c>
      <c r="G92" s="21">
        <v>84822.010000000009</v>
      </c>
      <c r="H92" s="21">
        <v>84822.010000000009</v>
      </c>
      <c r="I92" s="21">
        <v>169643.97000000003</v>
      </c>
      <c r="J92" s="3">
        <v>0</v>
      </c>
      <c r="K92" s="3">
        <v>0</v>
      </c>
      <c r="L92" s="3">
        <v>0</v>
      </c>
      <c r="M92" s="3">
        <v>0</v>
      </c>
      <c r="N92" s="13">
        <v>0</v>
      </c>
      <c r="O92" s="13">
        <v>0</v>
      </c>
      <c r="P92" s="20"/>
      <c r="Q92" s="82">
        <f t="shared" si="4"/>
        <v>1.9491372264715659E-2</v>
      </c>
      <c r="R92" s="14">
        <v>0</v>
      </c>
      <c r="S92" s="15">
        <v>0</v>
      </c>
      <c r="T92" s="16">
        <v>9.6948179458110776E-10</v>
      </c>
    </row>
    <row r="93" spans="1:20" ht="16" hidden="1">
      <c r="A93" s="87" t="s">
        <v>375</v>
      </c>
      <c r="B93" s="81" t="s">
        <v>85</v>
      </c>
      <c r="C93" s="18"/>
      <c r="D93" s="21">
        <v>0.35000000000000014</v>
      </c>
      <c r="E93" s="21">
        <v>102672.35</v>
      </c>
      <c r="F93" s="21">
        <v>154008.35000000027</v>
      </c>
      <c r="G93" s="21">
        <v>205344.35</v>
      </c>
      <c r="H93" s="21">
        <v>154008.35</v>
      </c>
      <c r="I93" s="21">
        <v>154008.35</v>
      </c>
      <c r="J93" s="3">
        <v>0</v>
      </c>
      <c r="K93" s="3">
        <v>0</v>
      </c>
      <c r="L93" s="3">
        <v>0</v>
      </c>
      <c r="M93" s="3">
        <v>0</v>
      </c>
      <c r="N93" s="13">
        <v>0</v>
      </c>
      <c r="O93" s="13">
        <v>0</v>
      </c>
      <c r="P93" s="20"/>
      <c r="Q93" s="82">
        <f t="shared" si="4"/>
        <v>1.7694905876846793E-2</v>
      </c>
      <c r="R93" s="14">
        <v>0</v>
      </c>
      <c r="S93" s="15">
        <v>0</v>
      </c>
      <c r="T93" s="16">
        <v>2.3228929220432532E-4</v>
      </c>
    </row>
    <row r="94" spans="1:20" ht="16" hidden="1">
      <c r="A94" s="87" t="s">
        <v>1196</v>
      </c>
      <c r="B94" s="81" t="s">
        <v>85</v>
      </c>
      <c r="C94" s="18"/>
      <c r="D94" s="21">
        <v>2124.8200000000002</v>
      </c>
      <c r="E94" s="21">
        <v>36727.54</v>
      </c>
      <c r="F94" s="21">
        <v>36785.579999999994</v>
      </c>
      <c r="G94" s="21">
        <v>36034.31</v>
      </c>
      <c r="H94" s="21">
        <v>120058.25</v>
      </c>
      <c r="I94" s="21">
        <v>150306.86999999997</v>
      </c>
      <c r="J94" s="3">
        <v>0</v>
      </c>
      <c r="K94" s="3">
        <v>0</v>
      </c>
      <c r="L94" s="3">
        <v>0</v>
      </c>
      <c r="M94" s="3">
        <v>0</v>
      </c>
      <c r="N94" s="13">
        <v>0</v>
      </c>
      <c r="O94" s="13">
        <v>0</v>
      </c>
      <c r="P94" s="20"/>
      <c r="Q94" s="82">
        <f t="shared" si="4"/>
        <v>1.7269621532166577E-2</v>
      </c>
      <c r="R94" s="14">
        <v>0</v>
      </c>
      <c r="S94" s="15">
        <v>0</v>
      </c>
      <c r="T94" s="16">
        <v>0</v>
      </c>
    </row>
    <row r="95" spans="1:20" ht="16" hidden="1">
      <c r="A95" s="86" t="s">
        <v>612</v>
      </c>
      <c r="B95" s="81" t="s">
        <v>66</v>
      </c>
      <c r="C95" s="18"/>
      <c r="D95" s="21">
        <v>143520.29999999999</v>
      </c>
      <c r="E95" s="21">
        <v>143520.29999999999</v>
      </c>
      <c r="F95" s="21">
        <v>143520.29999999999</v>
      </c>
      <c r="G95" s="21">
        <v>143520.29999999999</v>
      </c>
      <c r="H95" s="21">
        <v>143520.29999999999</v>
      </c>
      <c r="I95" s="21">
        <v>143520.29999999999</v>
      </c>
      <c r="J95" s="3">
        <v>0</v>
      </c>
      <c r="K95" s="3">
        <v>0</v>
      </c>
      <c r="L95" s="3">
        <v>0</v>
      </c>
      <c r="M95" s="3">
        <v>0</v>
      </c>
      <c r="N95" s="13">
        <v>0</v>
      </c>
      <c r="O95" s="13">
        <v>0</v>
      </c>
      <c r="P95" s="20"/>
      <c r="Q95" s="82">
        <f t="shared" si="4"/>
        <v>1.64898734381403E-2</v>
      </c>
      <c r="R95" s="14">
        <v>0</v>
      </c>
      <c r="S95" s="15">
        <v>0</v>
      </c>
      <c r="T95" s="16">
        <v>0</v>
      </c>
    </row>
    <row r="96" spans="1:20" ht="16" hidden="1">
      <c r="A96" s="87" t="s">
        <v>1142</v>
      </c>
      <c r="B96" s="87" t="s">
        <v>78</v>
      </c>
      <c r="C96" s="18"/>
      <c r="D96" s="21">
        <v>143324.07999999999</v>
      </c>
      <c r="E96" s="21">
        <v>143324.07999999999</v>
      </c>
      <c r="F96" s="21">
        <v>143324.07999999999</v>
      </c>
      <c r="G96" s="21">
        <v>143324.07999999999</v>
      </c>
      <c r="H96" s="21">
        <v>143324.07999999999</v>
      </c>
      <c r="I96" s="21">
        <v>143324.07999999999</v>
      </c>
      <c r="J96" s="3">
        <v>0</v>
      </c>
      <c r="K96" s="3">
        <v>0</v>
      </c>
      <c r="L96" s="3">
        <v>0</v>
      </c>
      <c r="M96" s="3">
        <v>0</v>
      </c>
      <c r="N96" s="13">
        <v>0</v>
      </c>
      <c r="O96" s="13">
        <v>0</v>
      </c>
      <c r="P96" s="20"/>
      <c r="Q96" s="82">
        <f t="shared" si="4"/>
        <v>1.6467328592804611E-2</v>
      </c>
      <c r="R96" s="14">
        <v>0</v>
      </c>
      <c r="S96" s="15">
        <v>0</v>
      </c>
      <c r="T96" s="16">
        <v>0</v>
      </c>
    </row>
    <row r="97" spans="1:20" ht="16" hidden="1">
      <c r="A97" s="87" t="s">
        <v>687</v>
      </c>
      <c r="B97" s="81" t="s">
        <v>83</v>
      </c>
      <c r="C97" s="18"/>
      <c r="D97" s="21">
        <v>86130.766179999991</v>
      </c>
      <c r="E97" s="21">
        <v>86769.031386000002</v>
      </c>
      <c r="F97" s="21">
        <v>90567.041651000007</v>
      </c>
      <c r="G97" s="21">
        <v>94989.676665999985</v>
      </c>
      <c r="H97" s="21">
        <v>95572.122581000003</v>
      </c>
      <c r="I97" s="21">
        <v>140024.10238600001</v>
      </c>
      <c r="J97" s="3">
        <v>0</v>
      </c>
      <c r="K97" s="3">
        <v>0</v>
      </c>
      <c r="L97" s="3">
        <v>0</v>
      </c>
      <c r="M97" s="3">
        <v>0</v>
      </c>
      <c r="N97" s="13">
        <v>0</v>
      </c>
      <c r="O97" s="13">
        <v>0</v>
      </c>
      <c r="P97" s="20"/>
      <c r="Q97" s="82">
        <f t="shared" si="4"/>
        <v>1.6088175168490728E-2</v>
      </c>
      <c r="R97" s="14">
        <v>0</v>
      </c>
      <c r="S97" s="15">
        <v>0</v>
      </c>
      <c r="T97" s="16">
        <v>0</v>
      </c>
    </row>
    <row r="98" spans="1:20" ht="16" hidden="1">
      <c r="A98" s="87" t="s">
        <v>459</v>
      </c>
      <c r="B98" s="81" t="s">
        <v>85</v>
      </c>
      <c r="C98" s="18"/>
      <c r="D98" s="21">
        <v>62907.6</v>
      </c>
      <c r="E98" s="21">
        <v>134135.76</v>
      </c>
      <c r="F98" s="21">
        <v>175363.92</v>
      </c>
      <c r="G98" s="21">
        <v>246592.08000000002</v>
      </c>
      <c r="H98" s="21">
        <v>255363.92</v>
      </c>
      <c r="I98" s="21">
        <v>134135.76</v>
      </c>
      <c r="J98" s="3">
        <v>0</v>
      </c>
      <c r="K98" s="3">
        <v>0</v>
      </c>
      <c r="L98" s="3">
        <v>0</v>
      </c>
      <c r="M98" s="3">
        <v>0</v>
      </c>
      <c r="N98" s="13">
        <v>0</v>
      </c>
      <c r="O98" s="13">
        <v>0</v>
      </c>
      <c r="P98" s="20"/>
      <c r="Q98" s="82">
        <f t="shared" si="4"/>
        <v>1.541162961566247E-2</v>
      </c>
      <c r="R98" s="14">
        <v>3507.2999999999993</v>
      </c>
      <c r="S98" s="15">
        <v>0.32177270863207369</v>
      </c>
      <c r="T98" s="16">
        <v>2.3279245325571289E-4</v>
      </c>
    </row>
    <row r="99" spans="1:20" ht="16" hidden="1">
      <c r="A99" s="87" t="s">
        <v>331</v>
      </c>
      <c r="B99" s="81" t="s">
        <v>85</v>
      </c>
      <c r="C99" s="18"/>
      <c r="D99" s="21">
        <v>72656.3</v>
      </c>
      <c r="E99" s="21">
        <v>60656.3</v>
      </c>
      <c r="F99" s="21">
        <v>102122.18</v>
      </c>
      <c r="G99" s="21">
        <v>143588.06</v>
      </c>
      <c r="H99" s="21">
        <v>131588.06</v>
      </c>
      <c r="I99" s="21">
        <v>131588.06</v>
      </c>
      <c r="J99" s="3">
        <v>0</v>
      </c>
      <c r="K99" s="3">
        <v>0</v>
      </c>
      <c r="L99" s="3">
        <v>0</v>
      </c>
      <c r="M99" s="3">
        <v>0</v>
      </c>
      <c r="N99" s="13">
        <v>0</v>
      </c>
      <c r="O99" s="13">
        <v>0</v>
      </c>
      <c r="P99" s="20"/>
      <c r="Q99" s="82">
        <f t="shared" si="4"/>
        <v>1.5118909696888958E-2</v>
      </c>
      <c r="R99" s="14">
        <v>5.0000000000000044E-2</v>
      </c>
      <c r="S99" s="15">
        <v>0.18518518518518542</v>
      </c>
      <c r="T99" s="16">
        <v>5.1705695710992405E-9</v>
      </c>
    </row>
    <row r="100" spans="1:20" ht="16">
      <c r="A100" s="85" t="s">
        <v>474</v>
      </c>
      <c r="B100" s="81" t="s">
        <v>67</v>
      </c>
      <c r="C100" s="18"/>
      <c r="D100" s="21">
        <v>126382.29000000008</v>
      </c>
      <c r="E100" s="21">
        <v>126382.29000000008</v>
      </c>
      <c r="F100" s="21">
        <v>126382.29000000008</v>
      </c>
      <c r="G100" s="21">
        <v>126382.29000000008</v>
      </c>
      <c r="H100" s="21">
        <v>126382.29000000008</v>
      </c>
      <c r="I100" s="21">
        <v>126382.29000000008</v>
      </c>
      <c r="J100" s="3">
        <v>0</v>
      </c>
      <c r="K100" s="3">
        <v>0</v>
      </c>
      <c r="L100" s="3">
        <v>0</v>
      </c>
      <c r="M100" s="3">
        <v>0</v>
      </c>
      <c r="N100" s="13">
        <v>0</v>
      </c>
      <c r="O100" s="13">
        <v>0</v>
      </c>
      <c r="P100" s="20"/>
      <c r="Q100" s="82">
        <f t="shared" si="4"/>
        <v>1.4520788814699705E-2</v>
      </c>
      <c r="R100" s="14">
        <v>0</v>
      </c>
      <c r="S100" s="15">
        <v>0</v>
      </c>
      <c r="T100" s="16">
        <v>-1.6158029909685129E-10</v>
      </c>
    </row>
    <row r="101" spans="1:20" ht="16" hidden="1">
      <c r="A101" s="83" t="s">
        <v>505</v>
      </c>
      <c r="B101" s="81" t="s">
        <v>85</v>
      </c>
      <c r="C101" s="18"/>
      <c r="D101" s="21">
        <v>0</v>
      </c>
      <c r="E101" s="21">
        <v>0</v>
      </c>
      <c r="F101" s="21">
        <v>16000</v>
      </c>
      <c r="G101" s="21">
        <v>180128.07</v>
      </c>
      <c r="H101" s="21">
        <v>125845.38</v>
      </c>
      <c r="I101" s="21">
        <v>125845.38</v>
      </c>
      <c r="J101" s="3">
        <v>0</v>
      </c>
      <c r="K101" s="3">
        <v>0</v>
      </c>
      <c r="L101" s="3">
        <v>0</v>
      </c>
      <c r="M101" s="3">
        <v>0</v>
      </c>
      <c r="N101" s="13">
        <v>0</v>
      </c>
      <c r="O101" s="13">
        <v>0</v>
      </c>
      <c r="P101" s="20"/>
      <c r="Q101" s="82">
        <f t="shared" si="4"/>
        <v>1.445910013409025E-2</v>
      </c>
      <c r="R101" s="14">
        <v>0</v>
      </c>
      <c r="S101" s="15">
        <v>0</v>
      </c>
      <c r="T101" s="16">
        <v>0</v>
      </c>
    </row>
    <row r="102" spans="1:20" ht="16" hidden="1">
      <c r="A102" s="87" t="s">
        <v>248</v>
      </c>
      <c r="B102" s="87" t="s">
        <v>78</v>
      </c>
      <c r="C102" s="18"/>
      <c r="D102" s="21">
        <v>7075.6100000000006</v>
      </c>
      <c r="E102" s="21">
        <v>35979.350000000006</v>
      </c>
      <c r="F102" s="21">
        <v>41330.870000000003</v>
      </c>
      <c r="G102" s="21">
        <v>32459.19</v>
      </c>
      <c r="H102" s="21">
        <v>112026.54000000001</v>
      </c>
      <c r="I102" s="21">
        <v>124901.38</v>
      </c>
      <c r="J102" s="3">
        <v>0</v>
      </c>
      <c r="K102" s="3">
        <v>0</v>
      </c>
      <c r="L102" s="3">
        <v>0</v>
      </c>
      <c r="M102" s="3">
        <v>0</v>
      </c>
      <c r="N102" s="13">
        <v>0</v>
      </c>
      <c r="O102" s="13">
        <v>0</v>
      </c>
      <c r="P102" s="20"/>
      <c r="Q102" s="82">
        <f t="shared" si="4"/>
        <v>1.4350638539977052E-2</v>
      </c>
      <c r="R102" s="14">
        <v>5.9999999999998721E-2</v>
      </c>
      <c r="S102" s="15">
        <v>5.9055118110234962E-3</v>
      </c>
      <c r="T102" s="16">
        <v>1.65135065676982E-7</v>
      </c>
    </row>
    <row r="103" spans="1:20" ht="16" hidden="1">
      <c r="A103" s="85" t="s">
        <v>930</v>
      </c>
      <c r="B103" s="81" t="s">
        <v>85</v>
      </c>
      <c r="C103" s="18"/>
      <c r="D103" s="21">
        <v>91079.690000000017</v>
      </c>
      <c r="E103" s="21">
        <v>113305.15</v>
      </c>
      <c r="F103" s="21">
        <v>195298.55999999994</v>
      </c>
      <c r="G103" s="21">
        <v>48197.479999999996</v>
      </c>
      <c r="H103" s="21">
        <v>55857.88</v>
      </c>
      <c r="I103" s="21">
        <v>124850.51999999999</v>
      </c>
      <c r="J103" s="3">
        <v>0</v>
      </c>
      <c r="K103" s="3">
        <v>0</v>
      </c>
      <c r="L103" s="3">
        <v>0</v>
      </c>
      <c r="M103" s="3">
        <v>0</v>
      </c>
      <c r="N103" s="13">
        <v>0</v>
      </c>
      <c r="O103" s="13">
        <v>0</v>
      </c>
      <c r="P103" s="20"/>
      <c r="Q103" s="82">
        <f t="shared" si="4"/>
        <v>1.4344794941802687E-2</v>
      </c>
      <c r="R103" s="14">
        <v>-20548.770000000004</v>
      </c>
      <c r="S103" s="15">
        <v>-0.57235469955011065</v>
      </c>
      <c r="T103" s="16">
        <v>2.4808053483506059E-4</v>
      </c>
    </row>
    <row r="104" spans="1:20" ht="16" hidden="1">
      <c r="A104" s="83" t="s">
        <v>1002</v>
      </c>
      <c r="B104" s="81" t="s">
        <v>62</v>
      </c>
      <c r="C104" s="18"/>
      <c r="D104" s="21">
        <v>0</v>
      </c>
      <c r="E104" s="21">
        <v>0</v>
      </c>
      <c r="F104" s="21">
        <v>0</v>
      </c>
      <c r="G104" s="21">
        <v>70559</v>
      </c>
      <c r="H104" s="21">
        <v>124731.8</v>
      </c>
      <c r="I104" s="21">
        <v>124731.8</v>
      </c>
      <c r="J104" s="3">
        <v>0</v>
      </c>
      <c r="K104" s="3">
        <v>0</v>
      </c>
      <c r="L104" s="3">
        <v>0</v>
      </c>
      <c r="M104" s="3">
        <v>0</v>
      </c>
      <c r="N104" s="13">
        <v>0</v>
      </c>
      <c r="O104" s="13">
        <v>0</v>
      </c>
      <c r="P104" s="20"/>
      <c r="Q104" s="82">
        <f t="shared" si="4"/>
        <v>1.4331154517593876E-2</v>
      </c>
      <c r="R104" s="14">
        <v>0</v>
      </c>
      <c r="S104" s="15">
        <v>0</v>
      </c>
      <c r="T104" s="16">
        <v>0</v>
      </c>
    </row>
    <row r="105" spans="1:20" ht="16" hidden="1">
      <c r="A105" s="87" t="s">
        <v>301</v>
      </c>
      <c r="B105" s="87" t="s">
        <v>78</v>
      </c>
      <c r="C105" s="18"/>
      <c r="D105" s="21">
        <v>122014.71999999993</v>
      </c>
      <c r="E105" s="21">
        <v>122014.71999999993</v>
      </c>
      <c r="F105" s="21">
        <v>122014.71999999993</v>
      </c>
      <c r="G105" s="21">
        <v>122014.71999999993</v>
      </c>
      <c r="H105" s="21">
        <v>122014.71999999993</v>
      </c>
      <c r="I105" s="21">
        <v>122014.71999999993</v>
      </c>
      <c r="J105" s="3">
        <v>0</v>
      </c>
      <c r="K105" s="3">
        <v>0</v>
      </c>
      <c r="L105" s="3">
        <v>0</v>
      </c>
      <c r="M105" s="3">
        <v>0</v>
      </c>
      <c r="N105" s="13">
        <v>0</v>
      </c>
      <c r="O105" s="13">
        <v>0</v>
      </c>
      <c r="P105" s="20"/>
      <c r="Q105" s="82">
        <f t="shared" si="4"/>
        <v>1.4018973555588479E-2</v>
      </c>
      <c r="R105" s="14">
        <v>1.0000000000000009E-2</v>
      </c>
      <c r="S105" s="15">
        <v>5.5555555555555601E-2</v>
      </c>
      <c r="T105" s="16">
        <v>3.0700256828401753E-9</v>
      </c>
    </row>
    <row r="106" spans="1:20" ht="16">
      <c r="A106" s="85" t="s">
        <v>517</v>
      </c>
      <c r="B106" s="81" t="s">
        <v>67</v>
      </c>
      <c r="C106" s="18"/>
      <c r="D106" s="21">
        <v>121548.02999999996</v>
      </c>
      <c r="E106" s="21">
        <v>121548.02999999996</v>
      </c>
      <c r="F106" s="21">
        <v>121548.02999999996</v>
      </c>
      <c r="G106" s="21">
        <v>121548.02999999996</v>
      </c>
      <c r="H106" s="21">
        <v>121548.02999999996</v>
      </c>
      <c r="I106" s="21">
        <v>121548.02999999996</v>
      </c>
      <c r="J106" s="3">
        <v>0</v>
      </c>
      <c r="K106" s="3">
        <v>0</v>
      </c>
      <c r="L106" s="3">
        <v>0</v>
      </c>
      <c r="M106" s="3">
        <v>0</v>
      </c>
      <c r="N106" s="13">
        <v>0</v>
      </c>
      <c r="O106" s="13">
        <v>0</v>
      </c>
      <c r="P106" s="20"/>
      <c r="Q106" s="82">
        <f t="shared" si="4"/>
        <v>1.3965352854998768E-2</v>
      </c>
      <c r="R106" s="14">
        <v>36267.78</v>
      </c>
      <c r="S106" s="15">
        <v>9.942343488284747</v>
      </c>
      <c r="T106" s="16">
        <v>6.4495729708272879E-4</v>
      </c>
    </row>
    <row r="107" spans="1:20" ht="16" hidden="1">
      <c r="A107" s="80" t="s">
        <v>1199</v>
      </c>
      <c r="B107" s="81" t="s">
        <v>62</v>
      </c>
      <c r="C107" s="18"/>
      <c r="D107" s="21">
        <v>83951.120000000024</v>
      </c>
      <c r="E107" s="21">
        <v>85837.170000000027</v>
      </c>
      <c r="F107" s="21">
        <v>82576.400000000009</v>
      </c>
      <c r="G107" s="21">
        <v>151605.18000000002</v>
      </c>
      <c r="H107" s="21">
        <v>80314.439999999988</v>
      </c>
      <c r="I107" s="21">
        <v>114367.96999999999</v>
      </c>
      <c r="J107" s="3">
        <v>0</v>
      </c>
      <c r="K107" s="3">
        <v>0</v>
      </c>
      <c r="L107" s="3">
        <v>0</v>
      </c>
      <c r="M107" s="3">
        <v>0</v>
      </c>
      <c r="N107" s="13">
        <v>0</v>
      </c>
      <c r="O107" s="13">
        <v>0</v>
      </c>
      <c r="P107" s="20"/>
      <c r="Q107" s="82">
        <f t="shared" si="4"/>
        <v>1.3140394429756813E-2</v>
      </c>
      <c r="R107" s="14">
        <v>11943.36</v>
      </c>
      <c r="S107" s="15">
        <v>0.17379043365103009</v>
      </c>
      <c r="T107" s="16">
        <v>1.3034057412385489E-3</v>
      </c>
    </row>
    <row r="108" spans="1:20" ht="16" hidden="1">
      <c r="A108" s="80" t="s">
        <v>337</v>
      </c>
      <c r="B108" s="81" t="s">
        <v>62</v>
      </c>
      <c r="C108" s="18"/>
      <c r="D108" s="21">
        <v>137968.79000000007</v>
      </c>
      <c r="E108" s="21">
        <v>184022.90000000005</v>
      </c>
      <c r="F108" s="21">
        <v>114077.01</v>
      </c>
      <c r="G108" s="21">
        <v>114077.00999999998</v>
      </c>
      <c r="H108" s="21">
        <v>114077.01999999997</v>
      </c>
      <c r="I108" s="21">
        <v>114077.12999999998</v>
      </c>
      <c r="J108" s="3">
        <v>0</v>
      </c>
      <c r="K108" s="3">
        <v>0</v>
      </c>
      <c r="L108" s="3">
        <v>0</v>
      </c>
      <c r="M108" s="3">
        <v>0</v>
      </c>
      <c r="N108" s="13">
        <v>0</v>
      </c>
      <c r="O108" s="13">
        <v>0</v>
      </c>
      <c r="P108" s="20"/>
      <c r="Q108" s="82">
        <f t="shared" si="4"/>
        <v>1.3106978147943376E-2</v>
      </c>
      <c r="R108" s="14">
        <v>0</v>
      </c>
      <c r="S108" s="15">
        <v>0</v>
      </c>
      <c r="T108" s="16">
        <v>1.6158029909685129E-10</v>
      </c>
    </row>
    <row r="109" spans="1:20" ht="16" hidden="1">
      <c r="A109" s="80" t="s">
        <v>797</v>
      </c>
      <c r="B109" s="81" t="s">
        <v>60</v>
      </c>
      <c r="C109" s="18"/>
      <c r="D109" s="21">
        <v>140616.74</v>
      </c>
      <c r="E109" s="21">
        <v>73920.780000000013</v>
      </c>
      <c r="F109" s="21">
        <v>57610.02</v>
      </c>
      <c r="G109" s="21">
        <v>107759.88</v>
      </c>
      <c r="H109" s="21">
        <v>137318.63999999998</v>
      </c>
      <c r="I109" s="21">
        <v>113080</v>
      </c>
      <c r="J109" s="3">
        <v>0</v>
      </c>
      <c r="K109" s="3">
        <v>0</v>
      </c>
      <c r="L109" s="3">
        <v>0</v>
      </c>
      <c r="M109" s="3">
        <v>0</v>
      </c>
      <c r="N109" s="13">
        <v>0</v>
      </c>
      <c r="O109" s="13">
        <v>0</v>
      </c>
      <c r="P109" s="20"/>
      <c r="Q109" s="82">
        <f t="shared" si="4"/>
        <v>1.2992412142288618E-2</v>
      </c>
      <c r="R109" s="14">
        <v>0</v>
      </c>
      <c r="S109" s="15">
        <v>0</v>
      </c>
      <c r="T109" s="16">
        <v>1.7799178386369971E-3</v>
      </c>
    </row>
    <row r="110" spans="1:20" ht="16" hidden="1">
      <c r="A110" s="80" t="s">
        <v>1105</v>
      </c>
      <c r="B110" s="81" t="s">
        <v>85</v>
      </c>
      <c r="C110" s="18"/>
      <c r="D110" s="21">
        <v>112114.47</v>
      </c>
      <c r="E110" s="21">
        <v>112114.47</v>
      </c>
      <c r="F110" s="21">
        <v>112114.47</v>
      </c>
      <c r="G110" s="21">
        <v>112114.47</v>
      </c>
      <c r="H110" s="21">
        <v>112114.47</v>
      </c>
      <c r="I110" s="21">
        <v>112114.47</v>
      </c>
      <c r="J110" s="3">
        <v>0</v>
      </c>
      <c r="K110" s="3">
        <v>0</v>
      </c>
      <c r="L110" s="3">
        <v>0</v>
      </c>
      <c r="M110" s="3">
        <v>0</v>
      </c>
      <c r="N110" s="13">
        <v>0</v>
      </c>
      <c r="O110" s="13">
        <v>0</v>
      </c>
      <c r="P110" s="20"/>
      <c r="Q110" s="82">
        <f t="shared" si="4"/>
        <v>1.2881476842538497E-2</v>
      </c>
      <c r="R110" s="14">
        <v>0</v>
      </c>
      <c r="S110" s="15">
        <v>0</v>
      </c>
      <c r="T110" s="16">
        <v>-1.1633781534973294E-7</v>
      </c>
    </row>
    <row r="111" spans="1:20" ht="16" hidden="1">
      <c r="A111" s="80" t="s">
        <v>159</v>
      </c>
      <c r="B111" s="81" t="s">
        <v>85</v>
      </c>
      <c r="C111" s="18"/>
      <c r="D111" s="21">
        <v>110156.85999999997</v>
      </c>
      <c r="E111" s="21">
        <v>110156.85999999997</v>
      </c>
      <c r="F111" s="21">
        <v>110156.85999999997</v>
      </c>
      <c r="G111" s="21">
        <v>110156.85999999997</v>
      </c>
      <c r="H111" s="21">
        <v>110156.85999999997</v>
      </c>
      <c r="I111" s="21">
        <v>110156.85999999997</v>
      </c>
      <c r="J111" s="3">
        <v>0</v>
      </c>
      <c r="K111" s="3">
        <v>0</v>
      </c>
      <c r="L111" s="3">
        <v>0</v>
      </c>
      <c r="M111" s="3">
        <v>0</v>
      </c>
      <c r="N111" s="13">
        <v>0</v>
      </c>
      <c r="O111" s="13">
        <v>0</v>
      </c>
      <c r="P111" s="20"/>
      <c r="Q111" s="82">
        <f t="shared" si="4"/>
        <v>1.2656555760703812E-2</v>
      </c>
      <c r="R111" s="14">
        <v>0</v>
      </c>
      <c r="S111" s="15">
        <v>0</v>
      </c>
      <c r="T111" s="16">
        <v>0</v>
      </c>
    </row>
    <row r="112" spans="1:20" ht="16" hidden="1">
      <c r="A112" s="83" t="s">
        <v>855</v>
      </c>
      <c r="B112" s="81" t="s">
        <v>62</v>
      </c>
      <c r="C112" s="18"/>
      <c r="D112" s="21">
        <v>106097.13999999998</v>
      </c>
      <c r="E112" s="21">
        <v>96097.140000000014</v>
      </c>
      <c r="F112" s="21">
        <v>86097.14</v>
      </c>
      <c r="G112" s="21">
        <v>76097.139999999985</v>
      </c>
      <c r="H112" s="21">
        <v>63720.000000000007</v>
      </c>
      <c r="I112" s="21">
        <v>108833.92000000001</v>
      </c>
      <c r="J112" s="3">
        <v>0</v>
      </c>
      <c r="K112" s="3">
        <v>0</v>
      </c>
      <c r="L112" s="3">
        <v>0</v>
      </c>
      <c r="M112" s="3">
        <v>0</v>
      </c>
      <c r="N112" s="13">
        <v>0</v>
      </c>
      <c r="O112" s="13">
        <v>0</v>
      </c>
      <c r="P112" s="20"/>
      <c r="Q112" s="82">
        <f t="shared" si="4"/>
        <v>1.2504555568631661E-2</v>
      </c>
      <c r="R112" s="14">
        <v>0</v>
      </c>
      <c r="S112" s="15">
        <v>0</v>
      </c>
      <c r="T112" s="16">
        <v>0</v>
      </c>
    </row>
    <row r="113" spans="1:20" ht="16" hidden="1">
      <c r="A113" s="87" t="s">
        <v>964</v>
      </c>
      <c r="B113" s="81" t="s">
        <v>76</v>
      </c>
      <c r="C113" s="18"/>
      <c r="D113" s="21">
        <v>104988.88999999998</v>
      </c>
      <c r="E113" s="21">
        <v>104988.89000000001</v>
      </c>
      <c r="F113" s="21">
        <v>104988.89000000001</v>
      </c>
      <c r="G113" s="21">
        <v>104988.89000000001</v>
      </c>
      <c r="H113" s="21">
        <v>104988.89000000001</v>
      </c>
      <c r="I113" s="21">
        <v>104988.88999999998</v>
      </c>
      <c r="J113" s="3">
        <v>0</v>
      </c>
      <c r="K113" s="3">
        <v>0</v>
      </c>
      <c r="L113" s="3">
        <v>0</v>
      </c>
      <c r="M113" s="3">
        <v>0</v>
      </c>
      <c r="N113" s="13">
        <v>0</v>
      </c>
      <c r="O113" s="13">
        <v>0</v>
      </c>
      <c r="P113" s="20"/>
      <c r="Q113" s="82">
        <f t="shared" si="4"/>
        <v>1.2062777938109339E-2</v>
      </c>
      <c r="R113" s="14">
        <v>0</v>
      </c>
      <c r="S113" s="15">
        <v>0</v>
      </c>
      <c r="T113" s="16">
        <v>0</v>
      </c>
    </row>
    <row r="114" spans="1:20" ht="16" hidden="1">
      <c r="A114" s="85" t="s">
        <v>868</v>
      </c>
      <c r="B114" s="81" t="s">
        <v>85</v>
      </c>
      <c r="C114" s="18"/>
      <c r="D114" s="21">
        <v>22996.059999999994</v>
      </c>
      <c r="E114" s="21">
        <v>79613.650000000009</v>
      </c>
      <c r="F114" s="21">
        <v>84484.55</v>
      </c>
      <c r="G114" s="21">
        <v>94708.41</v>
      </c>
      <c r="H114" s="21">
        <v>98788.27</v>
      </c>
      <c r="I114" s="21">
        <v>102868.15000000001</v>
      </c>
      <c r="J114" s="3">
        <v>0</v>
      </c>
      <c r="K114" s="3">
        <v>0</v>
      </c>
      <c r="L114" s="3">
        <v>0</v>
      </c>
      <c r="M114" s="3">
        <v>0</v>
      </c>
      <c r="N114" s="13">
        <v>0</v>
      </c>
      <c r="O114" s="13">
        <v>0</v>
      </c>
      <c r="P114" s="20"/>
      <c r="Q114" s="82">
        <f t="shared" si="4"/>
        <v>1.1819113911520756E-2</v>
      </c>
      <c r="R114" s="14">
        <v>0</v>
      </c>
      <c r="S114" s="15">
        <v>0</v>
      </c>
      <c r="T114" s="16">
        <v>0</v>
      </c>
    </row>
    <row r="115" spans="1:20" ht="16" hidden="1">
      <c r="A115" s="80" t="s">
        <v>637</v>
      </c>
      <c r="B115" s="81" t="s">
        <v>85</v>
      </c>
      <c r="C115" s="18"/>
      <c r="D115" s="21">
        <v>101879.40000000001</v>
      </c>
      <c r="E115" s="21">
        <v>58560.600000000006</v>
      </c>
      <c r="F115" s="21">
        <v>101879.40000000001</v>
      </c>
      <c r="G115" s="21">
        <v>58560.600000000006</v>
      </c>
      <c r="H115" s="21">
        <v>59523.010000000009</v>
      </c>
      <c r="I115" s="21">
        <v>102841.81000000001</v>
      </c>
      <c r="J115" s="3">
        <v>0</v>
      </c>
      <c r="K115" s="3">
        <v>0</v>
      </c>
      <c r="L115" s="3">
        <v>0</v>
      </c>
      <c r="M115" s="3">
        <v>0</v>
      </c>
      <c r="N115" s="13">
        <v>0</v>
      </c>
      <c r="O115" s="13">
        <v>0</v>
      </c>
      <c r="P115" s="20"/>
      <c r="Q115" s="82">
        <f t="shared" si="4"/>
        <v>1.1816087557295183E-2</v>
      </c>
      <c r="R115" s="14">
        <v>0</v>
      </c>
      <c r="S115" s="15">
        <v>0</v>
      </c>
      <c r="T115" s="16">
        <v>0</v>
      </c>
    </row>
    <row r="116" spans="1:20" ht="16" hidden="1">
      <c r="A116" s="83" t="s">
        <v>825</v>
      </c>
      <c r="B116" s="81" t="s">
        <v>62</v>
      </c>
      <c r="C116" s="18"/>
      <c r="D116" s="21">
        <v>63095.95</v>
      </c>
      <c r="E116" s="21">
        <v>61935.829999999994</v>
      </c>
      <c r="F116" s="21">
        <v>96775.710000000021</v>
      </c>
      <c r="G116" s="21">
        <v>81615.589999999982</v>
      </c>
      <c r="H116" s="21">
        <v>66455.48</v>
      </c>
      <c r="I116" s="21">
        <v>101295.36</v>
      </c>
      <c r="J116" s="3">
        <v>0</v>
      </c>
      <c r="K116" s="3">
        <v>0</v>
      </c>
      <c r="L116" s="3">
        <v>0</v>
      </c>
      <c r="M116" s="3">
        <v>0</v>
      </c>
      <c r="N116" s="13">
        <v>0</v>
      </c>
      <c r="O116" s="13">
        <v>0</v>
      </c>
      <c r="P116" s="20"/>
      <c r="Q116" s="82">
        <f t="shared" si="4"/>
        <v>1.1638407014693109E-2</v>
      </c>
      <c r="R116" s="14">
        <v>0</v>
      </c>
      <c r="S116" s="15">
        <v>0</v>
      </c>
      <c r="T116" s="16">
        <v>0</v>
      </c>
    </row>
    <row r="117" spans="1:20" ht="16" hidden="1">
      <c r="A117" s="87" t="s">
        <v>769</v>
      </c>
      <c r="B117" s="87" t="s">
        <v>78</v>
      </c>
      <c r="C117" s="18"/>
      <c r="D117" s="21">
        <v>4050.5599999999995</v>
      </c>
      <c r="E117" s="21">
        <v>4050.5599999999995</v>
      </c>
      <c r="F117" s="21">
        <v>4050.5599999999995</v>
      </c>
      <c r="G117" s="21">
        <v>1272.26</v>
      </c>
      <c r="H117" s="21">
        <v>50637.279999999984</v>
      </c>
      <c r="I117" s="21">
        <v>100002.30000000002</v>
      </c>
      <c r="J117" s="3">
        <v>0</v>
      </c>
      <c r="K117" s="3">
        <v>0</v>
      </c>
      <c r="L117" s="3">
        <v>0</v>
      </c>
      <c r="M117" s="3">
        <v>0</v>
      </c>
      <c r="N117" s="13">
        <v>0</v>
      </c>
      <c r="O117" s="13">
        <v>0</v>
      </c>
      <c r="P117" s="20"/>
      <c r="Q117" s="82">
        <f t="shared" si="4"/>
        <v>1.1489839907824454E-2</v>
      </c>
      <c r="R117" s="14">
        <v>0</v>
      </c>
      <c r="S117" s="15">
        <v>0</v>
      </c>
      <c r="T117" s="16">
        <v>0</v>
      </c>
    </row>
    <row r="118" spans="1:20" ht="16" hidden="1">
      <c r="A118" s="85" t="s">
        <v>452</v>
      </c>
      <c r="B118" s="81" t="s">
        <v>62</v>
      </c>
      <c r="C118" s="18"/>
      <c r="D118" s="21">
        <v>99999.999999999985</v>
      </c>
      <c r="E118" s="21">
        <v>99999.999999999985</v>
      </c>
      <c r="F118" s="21">
        <v>100000</v>
      </c>
      <c r="G118" s="21">
        <v>99999.999999999985</v>
      </c>
      <c r="H118" s="21">
        <v>99999.999999999985</v>
      </c>
      <c r="I118" s="21">
        <v>99999.999999999985</v>
      </c>
      <c r="J118" s="3">
        <v>0</v>
      </c>
      <c r="K118" s="3">
        <v>0</v>
      </c>
      <c r="L118" s="3">
        <v>0</v>
      </c>
      <c r="M118" s="3">
        <v>0</v>
      </c>
      <c r="N118" s="13">
        <v>0</v>
      </c>
      <c r="O118" s="13">
        <v>0</v>
      </c>
      <c r="P118" s="20"/>
      <c r="Q118" s="82">
        <f t="shared" si="4"/>
        <v>1.1489575647584557E-2</v>
      </c>
      <c r="R118" s="14">
        <v>0</v>
      </c>
      <c r="S118" s="15">
        <v>0</v>
      </c>
      <c r="T118" s="16">
        <v>0</v>
      </c>
    </row>
    <row r="119" spans="1:20" ht="16" hidden="1">
      <c r="A119" s="80" t="s">
        <v>110</v>
      </c>
      <c r="B119" s="81" t="s">
        <v>85</v>
      </c>
      <c r="C119" s="18"/>
      <c r="D119" s="21">
        <v>92945.739999999976</v>
      </c>
      <c r="E119" s="21">
        <v>92945.739999999976</v>
      </c>
      <c r="F119" s="21">
        <v>92945.739999999962</v>
      </c>
      <c r="G119" s="21">
        <v>99974.039999999979</v>
      </c>
      <c r="H119" s="21">
        <v>99974.04</v>
      </c>
      <c r="I119" s="21">
        <v>99974.04</v>
      </c>
      <c r="J119" s="3">
        <v>0</v>
      </c>
      <c r="K119" s="3">
        <v>0</v>
      </c>
      <c r="L119" s="3">
        <v>0</v>
      </c>
      <c r="M119" s="3">
        <v>0</v>
      </c>
      <c r="N119" s="13">
        <v>0</v>
      </c>
      <c r="O119" s="13">
        <v>0</v>
      </c>
      <c r="P119" s="20"/>
      <c r="Q119" s="82">
        <f t="shared" si="4"/>
        <v>1.1486592953746445E-2</v>
      </c>
      <c r="R119" s="14">
        <v>0</v>
      </c>
      <c r="S119" s="15">
        <v>0</v>
      </c>
      <c r="T119" s="16">
        <v>0</v>
      </c>
    </row>
    <row r="120" spans="1:20" ht="16" hidden="1">
      <c r="A120" s="80" t="s">
        <v>771</v>
      </c>
      <c r="B120" s="81" t="s">
        <v>463</v>
      </c>
      <c r="C120" s="18"/>
      <c r="D120" s="21">
        <v>120093.28</v>
      </c>
      <c r="E120" s="21">
        <v>134314.32</v>
      </c>
      <c r="F120" s="21">
        <v>106639.28</v>
      </c>
      <c r="G120" s="21">
        <v>83045.279999999999</v>
      </c>
      <c r="H120" s="21">
        <v>85262.28</v>
      </c>
      <c r="I120" s="21">
        <v>99247.28</v>
      </c>
      <c r="J120" s="3">
        <v>0</v>
      </c>
      <c r="K120" s="3">
        <v>0</v>
      </c>
      <c r="L120" s="3">
        <v>0</v>
      </c>
      <c r="M120" s="3">
        <v>0</v>
      </c>
      <c r="N120" s="13">
        <v>0</v>
      </c>
      <c r="O120" s="13">
        <v>0</v>
      </c>
      <c r="P120" s="20"/>
      <c r="Q120" s="82">
        <f t="shared" si="4"/>
        <v>1.1403091313770061E-2</v>
      </c>
      <c r="R120" s="14">
        <v>0</v>
      </c>
      <c r="S120" s="15">
        <v>0</v>
      </c>
      <c r="T120" s="16">
        <v>-3.2316059819370259E-10</v>
      </c>
    </row>
    <row r="121" spans="1:20" ht="16" hidden="1">
      <c r="A121" s="80" t="s">
        <v>266</v>
      </c>
      <c r="B121" s="81" t="s">
        <v>76</v>
      </c>
      <c r="C121" s="18"/>
      <c r="D121" s="21">
        <v>98716</v>
      </c>
      <c r="E121" s="21">
        <v>98716</v>
      </c>
      <c r="F121" s="21">
        <v>98716</v>
      </c>
      <c r="G121" s="21">
        <v>98716</v>
      </c>
      <c r="H121" s="21">
        <v>98716</v>
      </c>
      <c r="I121" s="21">
        <v>98716</v>
      </c>
      <c r="J121" s="3">
        <v>0</v>
      </c>
      <c r="K121" s="3">
        <v>0</v>
      </c>
      <c r="L121" s="3">
        <v>0</v>
      </c>
      <c r="M121" s="3">
        <v>0</v>
      </c>
      <c r="N121" s="13">
        <v>0</v>
      </c>
      <c r="O121" s="13">
        <v>0</v>
      </c>
      <c r="P121" s="20"/>
      <c r="Q121" s="82">
        <f t="shared" si="4"/>
        <v>1.1342049496269572E-2</v>
      </c>
      <c r="R121" s="14">
        <v>0.35999999999999588</v>
      </c>
      <c r="S121" s="15">
        <v>3.3930254476908193E-2</v>
      </c>
      <c r="T121" s="16">
        <v>1.772535881092458E-7</v>
      </c>
    </row>
    <row r="122" spans="1:20" ht="16" hidden="1">
      <c r="A122" s="80" t="s">
        <v>606</v>
      </c>
      <c r="B122" s="81" t="s">
        <v>463</v>
      </c>
      <c r="C122" s="18"/>
      <c r="D122" s="21">
        <v>0</v>
      </c>
      <c r="E122" s="21">
        <v>0</v>
      </c>
      <c r="F122" s="21">
        <v>0</v>
      </c>
      <c r="G122" s="21">
        <v>25902.799999999999</v>
      </c>
      <c r="H122" s="21">
        <v>70175.8</v>
      </c>
      <c r="I122" s="21">
        <v>96663.8</v>
      </c>
      <c r="J122" s="3">
        <v>0</v>
      </c>
      <c r="K122" s="3">
        <v>0</v>
      </c>
      <c r="L122" s="3">
        <v>0</v>
      </c>
      <c r="M122" s="3">
        <v>0</v>
      </c>
      <c r="N122" s="13">
        <v>0</v>
      </c>
      <c r="O122" s="13">
        <v>0</v>
      </c>
      <c r="P122" s="20"/>
      <c r="Q122" s="82">
        <f t="shared" si="4"/>
        <v>1.1106260424829843E-2</v>
      </c>
      <c r="R122" s="14">
        <v>0</v>
      </c>
      <c r="S122" s="15">
        <v>0</v>
      </c>
      <c r="T122" s="16">
        <v>8.966090796884279E-5</v>
      </c>
    </row>
    <row r="123" spans="1:20" ht="16" hidden="1">
      <c r="A123" s="80" t="s">
        <v>724</v>
      </c>
      <c r="B123" s="81" t="s">
        <v>85</v>
      </c>
      <c r="C123" s="18"/>
      <c r="D123" s="21">
        <v>32786.710000000006</v>
      </c>
      <c r="E123" s="21">
        <v>32841.830000000009</v>
      </c>
      <c r="F123" s="21">
        <v>61686.79</v>
      </c>
      <c r="G123" s="21">
        <v>64531.75</v>
      </c>
      <c r="H123" s="21">
        <v>60870.710000000006</v>
      </c>
      <c r="I123" s="21">
        <v>96186.709999999977</v>
      </c>
      <c r="J123" s="3">
        <v>0</v>
      </c>
      <c r="K123" s="3">
        <v>0</v>
      </c>
      <c r="L123" s="3">
        <v>0</v>
      </c>
      <c r="M123" s="3">
        <v>0</v>
      </c>
      <c r="N123" s="13">
        <v>0</v>
      </c>
      <c r="O123" s="13">
        <v>0</v>
      </c>
      <c r="P123" s="20"/>
      <c r="Q123" s="82">
        <f t="shared" si="4"/>
        <v>1.1051444808372779E-2</v>
      </c>
      <c r="R123" s="14">
        <v>0</v>
      </c>
      <c r="S123" s="15">
        <v>0</v>
      </c>
      <c r="T123" s="16">
        <v>1.131062093677959E-7</v>
      </c>
    </row>
    <row r="124" spans="1:20" ht="16" hidden="1">
      <c r="A124" s="83" t="s">
        <v>782</v>
      </c>
      <c r="B124" s="81" t="s">
        <v>76</v>
      </c>
      <c r="C124" s="18"/>
      <c r="D124" s="21">
        <v>69600</v>
      </c>
      <c r="E124" s="21">
        <v>92800</v>
      </c>
      <c r="F124" s="21">
        <v>92800</v>
      </c>
      <c r="G124" s="21">
        <v>92800</v>
      </c>
      <c r="H124" s="21">
        <v>92800</v>
      </c>
      <c r="I124" s="21">
        <v>92800</v>
      </c>
      <c r="J124" s="3">
        <v>0</v>
      </c>
      <c r="K124" s="3">
        <v>0</v>
      </c>
      <c r="L124" s="3">
        <v>0</v>
      </c>
      <c r="M124" s="3">
        <v>0</v>
      </c>
      <c r="N124" s="13">
        <v>0</v>
      </c>
      <c r="O124" s="13">
        <v>0</v>
      </c>
      <c r="P124" s="20"/>
      <c r="Q124" s="82">
        <f t="shared" si="4"/>
        <v>1.066232620095847E-2</v>
      </c>
      <c r="R124" s="14">
        <v>0</v>
      </c>
      <c r="S124" s="15">
        <v>0</v>
      </c>
      <c r="T124" s="16">
        <v>6.7141138523116436E-4</v>
      </c>
    </row>
    <row r="125" spans="1:20" ht="16" hidden="1">
      <c r="A125" s="87" t="s">
        <v>81</v>
      </c>
      <c r="B125" s="87" t="s">
        <v>78</v>
      </c>
      <c r="C125" s="18"/>
      <c r="D125" s="21">
        <v>1.9999999999999997E-2</v>
      </c>
      <c r="E125" s="21">
        <v>3.9999999999999994E-2</v>
      </c>
      <c r="F125" s="21">
        <v>6554.4799999999987</v>
      </c>
      <c r="G125" s="21">
        <v>4.0000000000000015E-2</v>
      </c>
      <c r="H125" s="21">
        <v>3.9999999999999994E-2</v>
      </c>
      <c r="I125" s="21">
        <v>92533.370000000039</v>
      </c>
      <c r="J125" s="3">
        <v>0</v>
      </c>
      <c r="K125" s="3">
        <v>0</v>
      </c>
      <c r="L125" s="3">
        <v>0</v>
      </c>
      <c r="M125" s="3">
        <v>0</v>
      </c>
      <c r="N125" s="13">
        <v>0</v>
      </c>
      <c r="O125" s="13">
        <v>0</v>
      </c>
      <c r="P125" s="20"/>
      <c r="Q125" s="82">
        <f t="shared" si="4"/>
        <v>1.0631691545409321E-2</v>
      </c>
      <c r="R125" s="14">
        <v>0</v>
      </c>
      <c r="S125" s="15">
        <v>0</v>
      </c>
      <c r="T125" s="16">
        <v>0</v>
      </c>
    </row>
    <row r="126" spans="1:20" ht="16" hidden="1">
      <c r="A126" s="85" t="s">
        <v>403</v>
      </c>
      <c r="B126" s="81" t="s">
        <v>60</v>
      </c>
      <c r="C126" s="18"/>
      <c r="D126" s="21">
        <v>0.34000000000000008</v>
      </c>
      <c r="E126" s="21">
        <v>0.34000000000000008</v>
      </c>
      <c r="F126" s="21">
        <v>0.34000000000000008</v>
      </c>
      <c r="G126" s="21">
        <v>88449.139999999927</v>
      </c>
      <c r="H126" s="21">
        <v>0.34</v>
      </c>
      <c r="I126" s="21">
        <v>91764.399999999936</v>
      </c>
      <c r="J126" s="3">
        <v>0</v>
      </c>
      <c r="K126" s="3">
        <v>0</v>
      </c>
      <c r="L126" s="3">
        <v>0</v>
      </c>
      <c r="M126" s="3">
        <v>0</v>
      </c>
      <c r="N126" s="13">
        <v>0</v>
      </c>
      <c r="O126" s="13">
        <v>0</v>
      </c>
      <c r="P126" s="20"/>
      <c r="Q126" s="82">
        <f t="shared" si="4"/>
        <v>1.0543340155552078E-2</v>
      </c>
      <c r="R126" s="14">
        <v>0</v>
      </c>
      <c r="S126" s="15">
        <v>0</v>
      </c>
      <c r="T126" s="16">
        <v>0</v>
      </c>
    </row>
    <row r="127" spans="1:20" ht="16" hidden="1">
      <c r="A127" s="80" t="s">
        <v>564</v>
      </c>
      <c r="B127" s="81" t="s">
        <v>85</v>
      </c>
      <c r="C127" s="18"/>
      <c r="D127" s="21">
        <v>165416.98000000001</v>
      </c>
      <c r="E127" s="21">
        <v>174802.26</v>
      </c>
      <c r="F127" s="21">
        <v>152802.26000000004</v>
      </c>
      <c r="G127" s="21">
        <v>142802.26</v>
      </c>
      <c r="H127" s="21">
        <v>113302.26000000001</v>
      </c>
      <c r="I127" s="21">
        <v>89902.260000000009</v>
      </c>
      <c r="J127" s="3">
        <v>0</v>
      </c>
      <c r="K127" s="3">
        <v>0</v>
      </c>
      <c r="L127" s="3">
        <v>0</v>
      </c>
      <c r="M127" s="3">
        <v>0</v>
      </c>
      <c r="N127" s="13">
        <v>0</v>
      </c>
      <c r="O127" s="13">
        <v>0</v>
      </c>
      <c r="P127" s="20"/>
      <c r="Q127" s="82">
        <f t="shared" si="4"/>
        <v>1.0329388171588155E-2</v>
      </c>
      <c r="R127" s="14">
        <v>0</v>
      </c>
      <c r="S127" s="15">
        <v>0</v>
      </c>
      <c r="T127" s="16">
        <v>0</v>
      </c>
    </row>
    <row r="128" spans="1:20" ht="16" hidden="1">
      <c r="A128" s="80" t="s">
        <v>283</v>
      </c>
      <c r="B128" s="81" t="s">
        <v>76</v>
      </c>
      <c r="C128" s="18"/>
      <c r="D128" s="21">
        <v>46160.800000000003</v>
      </c>
      <c r="E128" s="21">
        <v>89160.8</v>
      </c>
      <c r="F128" s="21">
        <v>89160.8</v>
      </c>
      <c r="G128" s="21">
        <v>89160.8</v>
      </c>
      <c r="H128" s="21">
        <v>89160.8</v>
      </c>
      <c r="I128" s="21">
        <v>89160.8</v>
      </c>
      <c r="J128" s="3">
        <v>0</v>
      </c>
      <c r="K128" s="3">
        <v>0</v>
      </c>
      <c r="L128" s="3">
        <v>0</v>
      </c>
      <c r="M128" s="3">
        <v>0</v>
      </c>
      <c r="N128" s="13">
        <v>0</v>
      </c>
      <c r="O128" s="13">
        <v>0</v>
      </c>
      <c r="P128" s="20"/>
      <c r="Q128" s="82">
        <f t="shared" si="4"/>
        <v>1.0244197563991574E-2</v>
      </c>
      <c r="R128" s="14">
        <v>-0.65999999997438863</v>
      </c>
      <c r="S128" s="15">
        <v>-2.4884869771986284E-6</v>
      </c>
      <c r="T128" s="16">
        <v>4.2854446495888257E-3</v>
      </c>
    </row>
    <row r="129" spans="1:20" ht="16" hidden="1">
      <c r="A129" s="80" t="s">
        <v>369</v>
      </c>
      <c r="B129" s="81" t="s">
        <v>60</v>
      </c>
      <c r="C129" s="18"/>
      <c r="D129" s="21">
        <v>357180.98</v>
      </c>
      <c r="E129" s="21">
        <v>439793.9</v>
      </c>
      <c r="F129" s="21">
        <v>0.13</v>
      </c>
      <c r="G129" s="21">
        <v>89151.58</v>
      </c>
      <c r="H129" s="21">
        <v>178303.02999999997</v>
      </c>
      <c r="I129" s="21">
        <v>89151.58</v>
      </c>
      <c r="J129" s="3">
        <v>0</v>
      </c>
      <c r="K129" s="3">
        <v>0</v>
      </c>
      <c r="L129" s="3">
        <v>0</v>
      </c>
      <c r="M129" s="3">
        <v>0</v>
      </c>
      <c r="N129" s="13">
        <v>0</v>
      </c>
      <c r="O129" s="13">
        <v>0</v>
      </c>
      <c r="P129" s="20"/>
      <c r="Q129" s="82">
        <f t="shared" si="4"/>
        <v>1.0243138225116867E-2</v>
      </c>
      <c r="R129" s="14">
        <v>0</v>
      </c>
      <c r="S129" s="15">
        <v>0</v>
      </c>
      <c r="T129" s="16">
        <v>4.4148746702531775E-5</v>
      </c>
    </row>
    <row r="130" spans="1:20" ht="16" hidden="1">
      <c r="A130" s="80" t="s">
        <v>419</v>
      </c>
      <c r="B130" s="81" t="s">
        <v>60</v>
      </c>
      <c r="C130" s="18"/>
      <c r="D130" s="21">
        <v>85541.48</v>
      </c>
      <c r="E130" s="21">
        <v>77186.749999999985</v>
      </c>
      <c r="F130" s="21">
        <v>77186.75999999998</v>
      </c>
      <c r="G130" s="21">
        <v>77287.089999999982</v>
      </c>
      <c r="H130" s="21">
        <v>101242.69999999997</v>
      </c>
      <c r="I130" s="21">
        <v>88587.419999999969</v>
      </c>
      <c r="J130" s="3">
        <v>0</v>
      </c>
      <c r="K130" s="3">
        <v>0</v>
      </c>
      <c r="L130" s="3">
        <v>0</v>
      </c>
      <c r="M130" s="3">
        <v>0</v>
      </c>
      <c r="N130" s="13">
        <v>0</v>
      </c>
      <c r="O130" s="13">
        <v>0</v>
      </c>
      <c r="P130" s="20"/>
      <c r="Q130" s="82">
        <f t="shared" si="4"/>
        <v>1.0178318635143449E-2</v>
      </c>
      <c r="R130" s="14">
        <v>0</v>
      </c>
      <c r="S130" s="15">
        <v>0</v>
      </c>
      <c r="T130" s="16">
        <v>0</v>
      </c>
    </row>
    <row r="131" spans="1:20" ht="16" hidden="1">
      <c r="A131" s="80" t="s">
        <v>893</v>
      </c>
      <c r="B131" s="81" t="s">
        <v>62</v>
      </c>
      <c r="C131" s="18"/>
      <c r="D131" s="21">
        <v>542.6599999999994</v>
      </c>
      <c r="E131" s="21">
        <v>88339.739999999991</v>
      </c>
      <c r="F131" s="21">
        <v>6.4</v>
      </c>
      <c r="G131" s="21">
        <v>6.3999999999999995</v>
      </c>
      <c r="H131" s="21">
        <v>6.4</v>
      </c>
      <c r="I131" s="21">
        <v>88339.739999999991</v>
      </c>
      <c r="J131" s="3">
        <v>0</v>
      </c>
      <c r="K131" s="3">
        <v>0</v>
      </c>
      <c r="L131" s="3">
        <v>0</v>
      </c>
      <c r="M131" s="3">
        <v>0</v>
      </c>
      <c r="N131" s="13">
        <v>0</v>
      </c>
      <c r="O131" s="13">
        <v>0</v>
      </c>
      <c r="P131" s="20"/>
      <c r="Q131" s="82">
        <f t="shared" si="4"/>
        <v>1.0149861254179514E-2</v>
      </c>
      <c r="R131" s="14">
        <v>-178.52000000000004</v>
      </c>
      <c r="S131" s="15">
        <v>-1</v>
      </c>
      <c r="T131" s="16">
        <v>-5.6059427619732405E-26</v>
      </c>
    </row>
    <row r="132" spans="1:20" ht="16" hidden="1">
      <c r="A132" s="80" t="s">
        <v>547</v>
      </c>
      <c r="B132" s="81" t="s">
        <v>62</v>
      </c>
      <c r="C132" s="18"/>
      <c r="D132" s="21">
        <v>187.64000000000033</v>
      </c>
      <c r="E132" s="21">
        <v>1.3900000000000001</v>
      </c>
      <c r="F132" s="21">
        <v>1.3900000000000001</v>
      </c>
      <c r="G132" s="21">
        <v>7645.17</v>
      </c>
      <c r="H132" s="21">
        <v>11467.06</v>
      </c>
      <c r="I132" s="21">
        <v>85484.98</v>
      </c>
      <c r="J132" s="3">
        <v>0</v>
      </c>
      <c r="K132" s="3">
        <v>0</v>
      </c>
      <c r="L132" s="3">
        <v>0</v>
      </c>
      <c r="M132" s="3">
        <v>0</v>
      </c>
      <c r="N132" s="13">
        <v>0</v>
      </c>
      <c r="O132" s="13">
        <v>0</v>
      </c>
      <c r="P132" s="20"/>
      <c r="Q132" s="82">
        <f t="shared" si="4"/>
        <v>9.8218614444225295E-3</v>
      </c>
      <c r="R132" s="14">
        <v>0</v>
      </c>
      <c r="S132" s="15">
        <v>0</v>
      </c>
      <c r="T132" s="16">
        <v>0</v>
      </c>
    </row>
    <row r="133" spans="1:20" ht="16" hidden="1">
      <c r="A133" s="80" t="s">
        <v>613</v>
      </c>
      <c r="B133" s="81" t="s">
        <v>162</v>
      </c>
      <c r="C133" s="18"/>
      <c r="D133" s="21">
        <v>297523.57999999996</v>
      </c>
      <c r="E133" s="21">
        <v>255020.21</v>
      </c>
      <c r="F133" s="21">
        <v>212516.84</v>
      </c>
      <c r="G133" s="21">
        <v>170013.47</v>
      </c>
      <c r="H133" s="21">
        <v>127510.1</v>
      </c>
      <c r="I133" s="21">
        <v>85006.73000000001</v>
      </c>
      <c r="J133" s="3">
        <v>0</v>
      </c>
      <c r="K133" s="3">
        <v>0</v>
      </c>
      <c r="L133" s="3">
        <v>0</v>
      </c>
      <c r="M133" s="3">
        <v>0</v>
      </c>
      <c r="N133" s="13">
        <v>0</v>
      </c>
      <c r="O133" s="13">
        <v>0</v>
      </c>
      <c r="P133" s="20"/>
      <c r="Q133" s="82">
        <f t="shared" si="4"/>
        <v>9.7669125488879585E-3</v>
      </c>
      <c r="R133" s="14">
        <v>0</v>
      </c>
      <c r="S133" s="15">
        <v>0</v>
      </c>
      <c r="T133" s="16">
        <v>0</v>
      </c>
    </row>
    <row r="134" spans="1:20" ht="16">
      <c r="A134" s="80" t="s">
        <v>919</v>
      </c>
      <c r="B134" s="81" t="s">
        <v>67</v>
      </c>
      <c r="C134" s="18"/>
      <c r="D134" s="21">
        <v>84068.55</v>
      </c>
      <c r="E134" s="21">
        <v>84068.55</v>
      </c>
      <c r="F134" s="21">
        <v>84068.55</v>
      </c>
      <c r="G134" s="21">
        <v>84068.55</v>
      </c>
      <c r="H134" s="21">
        <v>84068.55</v>
      </c>
      <c r="I134" s="21">
        <v>84068.55</v>
      </c>
      <c r="J134" s="3">
        <v>0</v>
      </c>
      <c r="K134" s="3">
        <v>0</v>
      </c>
      <c r="L134" s="3">
        <v>0</v>
      </c>
      <c r="M134" s="3">
        <v>0</v>
      </c>
      <c r="N134" s="13">
        <v>0</v>
      </c>
      <c r="O134" s="13">
        <v>0</v>
      </c>
      <c r="P134" s="20"/>
      <c r="Q134" s="82">
        <f t="shared" si="4"/>
        <v>9.6591196480774483E-3</v>
      </c>
      <c r="R134" s="14">
        <v>1148.4000000000001</v>
      </c>
      <c r="S134" s="15">
        <v>57419.999999999993</v>
      </c>
      <c r="T134" s="16">
        <v>1.8556204708880598E-5</v>
      </c>
    </row>
    <row r="135" spans="1:20" ht="16" hidden="1">
      <c r="A135" s="83" t="s">
        <v>1070</v>
      </c>
      <c r="B135" s="81" t="s">
        <v>62</v>
      </c>
      <c r="C135" s="18"/>
      <c r="D135" s="21">
        <v>38617.119999999995</v>
      </c>
      <c r="E135" s="21">
        <v>38617.119999999995</v>
      </c>
      <c r="F135" s="21">
        <v>38617.119999999995</v>
      </c>
      <c r="G135" s="21">
        <v>38617.119999999995</v>
      </c>
      <c r="H135" s="21">
        <v>38617.119999999995</v>
      </c>
      <c r="I135" s="21">
        <v>82991.39999999998</v>
      </c>
      <c r="J135" s="3">
        <v>0</v>
      </c>
      <c r="K135" s="3">
        <v>0</v>
      </c>
      <c r="L135" s="3">
        <v>0</v>
      </c>
      <c r="M135" s="3">
        <v>0</v>
      </c>
      <c r="N135" s="13">
        <v>0</v>
      </c>
      <c r="O135" s="13">
        <v>0</v>
      </c>
      <c r="P135" s="20"/>
      <c r="Q135" s="82">
        <f t="shared" si="4"/>
        <v>9.5353596839894885E-3</v>
      </c>
      <c r="R135" s="14">
        <v>0</v>
      </c>
      <c r="S135" s="15">
        <v>0</v>
      </c>
      <c r="T135" s="16">
        <v>1.1824446287907577E-5</v>
      </c>
    </row>
    <row r="136" spans="1:20" ht="16" hidden="1">
      <c r="A136" s="87" t="s">
        <v>157</v>
      </c>
      <c r="B136" s="81" t="s">
        <v>145</v>
      </c>
      <c r="C136" s="18"/>
      <c r="D136" s="21">
        <v>44401.47</v>
      </c>
      <c r="E136" s="21">
        <v>47037.740000000005</v>
      </c>
      <c r="F136" s="21">
        <v>47773.440000000002</v>
      </c>
      <c r="G136" s="21">
        <v>59716.800000000003</v>
      </c>
      <c r="H136" s="21">
        <v>68722.77</v>
      </c>
      <c r="I136" s="21">
        <v>80666.13</v>
      </c>
      <c r="J136" s="3">
        <v>0</v>
      </c>
      <c r="K136" s="3">
        <v>0</v>
      </c>
      <c r="L136" s="3">
        <v>0</v>
      </c>
      <c r="M136" s="3">
        <v>0</v>
      </c>
      <c r="N136" s="13">
        <v>0</v>
      </c>
      <c r="O136" s="13">
        <v>0</v>
      </c>
      <c r="P136" s="20"/>
      <c r="Q136" s="82">
        <f t="shared" si="4"/>
        <v>9.2681960283289028E-3</v>
      </c>
      <c r="R136" s="14">
        <v>0</v>
      </c>
      <c r="S136" s="15">
        <v>0</v>
      </c>
      <c r="T136" s="16">
        <v>1.9680480429996491E-7</v>
      </c>
    </row>
    <row r="137" spans="1:20" ht="16" hidden="1">
      <c r="A137" s="86" t="s">
        <v>1003</v>
      </c>
      <c r="B137" s="81" t="s">
        <v>76</v>
      </c>
      <c r="C137" s="18"/>
      <c r="D137" s="21">
        <v>83086.649999999965</v>
      </c>
      <c r="E137" s="21">
        <v>80608.359999999971</v>
      </c>
      <c r="F137" s="21">
        <v>80608.359999999971</v>
      </c>
      <c r="G137" s="21">
        <v>80608.359999999971</v>
      </c>
      <c r="H137" s="21">
        <v>80608.359999999971</v>
      </c>
      <c r="I137" s="21">
        <v>80608.359999999971</v>
      </c>
      <c r="J137" s="3">
        <v>0</v>
      </c>
      <c r="K137" s="3">
        <v>0</v>
      </c>
      <c r="L137" s="3">
        <v>0</v>
      </c>
      <c r="M137" s="3">
        <v>0</v>
      </c>
      <c r="N137" s="13">
        <v>0</v>
      </c>
      <c r="O137" s="13">
        <v>0</v>
      </c>
      <c r="P137" s="20"/>
      <c r="Q137" s="82">
        <f t="shared" si="4"/>
        <v>9.2615585004772894E-3</v>
      </c>
      <c r="R137" s="14">
        <v>0</v>
      </c>
      <c r="S137" s="15">
        <v>0</v>
      </c>
      <c r="T137" s="16">
        <v>0</v>
      </c>
    </row>
    <row r="138" spans="1:20" ht="16" hidden="1">
      <c r="A138" s="87" t="s">
        <v>368</v>
      </c>
      <c r="B138" s="87" t="s">
        <v>78</v>
      </c>
      <c r="C138" s="18"/>
      <c r="D138" s="21">
        <v>78110.12</v>
      </c>
      <c r="E138" s="21">
        <v>3250.8000000000011</v>
      </c>
      <c r="F138" s="21">
        <v>80844.099999999977</v>
      </c>
      <c r="G138" s="21">
        <v>80844.099999999977</v>
      </c>
      <c r="H138" s="21">
        <v>78397.579999999987</v>
      </c>
      <c r="I138" s="21">
        <v>79156.889999999985</v>
      </c>
      <c r="J138" s="3">
        <v>0</v>
      </c>
      <c r="K138" s="3">
        <v>0</v>
      </c>
      <c r="L138" s="3">
        <v>0</v>
      </c>
      <c r="M138" s="3">
        <v>0</v>
      </c>
      <c r="N138" s="13">
        <v>0</v>
      </c>
      <c r="O138" s="13">
        <v>0</v>
      </c>
      <c r="P138" s="20"/>
      <c r="Q138" s="82">
        <f t="shared" si="4"/>
        <v>9.0947907568252953E-3</v>
      </c>
      <c r="R138" s="14">
        <v>0</v>
      </c>
      <c r="S138" s="15">
        <v>0</v>
      </c>
      <c r="T138" s="16">
        <v>0</v>
      </c>
    </row>
    <row r="139" spans="1:20" ht="16" hidden="1">
      <c r="A139" s="85" t="s">
        <v>544</v>
      </c>
      <c r="B139" s="81" t="s">
        <v>66</v>
      </c>
      <c r="C139" s="18"/>
      <c r="D139" s="21">
        <v>78375</v>
      </c>
      <c r="E139" s="21">
        <v>78375</v>
      </c>
      <c r="F139" s="21">
        <v>78375</v>
      </c>
      <c r="G139" s="21">
        <v>78375</v>
      </c>
      <c r="H139" s="21">
        <v>78375</v>
      </c>
      <c r="I139" s="21">
        <v>78375</v>
      </c>
      <c r="J139" s="3">
        <v>0</v>
      </c>
      <c r="K139" s="3">
        <v>0</v>
      </c>
      <c r="L139" s="3">
        <v>0</v>
      </c>
      <c r="M139" s="3">
        <v>0</v>
      </c>
      <c r="N139" s="13">
        <v>0</v>
      </c>
      <c r="O139" s="13">
        <v>0</v>
      </c>
      <c r="P139" s="20"/>
      <c r="Q139" s="82">
        <f t="shared" ref="Q139:Q202" si="5">IFERROR(I139/$I$4," ")</f>
        <v>9.0049549137943986E-3</v>
      </c>
      <c r="R139" s="14">
        <v>0</v>
      </c>
      <c r="S139" s="15">
        <v>0</v>
      </c>
      <c r="T139" s="16">
        <v>0</v>
      </c>
    </row>
    <row r="140" spans="1:20" ht="16">
      <c r="A140" s="80" t="s">
        <v>1028</v>
      </c>
      <c r="B140" s="81" t="s">
        <v>67</v>
      </c>
      <c r="C140" s="18"/>
      <c r="D140" s="21">
        <v>76916.229999999923</v>
      </c>
      <c r="E140" s="21">
        <v>75599.54999999993</v>
      </c>
      <c r="F140" s="21">
        <v>75599.549999999945</v>
      </c>
      <c r="G140" s="21">
        <v>75599.54999999993</v>
      </c>
      <c r="H140" s="21">
        <v>75599.54999999993</v>
      </c>
      <c r="I140" s="21">
        <v>75599.54999999993</v>
      </c>
      <c r="J140" s="3">
        <v>0</v>
      </c>
      <c r="K140" s="3">
        <v>0</v>
      </c>
      <c r="L140" s="3">
        <v>0</v>
      </c>
      <c r="M140" s="3">
        <v>0</v>
      </c>
      <c r="N140" s="13">
        <v>0</v>
      </c>
      <c r="O140" s="13">
        <v>0</v>
      </c>
      <c r="P140" s="20"/>
      <c r="Q140" s="82">
        <f t="shared" si="5"/>
        <v>8.686067486483505E-3</v>
      </c>
      <c r="R140" s="14">
        <v>0</v>
      </c>
      <c r="S140" s="15">
        <v>0</v>
      </c>
      <c r="T140" s="16">
        <v>0</v>
      </c>
    </row>
    <row r="141" spans="1:20" ht="16" hidden="1">
      <c r="A141" s="80" t="s">
        <v>572</v>
      </c>
      <c r="B141" s="81" t="s">
        <v>62</v>
      </c>
      <c r="C141" s="18"/>
      <c r="D141" s="21">
        <v>27057.180000000008</v>
      </c>
      <c r="E141" s="21">
        <v>43536.299999999996</v>
      </c>
      <c r="F141" s="21">
        <v>52296.739999999991</v>
      </c>
      <c r="G141" s="21">
        <v>63654.99</v>
      </c>
      <c r="H141" s="21">
        <v>81915.430000000037</v>
      </c>
      <c r="I141" s="21">
        <v>75175.870000000024</v>
      </c>
      <c r="J141" s="3">
        <v>0</v>
      </c>
      <c r="K141" s="3">
        <v>0</v>
      </c>
      <c r="L141" s="3">
        <v>0</v>
      </c>
      <c r="M141" s="3">
        <v>0</v>
      </c>
      <c r="N141" s="13">
        <v>0</v>
      </c>
      <c r="O141" s="13">
        <v>0</v>
      </c>
      <c r="P141" s="20"/>
      <c r="Q141" s="82">
        <f t="shared" si="5"/>
        <v>8.6373884523798291E-3</v>
      </c>
      <c r="R141" s="14">
        <v>0</v>
      </c>
      <c r="S141" s="15">
        <v>0</v>
      </c>
      <c r="T141" s="16">
        <v>6.560160143332163E-4</v>
      </c>
    </row>
    <row r="142" spans="1:20" ht="16" hidden="1">
      <c r="A142" s="80" t="s">
        <v>99</v>
      </c>
      <c r="B142" s="81" t="s">
        <v>85</v>
      </c>
      <c r="C142" s="18"/>
      <c r="D142" s="21">
        <v>47108.2</v>
      </c>
      <c r="E142" s="21">
        <v>24382.9</v>
      </c>
      <c r="F142" s="21">
        <v>4198.5</v>
      </c>
      <c r="G142" s="21">
        <v>41483.579999999994</v>
      </c>
      <c r="H142" s="21">
        <v>40014.83</v>
      </c>
      <c r="I142" s="21">
        <v>73832.009999999995</v>
      </c>
      <c r="J142" s="3">
        <v>0</v>
      </c>
      <c r="K142" s="3">
        <v>0</v>
      </c>
      <c r="L142" s="3">
        <v>0</v>
      </c>
      <c r="M142" s="3">
        <v>0</v>
      </c>
      <c r="N142" s="13">
        <v>0</v>
      </c>
      <c r="O142" s="13">
        <v>0</v>
      </c>
      <c r="P142" s="20"/>
      <c r="Q142" s="82">
        <f t="shared" si="5"/>
        <v>8.482984641082195E-3</v>
      </c>
      <c r="R142" s="14">
        <v>0</v>
      </c>
      <c r="S142" s="15">
        <v>0</v>
      </c>
      <c r="T142" s="16">
        <v>0</v>
      </c>
    </row>
    <row r="143" spans="1:20" ht="16" hidden="1">
      <c r="A143" s="80" t="s">
        <v>860</v>
      </c>
      <c r="B143" s="81" t="s">
        <v>85</v>
      </c>
      <c r="C143" s="18"/>
      <c r="D143" s="21">
        <v>54017.279999999999</v>
      </c>
      <c r="E143" s="21">
        <v>54017.279999999999</v>
      </c>
      <c r="F143" s="21">
        <v>54017.279999999999</v>
      </c>
      <c r="G143" s="21">
        <v>72023.039999999994</v>
      </c>
      <c r="H143" s="21">
        <v>72023.039999999994</v>
      </c>
      <c r="I143" s="21">
        <v>72023.039999999994</v>
      </c>
      <c r="J143" s="3">
        <v>0</v>
      </c>
      <c r="K143" s="3">
        <v>0</v>
      </c>
      <c r="L143" s="3">
        <v>0</v>
      </c>
      <c r="M143" s="3">
        <v>0</v>
      </c>
      <c r="N143" s="13">
        <v>0</v>
      </c>
      <c r="O143" s="13">
        <v>0</v>
      </c>
      <c r="P143" s="20"/>
      <c r="Q143" s="82">
        <f t="shared" si="5"/>
        <v>8.2751416644900842E-3</v>
      </c>
      <c r="R143" s="14">
        <v>0</v>
      </c>
      <c r="S143" s="15">
        <v>0</v>
      </c>
      <c r="T143" s="16">
        <v>0</v>
      </c>
    </row>
    <row r="144" spans="1:20" ht="16" hidden="1">
      <c r="A144" s="80" t="s">
        <v>503</v>
      </c>
      <c r="B144" s="81" t="s">
        <v>85</v>
      </c>
      <c r="C144" s="18"/>
      <c r="D144" s="21">
        <v>65885.16</v>
      </c>
      <c r="E144" s="21">
        <v>71155.97</v>
      </c>
      <c r="F144" s="21">
        <v>71155.97</v>
      </c>
      <c r="G144" s="21">
        <v>81010.12</v>
      </c>
      <c r="H144" s="21">
        <v>71155.97</v>
      </c>
      <c r="I144" s="21">
        <v>71156.02</v>
      </c>
      <c r="J144" s="3">
        <v>0</v>
      </c>
      <c r="K144" s="3">
        <v>0</v>
      </c>
      <c r="L144" s="3">
        <v>0</v>
      </c>
      <c r="M144" s="3">
        <v>0</v>
      </c>
      <c r="N144" s="13">
        <v>0</v>
      </c>
      <c r="O144" s="13">
        <v>0</v>
      </c>
      <c r="P144" s="20"/>
      <c r="Q144" s="82">
        <f t="shared" si="5"/>
        <v>8.1755247457103979E-3</v>
      </c>
      <c r="R144" s="14">
        <v>0</v>
      </c>
      <c r="S144" s="15">
        <v>0</v>
      </c>
      <c r="T144" s="16">
        <v>0</v>
      </c>
    </row>
    <row r="145" spans="1:20" ht="16" hidden="1">
      <c r="A145" s="80" t="s">
        <v>1033</v>
      </c>
      <c r="B145" s="81" t="s">
        <v>1034</v>
      </c>
      <c r="C145" s="18"/>
      <c r="D145" s="21">
        <v>1.1599999999999999</v>
      </c>
      <c r="E145" s="21">
        <v>1.1599999999999999</v>
      </c>
      <c r="F145" s="21">
        <v>68621.240000000005</v>
      </c>
      <c r="G145" s="21">
        <v>1.1599999999999999</v>
      </c>
      <c r="H145" s="21">
        <v>1.1599999999999999</v>
      </c>
      <c r="I145" s="21">
        <v>68621.240000000005</v>
      </c>
      <c r="J145" s="3">
        <v>0</v>
      </c>
      <c r="K145" s="3">
        <v>0</v>
      </c>
      <c r="L145" s="3">
        <v>0</v>
      </c>
      <c r="M145" s="3">
        <v>0</v>
      </c>
      <c r="N145" s="13">
        <v>0</v>
      </c>
      <c r="O145" s="13">
        <v>0</v>
      </c>
      <c r="P145" s="20"/>
      <c r="Q145" s="82">
        <f t="shared" si="5"/>
        <v>7.8842892801105555E-3</v>
      </c>
      <c r="R145" s="14">
        <v>0</v>
      </c>
      <c r="S145" s="15">
        <v>0</v>
      </c>
      <c r="T145" s="16">
        <v>0</v>
      </c>
    </row>
    <row r="146" spans="1:20" ht="16">
      <c r="A146" s="83" t="s">
        <v>772</v>
      </c>
      <c r="B146" s="81" t="s">
        <v>67</v>
      </c>
      <c r="C146" s="18"/>
      <c r="D146" s="21">
        <v>2.52</v>
      </c>
      <c r="E146" s="21">
        <v>33442.259999999995</v>
      </c>
      <c r="F146" s="21">
        <v>72632.400000000009</v>
      </c>
      <c r="G146" s="21">
        <v>50002.52</v>
      </c>
      <c r="H146" s="21">
        <v>30002.52</v>
      </c>
      <c r="I146" s="21">
        <v>68037.340000000011</v>
      </c>
      <c r="J146" s="3">
        <v>0</v>
      </c>
      <c r="K146" s="3">
        <v>0</v>
      </c>
      <c r="L146" s="3">
        <v>0</v>
      </c>
      <c r="M146" s="3">
        <v>0</v>
      </c>
      <c r="N146" s="13">
        <v>0</v>
      </c>
      <c r="O146" s="13">
        <v>0</v>
      </c>
      <c r="P146" s="20"/>
      <c r="Q146" s="82">
        <f t="shared" si="5"/>
        <v>7.8172016479043094E-3</v>
      </c>
      <c r="R146" s="14">
        <v>0</v>
      </c>
      <c r="S146" s="15">
        <v>0</v>
      </c>
      <c r="T146" s="16">
        <v>0</v>
      </c>
    </row>
    <row r="147" spans="1:20" ht="16" hidden="1">
      <c r="A147" s="87" t="s">
        <v>755</v>
      </c>
      <c r="B147" s="87" t="s">
        <v>366</v>
      </c>
      <c r="C147" s="18"/>
      <c r="D147" s="21">
        <v>65489.26</v>
      </c>
      <c r="E147" s="21">
        <v>130978.49999999999</v>
      </c>
      <c r="F147" s="21">
        <v>203933.48000000004</v>
      </c>
      <c r="G147" s="21">
        <v>271911.30000000005</v>
      </c>
      <c r="H147" s="21">
        <v>135955.66000000003</v>
      </c>
      <c r="I147" s="21">
        <v>67977.84</v>
      </c>
      <c r="J147" s="3">
        <v>0</v>
      </c>
      <c r="K147" s="3">
        <v>0</v>
      </c>
      <c r="L147" s="3">
        <v>0</v>
      </c>
      <c r="M147" s="3">
        <v>0</v>
      </c>
      <c r="N147" s="13">
        <v>0</v>
      </c>
      <c r="O147" s="13">
        <v>0</v>
      </c>
      <c r="P147" s="20"/>
      <c r="Q147" s="82">
        <f t="shared" si="5"/>
        <v>7.8103653503939947E-3</v>
      </c>
      <c r="R147" s="14">
        <v>0</v>
      </c>
      <c r="S147" s="15">
        <v>0</v>
      </c>
      <c r="T147" s="16">
        <v>0</v>
      </c>
    </row>
    <row r="148" spans="1:20" ht="16">
      <c r="A148" s="85" t="s">
        <v>391</v>
      </c>
      <c r="B148" s="81" t="s">
        <v>67</v>
      </c>
      <c r="C148" s="18"/>
      <c r="D148" s="21">
        <v>66292.950000000026</v>
      </c>
      <c r="E148" s="21">
        <v>68370.72000000003</v>
      </c>
      <c r="F148" s="21">
        <v>65928.099999999962</v>
      </c>
      <c r="G148" s="21">
        <v>65928.330000000031</v>
      </c>
      <c r="H148" s="21">
        <v>65928.560000000027</v>
      </c>
      <c r="I148" s="21">
        <v>65928.790000000023</v>
      </c>
      <c r="J148" s="3">
        <v>0</v>
      </c>
      <c r="K148" s="3">
        <v>0</v>
      </c>
      <c r="L148" s="3">
        <v>0</v>
      </c>
      <c r="M148" s="3">
        <v>0</v>
      </c>
      <c r="N148" s="13">
        <v>0</v>
      </c>
      <c r="O148" s="13">
        <v>0</v>
      </c>
      <c r="P148" s="20"/>
      <c r="Q148" s="82">
        <f t="shared" si="5"/>
        <v>7.5749382005871665E-3</v>
      </c>
      <c r="R148" s="14">
        <v>0</v>
      </c>
      <c r="S148" s="15">
        <v>0</v>
      </c>
      <c r="T148" s="16">
        <v>0</v>
      </c>
    </row>
    <row r="149" spans="1:20" ht="16" hidden="1">
      <c r="A149" s="80" t="s">
        <v>815</v>
      </c>
      <c r="B149" s="81" t="s">
        <v>62</v>
      </c>
      <c r="C149" s="18"/>
      <c r="D149" s="21">
        <v>41531.530000000013</v>
      </c>
      <c r="E149" s="21">
        <v>65650.600000000035</v>
      </c>
      <c r="F149" s="21">
        <v>65650.60000000002</v>
      </c>
      <c r="G149" s="21">
        <v>65650.600000000035</v>
      </c>
      <c r="H149" s="21">
        <v>88870.330000000031</v>
      </c>
      <c r="I149" s="21">
        <v>65650.600000000035</v>
      </c>
      <c r="J149" s="3">
        <v>0</v>
      </c>
      <c r="K149" s="3">
        <v>0</v>
      </c>
      <c r="L149" s="3">
        <v>0</v>
      </c>
      <c r="M149" s="3">
        <v>0</v>
      </c>
      <c r="N149" s="13">
        <v>0</v>
      </c>
      <c r="O149" s="13">
        <v>0</v>
      </c>
      <c r="P149" s="20"/>
      <c r="Q149" s="82">
        <f t="shared" si="5"/>
        <v>7.5429753500931519E-3</v>
      </c>
      <c r="R149" s="14">
        <v>0</v>
      </c>
      <c r="S149" s="15">
        <v>0</v>
      </c>
      <c r="T149" s="16">
        <v>0</v>
      </c>
    </row>
    <row r="150" spans="1:20" ht="16">
      <c r="A150" s="80" t="s">
        <v>790</v>
      </c>
      <c r="B150" s="81" t="s">
        <v>67</v>
      </c>
      <c r="C150" s="18"/>
      <c r="D150" s="21">
        <v>211200</v>
      </c>
      <c r="E150" s="21">
        <v>81000</v>
      </c>
      <c r="F150" s="21">
        <v>97200</v>
      </c>
      <c r="G150" s="21">
        <v>81000</v>
      </c>
      <c r="H150" s="21">
        <v>81000</v>
      </c>
      <c r="I150" s="21">
        <v>64800</v>
      </c>
      <c r="J150" s="3">
        <v>0</v>
      </c>
      <c r="K150" s="3">
        <v>0</v>
      </c>
      <c r="L150" s="3">
        <v>0</v>
      </c>
      <c r="M150" s="3">
        <v>0</v>
      </c>
      <c r="N150" s="13">
        <v>0</v>
      </c>
      <c r="O150" s="13">
        <v>0</v>
      </c>
      <c r="P150" s="20"/>
      <c r="Q150" s="82">
        <f t="shared" si="5"/>
        <v>7.4452450196347943E-3</v>
      </c>
      <c r="R150" s="14">
        <v>0</v>
      </c>
      <c r="S150" s="15">
        <v>0</v>
      </c>
      <c r="T150" s="16">
        <v>0</v>
      </c>
    </row>
    <row r="151" spans="1:20" ht="16" hidden="1">
      <c r="A151" s="80" t="s">
        <v>765</v>
      </c>
      <c r="B151" s="81" t="s">
        <v>85</v>
      </c>
      <c r="C151" s="18"/>
      <c r="D151" s="21">
        <v>61760.209999999992</v>
      </c>
      <c r="E151" s="21">
        <v>82241.889999999985</v>
      </c>
      <c r="F151" s="21">
        <v>41486.79</v>
      </c>
      <c r="G151" s="21">
        <v>57810.21</v>
      </c>
      <c r="H151" s="21">
        <v>31755.11</v>
      </c>
      <c r="I151" s="21">
        <v>64796.26</v>
      </c>
      <c r="J151" s="3">
        <v>0</v>
      </c>
      <c r="K151" s="3">
        <v>0</v>
      </c>
      <c r="L151" s="3">
        <v>0</v>
      </c>
      <c r="M151" s="3">
        <v>0</v>
      </c>
      <c r="N151" s="13">
        <v>0</v>
      </c>
      <c r="O151" s="13">
        <v>0</v>
      </c>
      <c r="P151" s="20"/>
      <c r="Q151" s="82">
        <f t="shared" si="5"/>
        <v>7.4448153095055744E-3</v>
      </c>
      <c r="R151" s="14">
        <v>0</v>
      </c>
      <c r="S151" s="15">
        <v>0</v>
      </c>
      <c r="T151" s="16">
        <v>0</v>
      </c>
    </row>
    <row r="152" spans="1:20" ht="16" hidden="1">
      <c r="A152" s="80" t="s">
        <v>518</v>
      </c>
      <c r="B152" s="81" t="s">
        <v>463</v>
      </c>
      <c r="C152" s="18"/>
      <c r="D152" s="21">
        <v>0</v>
      </c>
      <c r="E152" s="21">
        <v>0</v>
      </c>
      <c r="F152" s="21">
        <v>0</v>
      </c>
      <c r="G152" s="21">
        <v>36387</v>
      </c>
      <c r="H152" s="21">
        <v>48604</v>
      </c>
      <c r="I152" s="21">
        <v>62589</v>
      </c>
      <c r="J152" s="3">
        <v>0</v>
      </c>
      <c r="K152" s="3">
        <v>0</v>
      </c>
      <c r="L152" s="3">
        <v>0</v>
      </c>
      <c r="M152" s="3">
        <v>0</v>
      </c>
      <c r="N152" s="13">
        <v>0</v>
      </c>
      <c r="O152" s="13">
        <v>0</v>
      </c>
      <c r="P152" s="20"/>
      <c r="Q152" s="82">
        <f t="shared" si="5"/>
        <v>7.1912105020666998E-3</v>
      </c>
      <c r="R152" s="14">
        <v>0</v>
      </c>
      <c r="S152" s="15">
        <v>0</v>
      </c>
      <c r="T152" s="16">
        <v>-5.9784710665834992E-9</v>
      </c>
    </row>
    <row r="153" spans="1:20" ht="16" hidden="1">
      <c r="A153" s="80" t="s">
        <v>1096</v>
      </c>
      <c r="B153" s="81" t="s">
        <v>76</v>
      </c>
      <c r="C153" s="18"/>
      <c r="D153" s="21">
        <v>68270.31</v>
      </c>
      <c r="E153" s="21">
        <v>96487.34</v>
      </c>
      <c r="F153" s="21">
        <v>66165.97</v>
      </c>
      <c r="G153" s="21">
        <v>95080.59</v>
      </c>
      <c r="H153" s="21">
        <v>34995.199999999997</v>
      </c>
      <c r="I153" s="21">
        <v>61629.539999999994</v>
      </c>
      <c r="J153" s="3">
        <v>0</v>
      </c>
      <c r="K153" s="3">
        <v>0</v>
      </c>
      <c r="L153" s="3">
        <v>0</v>
      </c>
      <c r="M153" s="3">
        <v>0</v>
      </c>
      <c r="N153" s="13">
        <v>0</v>
      </c>
      <c r="O153" s="13">
        <v>0</v>
      </c>
      <c r="P153" s="20"/>
      <c r="Q153" s="82">
        <f t="shared" si="5"/>
        <v>7.0809726195583842E-3</v>
      </c>
      <c r="R153" s="14">
        <v>-13920.000000000004</v>
      </c>
      <c r="S153" s="15">
        <v>-0.99962370486971863</v>
      </c>
      <c r="T153" s="16">
        <v>8.4668076726750085E-8</v>
      </c>
    </row>
    <row r="154" spans="1:20" ht="16" hidden="1">
      <c r="A154" s="80" t="s">
        <v>617</v>
      </c>
      <c r="B154" s="81" t="s">
        <v>85</v>
      </c>
      <c r="C154" s="18"/>
      <c r="D154" s="21">
        <v>20273.39</v>
      </c>
      <c r="E154" s="21">
        <v>57230.880000000005</v>
      </c>
      <c r="F154" s="21">
        <v>37230.869999999995</v>
      </c>
      <c r="G154" s="21">
        <v>94707.239999999991</v>
      </c>
      <c r="H154" s="21">
        <v>51983.090000000004</v>
      </c>
      <c r="I154" s="21">
        <v>59268.26</v>
      </c>
      <c r="J154" s="3">
        <v>0</v>
      </c>
      <c r="K154" s="3">
        <v>0</v>
      </c>
      <c r="L154" s="3">
        <v>0</v>
      </c>
      <c r="M154" s="3">
        <v>0</v>
      </c>
      <c r="N154" s="13">
        <v>0</v>
      </c>
      <c r="O154" s="13">
        <v>0</v>
      </c>
      <c r="P154" s="20"/>
      <c r="Q154" s="82">
        <f t="shared" si="5"/>
        <v>6.8096715677070999E-3</v>
      </c>
      <c r="R154" s="14">
        <v>0</v>
      </c>
      <c r="S154" s="15">
        <v>0</v>
      </c>
      <c r="T154" s="16">
        <v>3.2316059819370259E-10</v>
      </c>
    </row>
    <row r="155" spans="1:20" ht="16">
      <c r="A155" s="80" t="s">
        <v>489</v>
      </c>
      <c r="B155" s="81" t="s">
        <v>67</v>
      </c>
      <c r="C155" s="18"/>
      <c r="D155" s="21">
        <v>80715.330000000016</v>
      </c>
      <c r="E155" s="21">
        <v>79687.440000000017</v>
      </c>
      <c r="F155" s="21">
        <v>59180.51</v>
      </c>
      <c r="G155" s="21">
        <v>59180.51</v>
      </c>
      <c r="H155" s="21">
        <v>59180.51</v>
      </c>
      <c r="I155" s="21">
        <v>59180.51</v>
      </c>
      <c r="J155" s="3">
        <v>0</v>
      </c>
      <c r="K155" s="3">
        <v>0</v>
      </c>
      <c r="L155" s="3">
        <v>0</v>
      </c>
      <c r="M155" s="3">
        <v>0</v>
      </c>
      <c r="N155" s="13">
        <v>0</v>
      </c>
      <c r="O155" s="13">
        <v>0</v>
      </c>
      <c r="P155" s="20"/>
      <c r="Q155" s="82">
        <f t="shared" si="5"/>
        <v>6.7995894650763446E-3</v>
      </c>
      <c r="R155" s="14">
        <v>0</v>
      </c>
      <c r="S155" s="15">
        <v>0</v>
      </c>
      <c r="T155" s="16">
        <v>1.2118522432263848E-8</v>
      </c>
    </row>
    <row r="156" spans="1:20" ht="16" hidden="1">
      <c r="A156" s="80" t="s">
        <v>843</v>
      </c>
      <c r="B156" s="81" t="s">
        <v>76</v>
      </c>
      <c r="C156" s="18"/>
      <c r="D156" s="21">
        <v>34224.65</v>
      </c>
      <c r="E156" s="21">
        <v>68449.3</v>
      </c>
      <c r="F156" s="21">
        <v>68449.3</v>
      </c>
      <c r="G156" s="21">
        <v>68449.3</v>
      </c>
      <c r="H156" s="21">
        <v>68449.3</v>
      </c>
      <c r="I156" s="21">
        <v>58670.82</v>
      </c>
      <c r="J156" s="3">
        <v>0</v>
      </c>
      <c r="K156" s="3">
        <v>0</v>
      </c>
      <c r="L156" s="3">
        <v>0</v>
      </c>
      <c r="M156" s="3">
        <v>0</v>
      </c>
      <c r="N156" s="13">
        <v>0</v>
      </c>
      <c r="O156" s="13">
        <v>0</v>
      </c>
      <c r="P156" s="20"/>
      <c r="Q156" s="82">
        <f t="shared" si="5"/>
        <v>6.7410282469581705E-3</v>
      </c>
      <c r="R156" s="14">
        <v>0</v>
      </c>
      <c r="S156" s="15">
        <v>0</v>
      </c>
      <c r="T156" s="16">
        <v>-3.5878033676628739E-24</v>
      </c>
    </row>
    <row r="157" spans="1:20" ht="16" hidden="1">
      <c r="A157" s="80" t="s">
        <v>1221</v>
      </c>
      <c r="B157" s="81" t="s">
        <v>162</v>
      </c>
      <c r="C157" s="18"/>
      <c r="D157" s="21">
        <v>0.01</v>
      </c>
      <c r="E157" s="21">
        <v>0.01</v>
      </c>
      <c r="F157" s="21">
        <v>30139.809999999998</v>
      </c>
      <c r="G157" s="21">
        <v>25000.01</v>
      </c>
      <c r="H157" s="21">
        <v>51139.810000000005</v>
      </c>
      <c r="I157" s="21">
        <v>58000.01</v>
      </c>
      <c r="J157" s="3">
        <v>0</v>
      </c>
      <c r="K157" s="3">
        <v>0</v>
      </c>
      <c r="L157" s="3">
        <v>0</v>
      </c>
      <c r="M157" s="3">
        <v>0</v>
      </c>
      <c r="N157" s="13">
        <v>0</v>
      </c>
      <c r="O157" s="13">
        <v>0</v>
      </c>
      <c r="P157" s="20"/>
      <c r="Q157" s="82">
        <f t="shared" si="5"/>
        <v>6.6639550245566094E-3</v>
      </c>
      <c r="R157" s="14">
        <v>0</v>
      </c>
      <c r="S157" s="15">
        <v>0</v>
      </c>
      <c r="T157" s="16">
        <v>0</v>
      </c>
    </row>
    <row r="158" spans="1:20" ht="16" hidden="1">
      <c r="A158" s="83" t="s">
        <v>462</v>
      </c>
      <c r="B158" s="81" t="s">
        <v>463</v>
      </c>
      <c r="C158" s="18"/>
      <c r="D158" s="21">
        <v>0</v>
      </c>
      <c r="E158" s="21">
        <v>0</v>
      </c>
      <c r="F158" s="21">
        <v>0</v>
      </c>
      <c r="G158" s="21">
        <v>33284.199999999997</v>
      </c>
      <c r="H158" s="21">
        <v>44459.199999999997</v>
      </c>
      <c r="I158" s="21">
        <v>57251.199999999997</v>
      </c>
      <c r="J158" s="3">
        <v>0</v>
      </c>
      <c r="K158" s="3">
        <v>0</v>
      </c>
      <c r="L158" s="3">
        <v>0</v>
      </c>
      <c r="M158" s="3">
        <v>0</v>
      </c>
      <c r="N158" s="13">
        <v>0</v>
      </c>
      <c r="O158" s="13">
        <v>0</v>
      </c>
      <c r="P158" s="20"/>
      <c r="Q158" s="82">
        <f t="shared" si="5"/>
        <v>6.5779199331499304E-3</v>
      </c>
      <c r="R158" s="14">
        <v>9.999999999999995E-3</v>
      </c>
      <c r="S158" s="15">
        <v>9.9999999999999964E-2</v>
      </c>
      <c r="T158" s="16">
        <v>1.7773832900653641E-9</v>
      </c>
    </row>
    <row r="159" spans="1:20" ht="16" hidden="1">
      <c r="A159" s="87" t="s">
        <v>298</v>
      </c>
      <c r="B159" s="81" t="s">
        <v>145</v>
      </c>
      <c r="C159" s="18"/>
      <c r="D159" s="21">
        <v>0.14000000000000001</v>
      </c>
      <c r="E159" s="21">
        <v>21370.009999999995</v>
      </c>
      <c r="F159" s="21">
        <v>21370.01</v>
      </c>
      <c r="G159" s="21">
        <v>21370.009999999995</v>
      </c>
      <c r="H159" s="21">
        <v>21370.009999999995</v>
      </c>
      <c r="I159" s="21">
        <v>56352.98</v>
      </c>
      <c r="J159" s="3">
        <v>0</v>
      </c>
      <c r="K159" s="3">
        <v>0</v>
      </c>
      <c r="L159" s="3">
        <v>0</v>
      </c>
      <c r="M159" s="3">
        <v>0</v>
      </c>
      <c r="N159" s="13">
        <v>0</v>
      </c>
      <c r="O159" s="13">
        <v>0</v>
      </c>
      <c r="P159" s="20"/>
      <c r="Q159" s="82">
        <f t="shared" si="5"/>
        <v>6.4747182667681969E-3</v>
      </c>
      <c r="R159" s="14">
        <v>0</v>
      </c>
      <c r="S159" s="15">
        <v>0</v>
      </c>
      <c r="T159" s="16">
        <v>5.7522586478479077E-8</v>
      </c>
    </row>
    <row r="160" spans="1:20" ht="16" hidden="1">
      <c r="A160" s="86" t="s">
        <v>762</v>
      </c>
      <c r="B160" s="81" t="s">
        <v>85</v>
      </c>
      <c r="C160" s="18"/>
      <c r="D160" s="21">
        <v>7163.2000000000007</v>
      </c>
      <c r="E160" s="21">
        <v>54911.849999999991</v>
      </c>
      <c r="F160" s="21">
        <v>54911.849999999991</v>
      </c>
      <c r="G160" s="21">
        <v>54911.849999999991</v>
      </c>
      <c r="H160" s="21">
        <v>54911.849999999991</v>
      </c>
      <c r="I160" s="21">
        <v>54911.849999999991</v>
      </c>
      <c r="J160" s="3">
        <v>0</v>
      </c>
      <c r="K160" s="3">
        <v>0</v>
      </c>
      <c r="L160" s="3">
        <v>0</v>
      </c>
      <c r="M160" s="3">
        <v>0</v>
      </c>
      <c r="N160" s="13">
        <v>0</v>
      </c>
      <c r="O160" s="13">
        <v>0</v>
      </c>
      <c r="P160" s="20"/>
      <c r="Q160" s="82">
        <f t="shared" si="5"/>
        <v>6.3091385452381608E-3</v>
      </c>
      <c r="R160" s="14">
        <v>-1.0000000000000009E-2</v>
      </c>
      <c r="S160" s="15">
        <v>-1.2345679012345682E-2</v>
      </c>
      <c r="T160" s="16">
        <v>1.2926423927748112E-8</v>
      </c>
    </row>
    <row r="161" spans="1:20" ht="16" hidden="1">
      <c r="A161" s="87" t="s">
        <v>981</v>
      </c>
      <c r="B161" s="87" t="s">
        <v>78</v>
      </c>
      <c r="C161" s="18"/>
      <c r="D161" s="21">
        <v>43394.509999999995</v>
      </c>
      <c r="E161" s="21">
        <v>45575.31</v>
      </c>
      <c r="F161" s="21">
        <v>44484.909999999996</v>
      </c>
      <c r="G161" s="21">
        <v>44484.909999999996</v>
      </c>
      <c r="H161" s="21">
        <v>53136.52</v>
      </c>
      <c r="I161" s="21">
        <v>54636.44999999999</v>
      </c>
      <c r="J161" s="3">
        <v>0</v>
      </c>
      <c r="K161" s="3">
        <v>0</v>
      </c>
      <c r="L161" s="3">
        <v>0</v>
      </c>
      <c r="M161" s="3">
        <v>0</v>
      </c>
      <c r="N161" s="13">
        <v>0</v>
      </c>
      <c r="O161" s="13">
        <v>0</v>
      </c>
      <c r="P161" s="20"/>
      <c r="Q161" s="82">
        <f t="shared" si="5"/>
        <v>6.2774962539047128E-3</v>
      </c>
      <c r="R161" s="14">
        <v>0</v>
      </c>
      <c r="S161" s="15">
        <v>0</v>
      </c>
      <c r="T161" s="16">
        <v>0</v>
      </c>
    </row>
    <row r="162" spans="1:20" ht="16" hidden="1">
      <c r="A162" s="87" t="s">
        <v>540</v>
      </c>
      <c r="B162" s="87" t="s">
        <v>78</v>
      </c>
      <c r="C162" s="18"/>
      <c r="D162" s="21">
        <v>-2.0000000000000004E-2</v>
      </c>
      <c r="E162" s="21">
        <v>-2.0000000000000004E-2</v>
      </c>
      <c r="F162" s="21">
        <v>-0.05</v>
      </c>
      <c r="G162" s="21">
        <v>15599.949999999997</v>
      </c>
      <c r="H162" s="21">
        <v>31199.940000000021</v>
      </c>
      <c r="I162" s="21">
        <v>54287.939999999973</v>
      </c>
      <c r="J162" s="3">
        <v>0</v>
      </c>
      <c r="K162" s="3">
        <v>0</v>
      </c>
      <c r="L162" s="3">
        <v>0</v>
      </c>
      <c r="M162" s="3">
        <v>0</v>
      </c>
      <c r="N162" s="13">
        <v>0</v>
      </c>
      <c r="O162" s="13">
        <v>0</v>
      </c>
      <c r="P162" s="20"/>
      <c r="Q162" s="82">
        <f t="shared" si="5"/>
        <v>6.2374539338153137E-3</v>
      </c>
      <c r="R162" s="14">
        <v>0</v>
      </c>
      <c r="S162" s="15">
        <v>0</v>
      </c>
      <c r="T162" s="16">
        <v>2.8276552341948983E-7</v>
      </c>
    </row>
    <row r="163" spans="1:20" ht="16" hidden="1">
      <c r="A163" s="87" t="s">
        <v>483</v>
      </c>
      <c r="B163" s="81" t="s">
        <v>145</v>
      </c>
      <c r="C163" s="18"/>
      <c r="D163" s="21">
        <v>42317.52</v>
      </c>
      <c r="E163" s="21">
        <v>44578.119999999995</v>
      </c>
      <c r="F163" s="21">
        <v>46838.730000000025</v>
      </c>
      <c r="G163" s="21">
        <v>49099.329999999994</v>
      </c>
      <c r="H163" s="21">
        <v>51359.93</v>
      </c>
      <c r="I163" s="21">
        <v>53620.54</v>
      </c>
      <c r="J163" s="3">
        <v>0</v>
      </c>
      <c r="K163" s="3">
        <v>0</v>
      </c>
      <c r="L163" s="3">
        <v>0</v>
      </c>
      <c r="M163" s="3">
        <v>0</v>
      </c>
      <c r="N163" s="13">
        <v>0</v>
      </c>
      <c r="O163" s="13">
        <v>0</v>
      </c>
      <c r="P163" s="20"/>
      <c r="Q163" s="82">
        <f t="shared" si="5"/>
        <v>6.1607725059433377E-3</v>
      </c>
      <c r="R163" s="14">
        <v>-166150.35000000006</v>
      </c>
      <c r="S163" s="15">
        <v>-0.99973272323792128</v>
      </c>
      <c r="T163" s="16">
        <v>7.1773968858821324E-7</v>
      </c>
    </row>
    <row r="164" spans="1:20" ht="16" hidden="1">
      <c r="A164" s="85" t="s">
        <v>579</v>
      </c>
      <c r="B164" s="81" t="s">
        <v>85</v>
      </c>
      <c r="C164" s="18"/>
      <c r="D164" s="21">
        <v>118355.27</v>
      </c>
      <c r="E164" s="21">
        <v>121284.68</v>
      </c>
      <c r="F164" s="21">
        <v>40589.040000000008</v>
      </c>
      <c r="G164" s="21">
        <v>46652.25</v>
      </c>
      <c r="H164" s="21">
        <v>126461.58</v>
      </c>
      <c r="I164" s="21">
        <v>51919.96</v>
      </c>
      <c r="J164" s="3">
        <v>0</v>
      </c>
      <c r="K164" s="3">
        <v>0</v>
      </c>
      <c r="L164" s="3">
        <v>0</v>
      </c>
      <c r="M164" s="3">
        <v>0</v>
      </c>
      <c r="N164" s="13">
        <v>0</v>
      </c>
      <c r="O164" s="13">
        <v>0</v>
      </c>
      <c r="P164" s="20"/>
      <c r="Q164" s="82">
        <f t="shared" si="5"/>
        <v>5.9653830803956436E-3</v>
      </c>
      <c r="R164" s="14">
        <v>-98298.099999999802</v>
      </c>
      <c r="S164" s="15">
        <v>-0.87829751022414326</v>
      </c>
      <c r="T164" s="16">
        <v>2.2008545537413843E-4</v>
      </c>
    </row>
    <row r="165" spans="1:20" ht="16" hidden="1">
      <c r="A165" s="80" t="s">
        <v>1206</v>
      </c>
      <c r="B165" s="81" t="s">
        <v>66</v>
      </c>
      <c r="C165" s="18"/>
      <c r="D165" s="21">
        <v>104973.58999999987</v>
      </c>
      <c r="E165" s="21">
        <v>208760.80000000025</v>
      </c>
      <c r="F165" s="21">
        <v>208760.82000000027</v>
      </c>
      <c r="G165" s="21">
        <v>155679.20000000024</v>
      </c>
      <c r="H165" s="21">
        <v>259466.41000000024</v>
      </c>
      <c r="I165" s="21">
        <v>51891.969999999965</v>
      </c>
      <c r="J165" s="3">
        <v>0</v>
      </c>
      <c r="K165" s="3">
        <v>0</v>
      </c>
      <c r="L165" s="3">
        <v>0</v>
      </c>
      <c r="M165" s="3">
        <v>0</v>
      </c>
      <c r="N165" s="13">
        <v>0</v>
      </c>
      <c r="O165" s="13">
        <v>0</v>
      </c>
      <c r="P165" s="20"/>
      <c r="Q165" s="82">
        <f t="shared" si="5"/>
        <v>5.962167148171881E-3</v>
      </c>
      <c r="R165" s="14">
        <v>2978.1155839999969</v>
      </c>
      <c r="S165" s="15">
        <v>0.94143689406659625</v>
      </c>
      <c r="T165" s="16">
        <v>9.9234348199720907E-5</v>
      </c>
    </row>
    <row r="166" spans="1:20" ht="16" hidden="1">
      <c r="A166" s="80" t="s">
        <v>748</v>
      </c>
      <c r="B166" s="81" t="s">
        <v>62</v>
      </c>
      <c r="C166" s="18"/>
      <c r="D166" s="21">
        <v>21414.300000000003</v>
      </c>
      <c r="E166" s="21">
        <v>21414.300000000003</v>
      </c>
      <c r="F166" s="21">
        <v>21414.3</v>
      </c>
      <c r="G166" s="21">
        <v>41846.819999999992</v>
      </c>
      <c r="H166" s="21">
        <v>64228.549999999988</v>
      </c>
      <c r="I166" s="21">
        <v>51133.209999999992</v>
      </c>
      <c r="J166" s="3">
        <v>0</v>
      </c>
      <c r="K166" s="3">
        <v>0</v>
      </c>
      <c r="L166" s="3">
        <v>0</v>
      </c>
      <c r="M166" s="3">
        <v>0</v>
      </c>
      <c r="N166" s="13">
        <v>0</v>
      </c>
      <c r="O166" s="13">
        <v>0</v>
      </c>
      <c r="P166" s="20"/>
      <c r="Q166" s="82">
        <f t="shared" si="5"/>
        <v>5.874988843988271E-3</v>
      </c>
      <c r="R166" s="14">
        <v>-9.9999999999999534E-3</v>
      </c>
      <c r="S166" s="15">
        <v>-2.7777777777777644E-2</v>
      </c>
      <c r="T166" s="16">
        <v>5.6553104683897972E-9</v>
      </c>
    </row>
    <row r="167" spans="1:20" ht="16" hidden="1">
      <c r="A167" s="83" t="s">
        <v>1156</v>
      </c>
      <c r="B167" s="81" t="s">
        <v>66</v>
      </c>
      <c r="C167" s="18"/>
      <c r="D167" s="21">
        <v>50964.83</v>
      </c>
      <c r="E167" s="21">
        <v>1.4699999999999998</v>
      </c>
      <c r="F167" s="21">
        <v>1.6499999999999997</v>
      </c>
      <c r="G167" s="21">
        <v>1.8299999999999996</v>
      </c>
      <c r="H167" s="21">
        <v>2.0099999999999993</v>
      </c>
      <c r="I167" s="21">
        <v>50965.91</v>
      </c>
      <c r="J167" s="3">
        <v>0</v>
      </c>
      <c r="K167" s="3">
        <v>0</v>
      </c>
      <c r="L167" s="3">
        <v>0</v>
      </c>
      <c r="M167" s="3">
        <v>0</v>
      </c>
      <c r="N167" s="13">
        <v>0</v>
      </c>
      <c r="O167" s="13">
        <v>0</v>
      </c>
      <c r="P167" s="20"/>
      <c r="Q167" s="82">
        <f t="shared" si="5"/>
        <v>5.8557667839298638E-3</v>
      </c>
      <c r="R167" s="14">
        <v>0</v>
      </c>
      <c r="S167" s="15">
        <v>0</v>
      </c>
      <c r="T167" s="16">
        <v>0</v>
      </c>
    </row>
    <row r="168" spans="1:20" ht="16" hidden="1">
      <c r="A168" s="87" t="s">
        <v>802</v>
      </c>
      <c r="B168" s="81" t="s">
        <v>145</v>
      </c>
      <c r="C168" s="18"/>
      <c r="D168" s="21">
        <v>20174.849999999999</v>
      </c>
      <c r="E168" s="21">
        <v>34101.74</v>
      </c>
      <c r="F168" s="21">
        <v>24952.54</v>
      </c>
      <c r="G168" s="21">
        <v>37689.339999999997</v>
      </c>
      <c r="H168" s="21">
        <v>37689.339999999997</v>
      </c>
      <c r="I168" s="21">
        <v>50426.14</v>
      </c>
      <c r="J168" s="3">
        <v>0</v>
      </c>
      <c r="K168" s="3">
        <v>0</v>
      </c>
      <c r="L168" s="3">
        <v>0</v>
      </c>
      <c r="M168" s="3">
        <v>0</v>
      </c>
      <c r="N168" s="13">
        <v>0</v>
      </c>
      <c r="O168" s="13">
        <v>0</v>
      </c>
      <c r="P168" s="20"/>
      <c r="Q168" s="82">
        <f t="shared" si="5"/>
        <v>5.7937495014568959E-3</v>
      </c>
      <c r="R168" s="14">
        <v>0</v>
      </c>
      <c r="S168" s="15">
        <v>0</v>
      </c>
      <c r="T168" s="16">
        <v>-1.1633781534973294E-7</v>
      </c>
    </row>
    <row r="169" spans="1:20" ht="16" hidden="1">
      <c r="A169" s="87" t="s">
        <v>1217</v>
      </c>
      <c r="B169" s="87" t="s">
        <v>78</v>
      </c>
      <c r="C169" s="18"/>
      <c r="D169" s="21">
        <v>1515.78</v>
      </c>
      <c r="E169" s="21">
        <v>42515.360000000001</v>
      </c>
      <c r="F169" s="21">
        <v>50135.079999999994</v>
      </c>
      <c r="G169" s="21">
        <v>51759.729999999996</v>
      </c>
      <c r="H169" s="21">
        <v>47660.570000000007</v>
      </c>
      <c r="I169" s="21">
        <v>49654.760000000009</v>
      </c>
      <c r="J169" s="3">
        <v>0</v>
      </c>
      <c r="K169" s="3">
        <v>0</v>
      </c>
      <c r="L169" s="3">
        <v>0</v>
      </c>
      <c r="M169" s="3">
        <v>0</v>
      </c>
      <c r="N169" s="13">
        <v>0</v>
      </c>
      <c r="O169" s="13">
        <v>0</v>
      </c>
      <c r="P169" s="20"/>
      <c r="Q169" s="82">
        <f t="shared" si="5"/>
        <v>5.7051212128265598E-3</v>
      </c>
      <c r="R169" s="14">
        <v>0</v>
      </c>
      <c r="S169" s="15">
        <v>0</v>
      </c>
      <c r="T169" s="16">
        <v>0</v>
      </c>
    </row>
    <row r="170" spans="1:20" ht="16" hidden="1">
      <c r="A170" s="85" t="s">
        <v>265</v>
      </c>
      <c r="B170" s="81" t="s">
        <v>62</v>
      </c>
      <c r="C170" s="18"/>
      <c r="D170" s="21">
        <v>41186.720000000001</v>
      </c>
      <c r="E170" s="21">
        <v>41365.919999999998</v>
      </c>
      <c r="F170" s="21">
        <v>41365.919999999998</v>
      </c>
      <c r="G170" s="21">
        <v>41365.919999999998</v>
      </c>
      <c r="H170" s="21">
        <v>49224.86</v>
      </c>
      <c r="I170" s="21">
        <v>49224.859999999993</v>
      </c>
      <c r="J170" s="3">
        <v>0</v>
      </c>
      <c r="K170" s="3">
        <v>0</v>
      </c>
      <c r="L170" s="3">
        <v>0</v>
      </c>
      <c r="M170" s="3">
        <v>0</v>
      </c>
      <c r="N170" s="13">
        <v>0</v>
      </c>
      <c r="O170" s="13">
        <v>0</v>
      </c>
      <c r="P170" s="20"/>
      <c r="Q170" s="82">
        <f t="shared" si="5"/>
        <v>5.6557275271175919E-3</v>
      </c>
      <c r="R170" s="14">
        <v>0</v>
      </c>
      <c r="S170" s="15">
        <v>0</v>
      </c>
      <c r="T170" s="16">
        <v>0</v>
      </c>
    </row>
    <row r="171" spans="1:20" ht="16" hidden="1">
      <c r="A171" s="80" t="s">
        <v>497</v>
      </c>
      <c r="B171" s="81" t="s">
        <v>62</v>
      </c>
      <c r="C171" s="18"/>
      <c r="D171" s="21">
        <v>49085.56</v>
      </c>
      <c r="E171" s="21">
        <v>48898.95</v>
      </c>
      <c r="F171" s="21">
        <v>48898.95</v>
      </c>
      <c r="G171" s="21">
        <v>48898.95</v>
      </c>
      <c r="H171" s="21">
        <v>48898.95</v>
      </c>
      <c r="I171" s="21">
        <v>48898.95</v>
      </c>
      <c r="J171" s="3">
        <v>0</v>
      </c>
      <c r="K171" s="3">
        <v>0</v>
      </c>
      <c r="L171" s="3">
        <v>0</v>
      </c>
      <c r="M171" s="3">
        <v>0</v>
      </c>
      <c r="N171" s="13">
        <v>0</v>
      </c>
      <c r="O171" s="13">
        <v>0</v>
      </c>
      <c r="P171" s="20"/>
      <c r="Q171" s="82">
        <f t="shared" si="5"/>
        <v>5.6182818511245495E-3</v>
      </c>
      <c r="R171" s="14">
        <v>0</v>
      </c>
      <c r="S171" s="15">
        <v>0</v>
      </c>
      <c r="T171" s="16">
        <v>0</v>
      </c>
    </row>
    <row r="172" spans="1:20" ht="16" hidden="1">
      <c r="A172" s="80" t="s">
        <v>84</v>
      </c>
      <c r="B172" s="81" t="s">
        <v>85</v>
      </c>
      <c r="C172" s="18"/>
      <c r="D172" s="21">
        <v>-0.03</v>
      </c>
      <c r="E172" s="21">
        <v>-0.03</v>
      </c>
      <c r="F172" s="21">
        <v>-0.03</v>
      </c>
      <c r="G172" s="21">
        <v>-0.03</v>
      </c>
      <c r="H172" s="21">
        <v>48812.07</v>
      </c>
      <c r="I172" s="21">
        <v>48812.07</v>
      </c>
      <c r="J172" s="3">
        <v>0</v>
      </c>
      <c r="K172" s="3">
        <v>0</v>
      </c>
      <c r="L172" s="3">
        <v>0</v>
      </c>
      <c r="M172" s="3">
        <v>0</v>
      </c>
      <c r="N172" s="13">
        <v>0</v>
      </c>
      <c r="O172" s="13">
        <v>0</v>
      </c>
      <c r="P172" s="20"/>
      <c r="Q172" s="82">
        <f t="shared" si="5"/>
        <v>5.6082997078019279E-3</v>
      </c>
      <c r="R172" s="14">
        <v>-8.9999999999999969E-2</v>
      </c>
      <c r="S172" s="15">
        <v>-1.4999999999999991</v>
      </c>
      <c r="T172" s="16">
        <v>-4.8474089729055305E-10</v>
      </c>
    </row>
    <row r="173" spans="1:20" ht="16" hidden="1">
      <c r="A173" s="80" t="s">
        <v>778</v>
      </c>
      <c r="B173" s="81" t="s">
        <v>62</v>
      </c>
      <c r="C173" s="18"/>
      <c r="D173" s="21">
        <v>-0.01</v>
      </c>
      <c r="E173" s="21">
        <v>-0.01</v>
      </c>
      <c r="F173" s="21">
        <v>-0.01</v>
      </c>
      <c r="G173" s="21">
        <v>46202.84</v>
      </c>
      <c r="H173" s="21">
        <v>-0.01</v>
      </c>
      <c r="I173" s="21">
        <v>48322.06</v>
      </c>
      <c r="J173" s="3">
        <v>0</v>
      </c>
      <c r="K173" s="3">
        <v>0</v>
      </c>
      <c r="L173" s="3">
        <v>0</v>
      </c>
      <c r="M173" s="3">
        <v>0</v>
      </c>
      <c r="N173" s="13">
        <v>0</v>
      </c>
      <c r="O173" s="13">
        <v>0</v>
      </c>
      <c r="P173" s="20"/>
      <c r="Q173" s="82">
        <f t="shared" si="5"/>
        <v>5.5519996381711983E-3</v>
      </c>
      <c r="R173" s="14">
        <v>0</v>
      </c>
      <c r="S173" s="15">
        <v>0</v>
      </c>
      <c r="T173" s="16">
        <v>3.6711043954804621E-7</v>
      </c>
    </row>
    <row r="174" spans="1:20" ht="16" hidden="1">
      <c r="A174" s="80" t="s">
        <v>79</v>
      </c>
      <c r="B174" s="81" t="s">
        <v>62</v>
      </c>
      <c r="C174" s="18"/>
      <c r="D174" s="21">
        <v>52187.950000000026</v>
      </c>
      <c r="E174" s="21">
        <v>56362.990000000027</v>
      </c>
      <c r="F174" s="21">
        <v>56363</v>
      </c>
      <c r="G174" s="21">
        <v>56363.010000000031</v>
      </c>
      <c r="H174" s="21">
        <v>56363.020000000033</v>
      </c>
      <c r="I174" s="21">
        <v>48311.200000000033</v>
      </c>
      <c r="J174" s="3">
        <v>0</v>
      </c>
      <c r="K174" s="3">
        <v>0</v>
      </c>
      <c r="L174" s="3">
        <v>0</v>
      </c>
      <c r="M174" s="3">
        <v>0</v>
      </c>
      <c r="N174" s="13">
        <v>0</v>
      </c>
      <c r="O174" s="13">
        <v>0</v>
      </c>
      <c r="P174" s="20"/>
      <c r="Q174" s="82">
        <f t="shared" si="5"/>
        <v>5.5507518702558748E-3</v>
      </c>
      <c r="R174" s="14">
        <v>-766.3600000000024</v>
      </c>
      <c r="S174" s="15">
        <v>-9.0196503055354496E-2</v>
      </c>
      <c r="T174" s="16">
        <v>1.2490480280784788E-4</v>
      </c>
    </row>
    <row r="175" spans="1:20" ht="16" hidden="1">
      <c r="A175" s="83" t="s">
        <v>363</v>
      </c>
      <c r="B175" s="81" t="s">
        <v>76</v>
      </c>
      <c r="C175" s="18"/>
      <c r="D175" s="21">
        <v>0.04</v>
      </c>
      <c r="E175" s="21">
        <v>47304.470000000008</v>
      </c>
      <c r="F175" s="21">
        <v>47304.470000000008</v>
      </c>
      <c r="G175" s="21">
        <v>47304.470000000008</v>
      </c>
      <c r="H175" s="21">
        <v>47304.470000000008</v>
      </c>
      <c r="I175" s="21">
        <v>47304.470000000008</v>
      </c>
      <c r="J175" s="3">
        <v>0</v>
      </c>
      <c r="K175" s="3">
        <v>0</v>
      </c>
      <c r="L175" s="3">
        <v>0</v>
      </c>
      <c r="M175" s="3">
        <v>0</v>
      </c>
      <c r="N175" s="13">
        <v>0</v>
      </c>
      <c r="O175" s="13">
        <v>0</v>
      </c>
      <c r="P175" s="20"/>
      <c r="Q175" s="82">
        <f t="shared" si="5"/>
        <v>5.4350828653389445E-3</v>
      </c>
      <c r="R175" s="14">
        <v>0</v>
      </c>
      <c r="S175" s="15">
        <v>0</v>
      </c>
      <c r="T175" s="16">
        <v>-4.9588993792823663E-7</v>
      </c>
    </row>
    <row r="176" spans="1:20" ht="16" hidden="1">
      <c r="A176" s="87" t="s">
        <v>1008</v>
      </c>
      <c r="B176" s="87" t="s">
        <v>78</v>
      </c>
      <c r="C176" s="18"/>
      <c r="D176" s="21">
        <v>0</v>
      </c>
      <c r="E176" s="21">
        <v>0</v>
      </c>
      <c r="F176" s="21">
        <v>0</v>
      </c>
      <c r="G176" s="21">
        <v>0</v>
      </c>
      <c r="H176" s="21">
        <v>0</v>
      </c>
      <c r="I176" s="21">
        <v>47139.91</v>
      </c>
      <c r="J176" s="3">
        <v>0</v>
      </c>
      <c r="K176" s="3">
        <v>0</v>
      </c>
      <c r="L176" s="3">
        <v>0</v>
      </c>
      <c r="M176" s="3">
        <v>0</v>
      </c>
      <c r="N176" s="13">
        <v>0</v>
      </c>
      <c r="O176" s="13">
        <v>0</v>
      </c>
      <c r="P176" s="20"/>
      <c r="Q176" s="82">
        <f t="shared" si="5"/>
        <v>5.4161756196532788E-3</v>
      </c>
      <c r="R176" s="14">
        <v>0</v>
      </c>
      <c r="S176" s="15">
        <v>0</v>
      </c>
      <c r="T176" s="16">
        <v>1.6158029909685204E-10</v>
      </c>
    </row>
    <row r="177" spans="1:20" ht="16" hidden="1">
      <c r="A177" s="85" t="s">
        <v>1094</v>
      </c>
      <c r="B177" s="81" t="s">
        <v>62</v>
      </c>
      <c r="C177" s="18"/>
      <c r="D177" s="21">
        <v>46198.240000000005</v>
      </c>
      <c r="E177" s="21">
        <v>46198.240000000005</v>
      </c>
      <c r="F177" s="21">
        <v>46198.240000000005</v>
      </c>
      <c r="G177" s="21">
        <v>46198.240000000005</v>
      </c>
      <c r="H177" s="21">
        <v>46198.240000000005</v>
      </c>
      <c r="I177" s="21">
        <v>46198.240000000005</v>
      </c>
      <c r="J177" s="3">
        <v>0</v>
      </c>
      <c r="K177" s="3">
        <v>0</v>
      </c>
      <c r="L177" s="3">
        <v>0</v>
      </c>
      <c r="M177" s="3">
        <v>0</v>
      </c>
      <c r="N177" s="13">
        <v>0</v>
      </c>
      <c r="O177" s="13">
        <v>0</v>
      </c>
      <c r="P177" s="20"/>
      <c r="Q177" s="82">
        <f t="shared" si="5"/>
        <v>5.3079817326526692E-3</v>
      </c>
      <c r="R177" s="14">
        <v>0</v>
      </c>
      <c r="S177" s="15">
        <v>0</v>
      </c>
      <c r="T177" s="16">
        <v>-7.3842196687261043E-8</v>
      </c>
    </row>
    <row r="178" spans="1:20" ht="16">
      <c r="A178" s="80" t="s">
        <v>1122</v>
      </c>
      <c r="B178" s="81" t="s">
        <v>67</v>
      </c>
      <c r="C178" s="18"/>
      <c r="D178" s="21">
        <v>44728.740000000034</v>
      </c>
      <c r="E178" s="21">
        <v>44728.740000000034</v>
      </c>
      <c r="F178" s="21">
        <v>44728.740000000034</v>
      </c>
      <c r="G178" s="21">
        <v>44728.740000000034</v>
      </c>
      <c r="H178" s="21">
        <v>44728.740000000034</v>
      </c>
      <c r="I178" s="21">
        <v>44728.740000000034</v>
      </c>
      <c r="J178" s="3">
        <v>0</v>
      </c>
      <c r="K178" s="3">
        <v>0</v>
      </c>
      <c r="L178" s="3">
        <v>0</v>
      </c>
      <c r="M178" s="3">
        <v>0</v>
      </c>
      <c r="N178" s="13">
        <v>0</v>
      </c>
      <c r="O178" s="13">
        <v>0</v>
      </c>
      <c r="P178" s="20"/>
      <c r="Q178" s="82">
        <f t="shared" si="5"/>
        <v>5.1391424185114176E-3</v>
      </c>
      <c r="R178" s="14">
        <v>0</v>
      </c>
      <c r="S178" s="15">
        <v>0</v>
      </c>
      <c r="T178" s="16">
        <v>1.1310620936779591E-8</v>
      </c>
    </row>
    <row r="179" spans="1:20" ht="16" hidden="1">
      <c r="A179" s="80" t="s">
        <v>506</v>
      </c>
      <c r="B179" s="81" t="s">
        <v>85</v>
      </c>
      <c r="C179" s="18"/>
      <c r="D179" s="21">
        <v>7152.09</v>
      </c>
      <c r="E179" s="21">
        <v>7152.09</v>
      </c>
      <c r="F179" s="21">
        <v>7152.09</v>
      </c>
      <c r="G179" s="21">
        <v>7152.09</v>
      </c>
      <c r="H179" s="21">
        <v>7152.09</v>
      </c>
      <c r="I179" s="21">
        <v>44043.92</v>
      </c>
      <c r="J179" s="3">
        <v>0</v>
      </c>
      <c r="K179" s="3">
        <v>0</v>
      </c>
      <c r="L179" s="3">
        <v>0</v>
      </c>
      <c r="M179" s="3">
        <v>0</v>
      </c>
      <c r="N179" s="13">
        <v>0</v>
      </c>
      <c r="O179" s="13">
        <v>0</v>
      </c>
      <c r="P179" s="20"/>
      <c r="Q179" s="82">
        <f t="shared" si="5"/>
        <v>5.0604595065616249E-3</v>
      </c>
      <c r="R179" s="14">
        <v>0</v>
      </c>
      <c r="S179" s="15">
        <v>0</v>
      </c>
      <c r="T179" s="16">
        <v>0</v>
      </c>
    </row>
    <row r="180" spans="1:20" ht="16" hidden="1">
      <c r="A180" s="80" t="s">
        <v>1115</v>
      </c>
      <c r="B180" s="81" t="s">
        <v>78</v>
      </c>
      <c r="C180" s="18"/>
      <c r="D180" s="21">
        <v>54662.06</v>
      </c>
      <c r="E180" s="21">
        <v>16625.13</v>
      </c>
      <c r="F180" s="21">
        <v>18560.010000000002</v>
      </c>
      <c r="G180" s="21">
        <v>30433.780000000002</v>
      </c>
      <c r="H180" s="21">
        <v>35840.019999999997</v>
      </c>
      <c r="I180" s="21">
        <v>43840.01999999999</v>
      </c>
      <c r="J180" s="3">
        <v>0</v>
      </c>
      <c r="K180" s="3">
        <v>0</v>
      </c>
      <c r="L180" s="3">
        <v>0</v>
      </c>
      <c r="M180" s="3">
        <v>0</v>
      </c>
      <c r="N180" s="13">
        <v>0</v>
      </c>
      <c r="O180" s="13">
        <v>0</v>
      </c>
      <c r="P180" s="20"/>
      <c r="Q180" s="82">
        <f t="shared" si="5"/>
        <v>5.0370322618161992E-3</v>
      </c>
      <c r="R180" s="14">
        <v>1.999999999998181E-2</v>
      </c>
      <c r="S180" s="15">
        <v>7.838557078405878E-6</v>
      </c>
      <c r="T180" s="16">
        <v>4.1227374894860703E-5</v>
      </c>
    </row>
    <row r="181" spans="1:20" ht="16">
      <c r="A181" s="80" t="s">
        <v>574</v>
      </c>
      <c r="B181" s="81" t="s">
        <v>67</v>
      </c>
      <c r="C181" s="18"/>
      <c r="D181" s="21">
        <v>44185.369999999995</v>
      </c>
      <c r="E181" s="21">
        <v>44185.369999999995</v>
      </c>
      <c r="F181" s="21">
        <v>44185.369999999995</v>
      </c>
      <c r="G181" s="21">
        <v>44185.369999999995</v>
      </c>
      <c r="H181" s="21">
        <v>42657.039999999994</v>
      </c>
      <c r="I181" s="21">
        <v>42657.039999999994</v>
      </c>
      <c r="J181" s="3">
        <v>0</v>
      </c>
      <c r="K181" s="3">
        <v>0</v>
      </c>
      <c r="L181" s="3">
        <v>0</v>
      </c>
      <c r="M181" s="3">
        <v>0</v>
      </c>
      <c r="N181" s="13">
        <v>0</v>
      </c>
      <c r="O181" s="13">
        <v>0</v>
      </c>
      <c r="P181" s="20"/>
      <c r="Q181" s="82">
        <f t="shared" si="5"/>
        <v>4.9011128798204032E-3</v>
      </c>
      <c r="R181" s="14">
        <v>0</v>
      </c>
      <c r="S181" s="15">
        <v>0</v>
      </c>
      <c r="T181" s="16">
        <v>0</v>
      </c>
    </row>
    <row r="182" spans="1:20" ht="16" hidden="1">
      <c r="A182" s="80" t="s">
        <v>527</v>
      </c>
      <c r="B182" s="81" t="s">
        <v>60</v>
      </c>
      <c r="C182" s="18"/>
      <c r="D182" s="21">
        <v>35621.53</v>
      </c>
      <c r="E182" s="21">
        <v>44757.97</v>
      </c>
      <c r="F182" s="21">
        <v>55271.61</v>
      </c>
      <c r="G182" s="21">
        <v>39921.78</v>
      </c>
      <c r="H182" s="21">
        <v>53980.19</v>
      </c>
      <c r="I182" s="21">
        <v>42325.21</v>
      </c>
      <c r="J182" s="3">
        <v>0</v>
      </c>
      <c r="K182" s="3">
        <v>0</v>
      </c>
      <c r="L182" s="3">
        <v>0</v>
      </c>
      <c r="M182" s="3">
        <v>0</v>
      </c>
      <c r="N182" s="13">
        <v>0</v>
      </c>
      <c r="O182" s="13">
        <v>0</v>
      </c>
      <c r="P182" s="20"/>
      <c r="Q182" s="82">
        <f t="shared" si="5"/>
        <v>4.8629870209490247E-3</v>
      </c>
      <c r="R182" s="14">
        <v>0</v>
      </c>
      <c r="S182" s="15">
        <v>0</v>
      </c>
      <c r="T182" s="16">
        <v>1.6158029909685116E-10</v>
      </c>
    </row>
    <row r="183" spans="1:20" ht="16" hidden="1">
      <c r="A183" s="80" t="s">
        <v>900</v>
      </c>
      <c r="B183" s="81" t="s">
        <v>62</v>
      </c>
      <c r="C183" s="18"/>
      <c r="D183" s="21">
        <v>41766.920000000006</v>
      </c>
      <c r="E183" s="21">
        <v>41766.920000000006</v>
      </c>
      <c r="F183" s="21">
        <v>41766.920000000006</v>
      </c>
      <c r="G183" s="21">
        <v>41766.920000000006</v>
      </c>
      <c r="H183" s="21">
        <v>41766.920000000006</v>
      </c>
      <c r="I183" s="21">
        <v>41766.920000000006</v>
      </c>
      <c r="J183" s="3">
        <v>0</v>
      </c>
      <c r="K183" s="3">
        <v>0</v>
      </c>
      <c r="L183" s="3">
        <v>0</v>
      </c>
      <c r="M183" s="3">
        <v>0</v>
      </c>
      <c r="N183" s="13">
        <v>0</v>
      </c>
      <c r="O183" s="13">
        <v>0</v>
      </c>
      <c r="P183" s="20"/>
      <c r="Q183" s="82">
        <f t="shared" si="5"/>
        <v>4.7988418690661254E-3</v>
      </c>
      <c r="R183" s="14">
        <v>0</v>
      </c>
      <c r="S183" s="15">
        <v>0</v>
      </c>
      <c r="T183" s="16">
        <v>0</v>
      </c>
    </row>
    <row r="184" spans="1:20" ht="16" hidden="1">
      <c r="A184" s="80" t="s">
        <v>168</v>
      </c>
      <c r="B184" s="81" t="s">
        <v>62</v>
      </c>
      <c r="C184" s="18"/>
      <c r="D184" s="21">
        <v>23344</v>
      </c>
      <c r="E184" s="21">
        <v>40592.800000000003</v>
      </c>
      <c r="F184" s="21">
        <v>41552.800000000003</v>
      </c>
      <c r="G184" s="21">
        <v>41552.800000000003</v>
      </c>
      <c r="H184" s="21">
        <v>41552.800000000003</v>
      </c>
      <c r="I184" s="21">
        <v>41552.800000000003</v>
      </c>
      <c r="J184" s="3">
        <v>0</v>
      </c>
      <c r="K184" s="3">
        <v>0</v>
      </c>
      <c r="L184" s="3">
        <v>0</v>
      </c>
      <c r="M184" s="3">
        <v>0</v>
      </c>
      <c r="N184" s="13">
        <v>0</v>
      </c>
      <c r="O184" s="13">
        <v>0</v>
      </c>
      <c r="P184" s="20"/>
      <c r="Q184" s="82">
        <f t="shared" si="5"/>
        <v>4.7742403896895167E-3</v>
      </c>
      <c r="R184" s="14">
        <v>0</v>
      </c>
      <c r="S184" s="15">
        <v>0</v>
      </c>
      <c r="T184" s="16">
        <v>0</v>
      </c>
    </row>
    <row r="185" spans="1:20" ht="16" hidden="1">
      <c r="A185" s="80" t="s">
        <v>1114</v>
      </c>
      <c r="B185" s="81" t="s">
        <v>60</v>
      </c>
      <c r="C185" s="18"/>
      <c r="D185" s="21">
        <v>40847.960000000006</v>
      </c>
      <c r="E185" s="21">
        <v>41397.030000000013</v>
      </c>
      <c r="F185" s="21">
        <v>41397.030000000013</v>
      </c>
      <c r="G185" s="21">
        <v>41495.970000000016</v>
      </c>
      <c r="H185" s="21">
        <v>41495.970000000016</v>
      </c>
      <c r="I185" s="21">
        <v>41495.960000000021</v>
      </c>
      <c r="J185" s="3">
        <v>0</v>
      </c>
      <c r="K185" s="3">
        <v>0</v>
      </c>
      <c r="L185" s="3">
        <v>0</v>
      </c>
      <c r="M185" s="3">
        <v>0</v>
      </c>
      <c r="N185" s="13">
        <v>0</v>
      </c>
      <c r="O185" s="13">
        <v>0</v>
      </c>
      <c r="P185" s="20"/>
      <c r="Q185" s="82">
        <f t="shared" si="5"/>
        <v>4.7677097148914318E-3</v>
      </c>
      <c r="R185" s="14">
        <v>0</v>
      </c>
      <c r="S185" s="15">
        <v>0</v>
      </c>
      <c r="T185" s="16">
        <v>9.6948179458110796E-10</v>
      </c>
    </row>
    <row r="186" spans="1:20" ht="16" hidden="1">
      <c r="A186" s="80" t="s">
        <v>252</v>
      </c>
      <c r="B186" s="81" t="s">
        <v>66</v>
      </c>
      <c r="C186" s="18"/>
      <c r="D186" s="21">
        <v>81898.739999999962</v>
      </c>
      <c r="E186" s="21">
        <v>27435.099999999991</v>
      </c>
      <c r="F186" s="21">
        <v>40483.890000000014</v>
      </c>
      <c r="G186" s="21">
        <v>11728.12</v>
      </c>
      <c r="H186" s="21">
        <v>27344.149999999991</v>
      </c>
      <c r="I186" s="21">
        <v>41194.720000000016</v>
      </c>
      <c r="J186" s="3">
        <v>0</v>
      </c>
      <c r="K186" s="3">
        <v>0</v>
      </c>
      <c r="L186" s="3">
        <v>0</v>
      </c>
      <c r="M186" s="3">
        <v>0</v>
      </c>
      <c r="N186" s="13">
        <v>0</v>
      </c>
      <c r="O186" s="13">
        <v>0</v>
      </c>
      <c r="P186" s="20"/>
      <c r="Q186" s="82">
        <f t="shared" si="5"/>
        <v>4.7330985172106474E-3</v>
      </c>
      <c r="R186" s="14">
        <v>0</v>
      </c>
      <c r="S186" s="15">
        <v>0</v>
      </c>
      <c r="T186" s="16">
        <v>8.079014954842575E-10</v>
      </c>
    </row>
    <row r="187" spans="1:20" ht="16" hidden="1">
      <c r="A187" s="80" t="s">
        <v>87</v>
      </c>
      <c r="B187" s="81" t="s">
        <v>62</v>
      </c>
      <c r="C187" s="18"/>
      <c r="D187" s="21">
        <v>62861.360000000015</v>
      </c>
      <c r="E187" s="21">
        <v>40740.910000000018</v>
      </c>
      <c r="F187" s="21">
        <v>40740.910000000018</v>
      </c>
      <c r="G187" s="21">
        <v>40740.910000000018</v>
      </c>
      <c r="H187" s="21">
        <v>40740.910000000018</v>
      </c>
      <c r="I187" s="21">
        <v>40740.910000000018</v>
      </c>
      <c r="J187" s="3">
        <v>0</v>
      </c>
      <c r="K187" s="3">
        <v>0</v>
      </c>
      <c r="L187" s="3">
        <v>0</v>
      </c>
      <c r="M187" s="3">
        <v>0</v>
      </c>
      <c r="N187" s="13">
        <v>0</v>
      </c>
      <c r="O187" s="13">
        <v>0</v>
      </c>
      <c r="P187" s="20"/>
      <c r="Q187" s="82">
        <f t="shared" si="5"/>
        <v>4.6809576739643439E-3</v>
      </c>
      <c r="R187" s="14">
        <v>0</v>
      </c>
      <c r="S187" s="15">
        <v>0</v>
      </c>
      <c r="T187" s="16">
        <v>0</v>
      </c>
    </row>
    <row r="188" spans="1:20" ht="16" hidden="1">
      <c r="A188" s="80" t="s">
        <v>182</v>
      </c>
      <c r="B188" s="81" t="s">
        <v>78</v>
      </c>
      <c r="C188" s="18"/>
      <c r="D188" s="21">
        <v>0</v>
      </c>
      <c r="E188" s="21">
        <v>40600</v>
      </c>
      <c r="F188" s="21">
        <v>40600</v>
      </c>
      <c r="G188" s="21">
        <v>81200</v>
      </c>
      <c r="H188" s="21">
        <v>40600</v>
      </c>
      <c r="I188" s="21">
        <v>40600</v>
      </c>
      <c r="J188" s="3">
        <v>0</v>
      </c>
      <c r="K188" s="3">
        <v>0</v>
      </c>
      <c r="L188" s="3">
        <v>0</v>
      </c>
      <c r="M188" s="3">
        <v>0</v>
      </c>
      <c r="N188" s="13">
        <v>0</v>
      </c>
      <c r="O188" s="13">
        <v>0</v>
      </c>
      <c r="P188" s="20"/>
      <c r="Q188" s="82">
        <f t="shared" si="5"/>
        <v>4.6647677129193306E-3</v>
      </c>
      <c r="R188" s="14">
        <v>0</v>
      </c>
      <c r="S188" s="15">
        <v>0</v>
      </c>
      <c r="T188" s="16">
        <v>0</v>
      </c>
    </row>
    <row r="189" spans="1:20" ht="16" hidden="1">
      <c r="A189" s="80" t="s">
        <v>325</v>
      </c>
      <c r="B189" s="81" t="s">
        <v>78</v>
      </c>
      <c r="C189" s="18"/>
      <c r="D189" s="21">
        <v>0</v>
      </c>
      <c r="E189" s="21">
        <v>70000</v>
      </c>
      <c r="F189" s="21">
        <v>0</v>
      </c>
      <c r="G189" s="21">
        <v>40600</v>
      </c>
      <c r="H189" s="21">
        <v>40600</v>
      </c>
      <c r="I189" s="21">
        <v>40600</v>
      </c>
      <c r="J189" s="3">
        <v>0</v>
      </c>
      <c r="K189" s="3">
        <v>0</v>
      </c>
      <c r="L189" s="3">
        <v>0</v>
      </c>
      <c r="M189" s="3">
        <v>0</v>
      </c>
      <c r="N189" s="13">
        <v>0</v>
      </c>
      <c r="O189" s="13">
        <v>0</v>
      </c>
      <c r="P189" s="20"/>
      <c r="Q189" s="82">
        <f t="shared" si="5"/>
        <v>4.6647677129193306E-3</v>
      </c>
      <c r="R189" s="14">
        <v>0</v>
      </c>
      <c r="S189" s="15">
        <v>0</v>
      </c>
      <c r="T189" s="16">
        <v>0</v>
      </c>
    </row>
    <row r="190" spans="1:20" ht="16" hidden="1">
      <c r="A190" s="80" t="s">
        <v>109</v>
      </c>
      <c r="B190" s="81" t="s">
        <v>78</v>
      </c>
      <c r="C190" s="18"/>
      <c r="D190" s="21">
        <v>2335.42</v>
      </c>
      <c r="E190" s="21">
        <v>2707.49</v>
      </c>
      <c r="F190" s="21">
        <v>11336.18</v>
      </c>
      <c r="G190" s="21">
        <v>19956.870000000003</v>
      </c>
      <c r="H190" s="21">
        <v>28577.560000000005</v>
      </c>
      <c r="I190" s="21">
        <v>40018</v>
      </c>
      <c r="J190" s="3">
        <v>0</v>
      </c>
      <c r="K190" s="3">
        <v>0</v>
      </c>
      <c r="L190" s="3">
        <v>0</v>
      </c>
      <c r="M190" s="3">
        <v>0</v>
      </c>
      <c r="N190" s="13">
        <v>0</v>
      </c>
      <c r="O190" s="13">
        <v>0</v>
      </c>
      <c r="P190" s="20"/>
      <c r="Q190" s="82">
        <f t="shared" si="5"/>
        <v>4.5978983826503884E-3</v>
      </c>
      <c r="R190" s="14">
        <v>0</v>
      </c>
      <c r="S190" s="15">
        <v>0</v>
      </c>
      <c r="T190" s="16">
        <v>-5.6059427619732405E-26</v>
      </c>
    </row>
    <row r="191" spans="1:20" ht="16" hidden="1">
      <c r="A191" s="80" t="s">
        <v>340</v>
      </c>
      <c r="B191" s="81" t="s">
        <v>78</v>
      </c>
      <c r="C191" s="18"/>
      <c r="D191" s="21">
        <v>0</v>
      </c>
      <c r="E191" s="21">
        <v>0</v>
      </c>
      <c r="F191" s="21">
        <v>0</v>
      </c>
      <c r="G191" s="21">
        <v>0</v>
      </c>
      <c r="H191" s="21">
        <v>0</v>
      </c>
      <c r="I191" s="21">
        <v>40000</v>
      </c>
      <c r="J191" s="3">
        <v>0</v>
      </c>
      <c r="K191" s="3">
        <v>0</v>
      </c>
      <c r="L191" s="3">
        <v>0</v>
      </c>
      <c r="M191" s="3">
        <v>0</v>
      </c>
      <c r="N191" s="13">
        <v>0</v>
      </c>
      <c r="O191" s="13">
        <v>0</v>
      </c>
      <c r="P191" s="20"/>
      <c r="Q191" s="82">
        <f t="shared" si="5"/>
        <v>4.5958302590338234E-3</v>
      </c>
      <c r="R191" s="14">
        <v>0</v>
      </c>
      <c r="S191" s="15">
        <v>0</v>
      </c>
      <c r="T191" s="16">
        <v>0</v>
      </c>
    </row>
    <row r="192" spans="1:20" ht="16">
      <c r="A192" s="80" t="s">
        <v>863</v>
      </c>
      <c r="B192" s="81" t="s">
        <v>67</v>
      </c>
      <c r="C192" s="18"/>
      <c r="D192" s="21">
        <v>39921.499999999985</v>
      </c>
      <c r="E192" s="21">
        <v>39921.869999999988</v>
      </c>
      <c r="F192" s="21">
        <v>39922.620000000003</v>
      </c>
      <c r="G192" s="21">
        <v>41121.609999999993</v>
      </c>
      <c r="H192" s="21">
        <v>42320.6</v>
      </c>
      <c r="I192" s="21">
        <v>39924.130000000005</v>
      </c>
      <c r="J192" s="3">
        <v>0</v>
      </c>
      <c r="K192" s="3">
        <v>0</v>
      </c>
      <c r="L192" s="3">
        <v>0</v>
      </c>
      <c r="M192" s="3">
        <v>0</v>
      </c>
      <c r="N192" s="13">
        <v>0</v>
      </c>
      <c r="O192" s="13">
        <v>0</v>
      </c>
      <c r="P192" s="20"/>
      <c r="Q192" s="82">
        <f t="shared" si="5"/>
        <v>4.5871131179900018E-3</v>
      </c>
      <c r="R192" s="14">
        <v>0</v>
      </c>
      <c r="S192" s="15">
        <v>0</v>
      </c>
      <c r="T192" s="16">
        <v>0</v>
      </c>
    </row>
    <row r="193" spans="1:20" ht="16" hidden="1">
      <c r="A193" s="80" t="s">
        <v>156</v>
      </c>
      <c r="B193" s="81" t="s">
        <v>62</v>
      </c>
      <c r="C193" s="18"/>
      <c r="D193" s="21">
        <v>3647.8100000000018</v>
      </c>
      <c r="E193" s="21">
        <v>3647.8100000000018</v>
      </c>
      <c r="F193" s="21">
        <v>3647.8100000000018</v>
      </c>
      <c r="G193" s="21">
        <v>3647.8100000000018</v>
      </c>
      <c r="H193" s="21">
        <v>3647.8100000000018</v>
      </c>
      <c r="I193" s="21">
        <v>39915.590000000004</v>
      </c>
      <c r="J193" s="3">
        <v>0</v>
      </c>
      <c r="K193" s="3">
        <v>0</v>
      </c>
      <c r="L193" s="3">
        <v>0</v>
      </c>
      <c r="M193" s="3">
        <v>0</v>
      </c>
      <c r="N193" s="13">
        <v>0</v>
      </c>
      <c r="O193" s="13">
        <v>0</v>
      </c>
      <c r="P193" s="20"/>
      <c r="Q193" s="82">
        <f t="shared" si="5"/>
        <v>4.5861319082296974E-3</v>
      </c>
      <c r="R193" s="14">
        <v>0</v>
      </c>
      <c r="S193" s="15">
        <v>0</v>
      </c>
      <c r="T193" s="16">
        <v>0</v>
      </c>
    </row>
    <row r="194" spans="1:20" ht="16" hidden="1">
      <c r="A194" s="80" t="s">
        <v>543</v>
      </c>
      <c r="B194" s="81" t="s">
        <v>85</v>
      </c>
      <c r="C194" s="18"/>
      <c r="D194" s="21">
        <v>0</v>
      </c>
      <c r="E194" s="21">
        <v>0</v>
      </c>
      <c r="F194" s="21">
        <v>29160</v>
      </c>
      <c r="G194" s="21">
        <v>29160</v>
      </c>
      <c r="H194" s="21">
        <v>29160</v>
      </c>
      <c r="I194" s="21">
        <v>38880</v>
      </c>
      <c r="J194" s="3">
        <v>0</v>
      </c>
      <c r="K194" s="3">
        <v>0</v>
      </c>
      <c r="L194" s="3">
        <v>0</v>
      </c>
      <c r="M194" s="3">
        <v>0</v>
      </c>
      <c r="N194" s="13">
        <v>0</v>
      </c>
      <c r="O194" s="13">
        <v>0</v>
      </c>
      <c r="P194" s="20"/>
      <c r="Q194" s="82">
        <f t="shared" si="5"/>
        <v>4.4671470117808761E-3</v>
      </c>
      <c r="R194" s="14">
        <v>0</v>
      </c>
      <c r="S194" s="15">
        <v>0</v>
      </c>
      <c r="T194" s="16">
        <v>0</v>
      </c>
    </row>
    <row r="195" spans="1:20" ht="16" hidden="1">
      <c r="A195" s="80" t="s">
        <v>711</v>
      </c>
      <c r="B195" s="81" t="s">
        <v>76</v>
      </c>
      <c r="C195" s="18"/>
      <c r="D195" s="21">
        <v>40253.67</v>
      </c>
      <c r="E195" s="21">
        <v>21693.670000000002</v>
      </c>
      <c r="F195" s="21">
        <v>21693.670000000002</v>
      </c>
      <c r="G195" s="21">
        <v>19395.2</v>
      </c>
      <c r="H195" s="21">
        <v>31790.400000000001</v>
      </c>
      <c r="I195" s="21">
        <v>38790.400000000001</v>
      </c>
      <c r="J195" s="3">
        <v>0</v>
      </c>
      <c r="K195" s="3">
        <v>0</v>
      </c>
      <c r="L195" s="3">
        <v>0</v>
      </c>
      <c r="M195" s="3">
        <v>0</v>
      </c>
      <c r="N195" s="13">
        <v>0</v>
      </c>
      <c r="O195" s="13">
        <v>0</v>
      </c>
      <c r="P195" s="20"/>
      <c r="Q195" s="82">
        <f t="shared" si="5"/>
        <v>4.4568523520006412E-3</v>
      </c>
      <c r="R195" s="14">
        <v>0</v>
      </c>
      <c r="S195" s="15">
        <v>0</v>
      </c>
      <c r="T195" s="16">
        <v>0</v>
      </c>
    </row>
    <row r="196" spans="1:20" ht="16" hidden="1">
      <c r="A196" s="80" t="s">
        <v>498</v>
      </c>
      <c r="B196" s="81" t="s">
        <v>85</v>
      </c>
      <c r="C196" s="18"/>
      <c r="D196" s="21">
        <v>27400</v>
      </c>
      <c r="E196" s="21">
        <v>32800</v>
      </c>
      <c r="F196" s="21">
        <v>38200</v>
      </c>
      <c r="G196" s="21">
        <v>38200</v>
      </c>
      <c r="H196" s="21">
        <v>38200</v>
      </c>
      <c r="I196" s="21">
        <v>38200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</v>
      </c>
      <c r="P196" s="20"/>
      <c r="Q196" s="82">
        <f t="shared" si="5"/>
        <v>4.3890178973773012E-3</v>
      </c>
      <c r="R196" s="14">
        <v>0</v>
      </c>
      <c r="S196" s="15">
        <v>0</v>
      </c>
      <c r="T196" s="16">
        <v>1.0373455202017852E-7</v>
      </c>
    </row>
    <row r="197" spans="1:20" ht="16" hidden="1">
      <c r="A197" s="80" t="s">
        <v>1188</v>
      </c>
      <c r="B197" s="81" t="s">
        <v>463</v>
      </c>
      <c r="C197" s="18"/>
      <c r="D197" s="21">
        <v>48205</v>
      </c>
      <c r="E197" s="21">
        <v>62426.04</v>
      </c>
      <c r="F197" s="21">
        <v>34751</v>
      </c>
      <c r="G197" s="21">
        <v>11157</v>
      </c>
      <c r="H197" s="21">
        <v>23374</v>
      </c>
      <c r="I197" s="21">
        <v>37359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20"/>
      <c r="Q197" s="82">
        <f t="shared" si="5"/>
        <v>4.2923905661811151E-3</v>
      </c>
      <c r="R197" s="14">
        <v>0</v>
      </c>
      <c r="S197" s="15">
        <v>0</v>
      </c>
      <c r="T197" s="16">
        <v>6.4632119638740517E-10</v>
      </c>
    </row>
    <row r="198" spans="1:20" ht="16" hidden="1">
      <c r="A198" s="80" t="s">
        <v>810</v>
      </c>
      <c r="B198" s="81" t="s">
        <v>85</v>
      </c>
      <c r="C198" s="18"/>
      <c r="D198" s="21">
        <v>36781.110000000008</v>
      </c>
      <c r="E198" s="21">
        <v>6.0000000000000005E-2</v>
      </c>
      <c r="F198" s="21">
        <v>36781.110000000008</v>
      </c>
      <c r="G198" s="21">
        <v>36781.110000000008</v>
      </c>
      <c r="H198" s="21">
        <v>6.0000000000000005E-2</v>
      </c>
      <c r="I198" s="21">
        <v>36781.110000000008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20"/>
      <c r="Q198" s="82">
        <f t="shared" si="5"/>
        <v>4.22599345747129E-3</v>
      </c>
      <c r="R198" s="14">
        <v>0</v>
      </c>
      <c r="S198" s="15">
        <v>0</v>
      </c>
      <c r="T198" s="16">
        <v>0</v>
      </c>
    </row>
    <row r="199" spans="1:20" ht="16" hidden="1">
      <c r="A199" s="80" t="s">
        <v>728</v>
      </c>
      <c r="B199" s="81" t="s">
        <v>60</v>
      </c>
      <c r="C199" s="18"/>
      <c r="D199" s="21">
        <v>757.65000000000009</v>
      </c>
      <c r="E199" s="21">
        <v>36721.589999999997</v>
      </c>
      <c r="F199" s="21">
        <v>36721.589999999997</v>
      </c>
      <c r="G199" s="21">
        <v>36334.35</v>
      </c>
      <c r="H199" s="21">
        <v>36433.72</v>
      </c>
      <c r="I199" s="21">
        <v>36433.72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20"/>
      <c r="Q199" s="82">
        <f t="shared" si="5"/>
        <v>4.186079820629145E-3</v>
      </c>
      <c r="R199" s="14">
        <v>0</v>
      </c>
      <c r="S199" s="15">
        <v>0</v>
      </c>
      <c r="T199" s="16">
        <v>0</v>
      </c>
    </row>
    <row r="200" spans="1:20" ht="16">
      <c r="A200" s="80" t="s">
        <v>783</v>
      </c>
      <c r="B200" s="81" t="s">
        <v>67</v>
      </c>
      <c r="C200" s="18"/>
      <c r="D200" s="21">
        <v>36090.239999999991</v>
      </c>
      <c r="E200" s="21">
        <v>36329.169999999991</v>
      </c>
      <c r="F200" s="21">
        <v>36329.170000000006</v>
      </c>
      <c r="G200" s="21">
        <v>36329.169999999991</v>
      </c>
      <c r="H200" s="21">
        <v>36329.179999999993</v>
      </c>
      <c r="I200" s="21">
        <v>36329.189999999995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</v>
      </c>
      <c r="P200" s="20"/>
      <c r="Q200" s="82">
        <f t="shared" si="5"/>
        <v>4.1740697672047241E-3</v>
      </c>
      <c r="R200" s="14">
        <v>0</v>
      </c>
      <c r="S200" s="15">
        <v>0</v>
      </c>
      <c r="T200" s="16">
        <v>5.0089892720023924E-9</v>
      </c>
    </row>
    <row r="201" spans="1:20" ht="16" hidden="1">
      <c r="A201" s="80" t="s">
        <v>688</v>
      </c>
      <c r="B201" s="81" t="s">
        <v>62</v>
      </c>
      <c r="C201" s="18"/>
      <c r="D201" s="21">
        <v>11.840000000000007</v>
      </c>
      <c r="E201" s="21">
        <v>1138.8100000000004</v>
      </c>
      <c r="F201" s="21">
        <v>2265.7800000000002</v>
      </c>
      <c r="G201" s="21">
        <v>3392.7500000000005</v>
      </c>
      <c r="H201" s="21">
        <v>4519.7400000000007</v>
      </c>
      <c r="I201" s="21">
        <v>36184.709999999992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</v>
      </c>
      <c r="P201" s="20"/>
      <c r="Q201" s="82">
        <f t="shared" si="5"/>
        <v>4.1574696283090936E-3</v>
      </c>
      <c r="R201" s="14">
        <v>33053.489999999991</v>
      </c>
      <c r="S201" s="15">
        <v>0.23441312024534683</v>
      </c>
      <c r="T201" s="16">
        <v>2.812446973283303E-3</v>
      </c>
    </row>
    <row r="202" spans="1:20" ht="16" hidden="1">
      <c r="A202" s="80" t="s">
        <v>723</v>
      </c>
      <c r="B202" s="81" t="s">
        <v>78</v>
      </c>
      <c r="C202" s="18"/>
      <c r="D202" s="21">
        <v>2287.16</v>
      </c>
      <c r="E202" s="21">
        <v>2287.16</v>
      </c>
      <c r="F202" s="21">
        <v>0</v>
      </c>
      <c r="G202" s="21">
        <v>8.3266726846886741E-17</v>
      </c>
      <c r="H202" s="21">
        <v>0</v>
      </c>
      <c r="I202" s="21">
        <v>36000.239999999998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20"/>
      <c r="Q202" s="82">
        <f t="shared" si="5"/>
        <v>4.1362748081119954E-3</v>
      </c>
      <c r="R202" s="14">
        <v>0</v>
      </c>
      <c r="S202" s="15">
        <v>0</v>
      </c>
      <c r="T202" s="16">
        <v>1.1633781534973297E-8</v>
      </c>
    </row>
    <row r="203" spans="1:20" ht="16" hidden="1">
      <c r="A203" s="80" t="s">
        <v>437</v>
      </c>
      <c r="B203" s="81" t="s">
        <v>62</v>
      </c>
      <c r="C203" s="18"/>
      <c r="D203" s="21">
        <v>2594.3899999999994</v>
      </c>
      <c r="E203" s="21">
        <v>38372.06</v>
      </c>
      <c r="F203" s="21">
        <v>35778.879999999997</v>
      </c>
      <c r="G203" s="21">
        <v>71556.55</v>
      </c>
      <c r="H203" s="21">
        <v>71556.55</v>
      </c>
      <c r="I203" s="21">
        <v>35778.879999999997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20"/>
      <c r="Q203" s="82">
        <f t="shared" ref="Q203:Q266" si="6">IFERROR(I203/$I$4," ")</f>
        <v>4.110841483458502E-3</v>
      </c>
      <c r="R203" s="14">
        <v>0</v>
      </c>
      <c r="S203" s="15">
        <v>0</v>
      </c>
      <c r="T203" s="16">
        <v>8.2729113137587862E-8</v>
      </c>
    </row>
    <row r="204" spans="1:20" ht="16" hidden="1">
      <c r="A204" s="80" t="s">
        <v>1126</v>
      </c>
      <c r="B204" s="81" t="s">
        <v>60</v>
      </c>
      <c r="C204" s="18"/>
      <c r="D204" s="21">
        <v>35775.949999999997</v>
      </c>
      <c r="E204" s="21">
        <v>35775.949999999997</v>
      </c>
      <c r="F204" s="21">
        <v>35775.949999999997</v>
      </c>
      <c r="G204" s="21">
        <v>35775.949999999997</v>
      </c>
      <c r="H204" s="21">
        <v>35775.949999999997</v>
      </c>
      <c r="I204" s="21">
        <v>35775.950000000004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</v>
      </c>
      <c r="P204" s="20"/>
      <c r="Q204" s="82">
        <f t="shared" si="6"/>
        <v>4.1105048388920288E-3</v>
      </c>
      <c r="R204" s="14">
        <v>0</v>
      </c>
      <c r="S204" s="15">
        <v>0</v>
      </c>
      <c r="T204" s="16">
        <v>6.4735827853171968E-6</v>
      </c>
    </row>
    <row r="205" spans="1:20" ht="16" hidden="1">
      <c r="A205" s="83" t="s">
        <v>910</v>
      </c>
      <c r="B205" s="81" t="s">
        <v>85</v>
      </c>
      <c r="C205" s="18"/>
      <c r="D205" s="21">
        <v>81625.200000000012</v>
      </c>
      <c r="E205" s="21">
        <v>34500.410000000003</v>
      </c>
      <c r="F205" s="21">
        <v>34500.410000000003</v>
      </c>
      <c r="G205" s="21">
        <v>34500.410000000003</v>
      </c>
      <c r="H205" s="21">
        <v>34500.410000000003</v>
      </c>
      <c r="I205" s="21">
        <v>34500.410000000003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20"/>
      <c r="Q205" s="82">
        <f t="shared" si="6"/>
        <v>3.9639507056768285E-3</v>
      </c>
      <c r="R205" s="14">
        <v>-4.4408920985006262E-16</v>
      </c>
      <c r="S205" s="15">
        <v>-2</v>
      </c>
      <c r="T205" s="16">
        <v>-3.5878033676628739E-24</v>
      </c>
    </row>
    <row r="206" spans="1:20" ht="16" hidden="1">
      <c r="A206" s="87" t="s">
        <v>424</v>
      </c>
      <c r="B206" s="81" t="s">
        <v>83</v>
      </c>
      <c r="C206" s="18"/>
      <c r="D206" s="21">
        <v>32856.424130000007</v>
      </c>
      <c r="E206" s="21">
        <v>2088.4874680000007</v>
      </c>
      <c r="F206" s="21">
        <v>34253.685999000016</v>
      </c>
      <c r="G206" s="21">
        <v>398.91746800000004</v>
      </c>
      <c r="H206" s="21">
        <v>642.96746799999983</v>
      </c>
      <c r="I206" s="21">
        <v>34228.284568000017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20"/>
      <c r="Q206" s="82">
        <f t="shared" si="6"/>
        <v>3.9326846483108734E-3</v>
      </c>
      <c r="R206" s="14">
        <v>0</v>
      </c>
      <c r="S206" s="15">
        <v>0</v>
      </c>
      <c r="T206" s="16">
        <v>0</v>
      </c>
    </row>
    <row r="207" spans="1:20" ht="16" hidden="1">
      <c r="A207" s="85" t="s">
        <v>594</v>
      </c>
      <c r="B207" s="81" t="s">
        <v>463</v>
      </c>
      <c r="C207" s="18"/>
      <c r="D207" s="21">
        <v>44093</v>
      </c>
      <c r="E207" s="21">
        <v>57101.440000000002</v>
      </c>
      <c r="F207" s="21">
        <v>31786</v>
      </c>
      <c r="G207" s="21">
        <v>10206</v>
      </c>
      <c r="H207" s="21">
        <v>21381</v>
      </c>
      <c r="I207" s="21">
        <v>34173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20"/>
      <c r="Q207" s="82">
        <f t="shared" si="6"/>
        <v>3.9263326860490711E-3</v>
      </c>
      <c r="R207" s="14">
        <v>3093616.6499999994</v>
      </c>
      <c r="S207" s="15">
        <v>1.8161562253685573</v>
      </c>
      <c r="T207" s="16">
        <v>7.7510126191444553E-2</v>
      </c>
    </row>
    <row r="208" spans="1:20" ht="16" hidden="1">
      <c r="A208" s="80" t="s">
        <v>994</v>
      </c>
      <c r="B208" s="81" t="s">
        <v>66</v>
      </c>
      <c r="C208" s="18"/>
      <c r="D208" s="21">
        <v>27600</v>
      </c>
      <c r="E208" s="21">
        <v>55200</v>
      </c>
      <c r="F208" s="21">
        <v>82800</v>
      </c>
      <c r="G208" s="21">
        <v>33616.800000000003</v>
      </c>
      <c r="H208" s="21">
        <v>33616.800000000003</v>
      </c>
      <c r="I208" s="21">
        <v>33616.800000000003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20"/>
      <c r="Q208" s="82">
        <f t="shared" si="6"/>
        <v>3.8624276662972061E-3</v>
      </c>
      <c r="R208" s="14">
        <v>0</v>
      </c>
      <c r="S208" s="15">
        <v>0</v>
      </c>
      <c r="T208" s="16">
        <v>0</v>
      </c>
    </row>
    <row r="209" spans="1:20" ht="16" hidden="1">
      <c r="A209" s="80" t="s">
        <v>619</v>
      </c>
      <c r="B209" s="81" t="s">
        <v>85</v>
      </c>
      <c r="C209" s="18"/>
      <c r="D209" s="21">
        <v>31001.21</v>
      </c>
      <c r="E209" s="21">
        <v>29714.68</v>
      </c>
      <c r="F209" s="21">
        <v>29714.68</v>
      </c>
      <c r="G209" s="21">
        <v>31319.65</v>
      </c>
      <c r="H209" s="21">
        <v>32772.810000000005</v>
      </c>
      <c r="I209" s="21">
        <v>33558.850000000006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20"/>
      <c r="Q209" s="82">
        <f t="shared" si="6"/>
        <v>3.8557694572094315E-3</v>
      </c>
      <c r="R209" s="14">
        <v>0</v>
      </c>
      <c r="S209" s="15">
        <v>0</v>
      </c>
      <c r="T209" s="16">
        <v>-3.2316059819370259E-10</v>
      </c>
    </row>
    <row r="210" spans="1:20" ht="16" hidden="1">
      <c r="A210" s="80" t="s">
        <v>915</v>
      </c>
      <c r="B210" s="81" t="s">
        <v>76</v>
      </c>
      <c r="C210" s="18"/>
      <c r="D210" s="21">
        <v>33304.07</v>
      </c>
      <c r="E210" s="21">
        <v>33304.080000000002</v>
      </c>
      <c r="F210" s="21">
        <v>66608.149999999994</v>
      </c>
      <c r="G210" s="21">
        <v>99912.22</v>
      </c>
      <c r="H210" s="21">
        <v>33304.080000000002</v>
      </c>
      <c r="I210" s="21">
        <v>33304.080000000002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20"/>
      <c r="Q210" s="82">
        <f t="shared" si="6"/>
        <v>3.8264974653320796E-3</v>
      </c>
      <c r="R210" s="14">
        <v>0</v>
      </c>
      <c r="S210" s="15">
        <v>0</v>
      </c>
      <c r="T210" s="16">
        <v>1.6158029909685129E-10</v>
      </c>
    </row>
    <row r="211" spans="1:20" ht="16" hidden="1">
      <c r="A211" s="80" t="s">
        <v>246</v>
      </c>
      <c r="B211" s="81" t="s">
        <v>60</v>
      </c>
      <c r="C211" s="18"/>
      <c r="D211" s="21">
        <v>1.1599999999999999</v>
      </c>
      <c r="E211" s="21">
        <v>1.1599999999999999</v>
      </c>
      <c r="F211" s="21">
        <v>1.1599999999999999</v>
      </c>
      <c r="G211" s="21">
        <v>84958.81</v>
      </c>
      <c r="H211" s="21">
        <v>22164.010000000002</v>
      </c>
      <c r="I211" s="21">
        <v>33245.439999999995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20"/>
      <c r="Q211" s="82">
        <f t="shared" si="6"/>
        <v>3.8197599781723355E-3</v>
      </c>
      <c r="R211" s="14">
        <v>0</v>
      </c>
      <c r="S211" s="15">
        <v>0</v>
      </c>
      <c r="T211" s="16">
        <v>0</v>
      </c>
    </row>
    <row r="212" spans="1:20" ht="16" hidden="1">
      <c r="A212" s="80" t="s">
        <v>1101</v>
      </c>
      <c r="B212" s="81" t="s">
        <v>85</v>
      </c>
      <c r="C212" s="18"/>
      <c r="D212" s="21">
        <v>39994.880000000005</v>
      </c>
      <c r="E212" s="21">
        <v>32226.06</v>
      </c>
      <c r="F212" s="21">
        <v>32226.06</v>
      </c>
      <c r="G212" s="21">
        <v>32226.06</v>
      </c>
      <c r="H212" s="21">
        <v>32226.06</v>
      </c>
      <c r="I212" s="21">
        <v>32226.050000000003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20"/>
      <c r="Q212" s="82">
        <f t="shared" si="6"/>
        <v>3.7026363929784241E-3</v>
      </c>
      <c r="R212" s="14">
        <v>0</v>
      </c>
      <c r="S212" s="15">
        <v>0</v>
      </c>
      <c r="T212" s="16">
        <v>0</v>
      </c>
    </row>
    <row r="213" spans="1:20" ht="16" hidden="1">
      <c r="A213" s="80" t="s">
        <v>677</v>
      </c>
      <c r="B213" s="81" t="s">
        <v>62</v>
      </c>
      <c r="C213" s="18"/>
      <c r="D213" s="21">
        <v>31196.879999999997</v>
      </c>
      <c r="E213" s="21">
        <v>1865.39</v>
      </c>
      <c r="F213" s="21">
        <v>33744.89</v>
      </c>
      <c r="G213" s="21">
        <v>65624.39</v>
      </c>
      <c r="H213" s="21">
        <v>0.01</v>
      </c>
      <c r="I213" s="21">
        <v>31879.51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20"/>
      <c r="Q213" s="82">
        <f t="shared" si="6"/>
        <v>3.6628204175292839E-3</v>
      </c>
      <c r="R213" s="14">
        <v>0</v>
      </c>
      <c r="S213" s="15">
        <v>0</v>
      </c>
      <c r="T213" s="16">
        <v>4.9766732121830203E-8</v>
      </c>
    </row>
    <row r="214" spans="1:20" ht="16" hidden="1">
      <c r="A214" s="80" t="s">
        <v>1146</v>
      </c>
      <c r="B214" s="81" t="s">
        <v>62</v>
      </c>
      <c r="C214" s="18"/>
      <c r="D214" s="21">
        <v>0.69000000000000006</v>
      </c>
      <c r="E214" s="21">
        <v>0.69000000000000006</v>
      </c>
      <c r="F214" s="21">
        <v>0.69000000000000017</v>
      </c>
      <c r="G214" s="21">
        <v>7151.61</v>
      </c>
      <c r="H214" s="21">
        <v>28377.32</v>
      </c>
      <c r="I214" s="21">
        <v>30647.46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20"/>
      <c r="Q214" s="82">
        <f t="shared" si="6"/>
        <v>3.5212631007632187E-3</v>
      </c>
      <c r="R214" s="14">
        <v>0</v>
      </c>
      <c r="S214" s="15">
        <v>0</v>
      </c>
      <c r="T214" s="16">
        <v>1.615802990968513E-7</v>
      </c>
    </row>
    <row r="215" spans="1:20" ht="16" hidden="1">
      <c r="A215" s="80" t="s">
        <v>1080</v>
      </c>
      <c r="B215" s="81" t="s">
        <v>85</v>
      </c>
      <c r="C215" s="18"/>
      <c r="D215" s="21">
        <v>1.999999999999999E-2</v>
      </c>
      <c r="E215" s="21">
        <v>1.999999999999999E-2</v>
      </c>
      <c r="F215" s="21">
        <v>1.9999999999999983E-2</v>
      </c>
      <c r="G215" s="21">
        <v>1.999999999999999E-2</v>
      </c>
      <c r="H215" s="21">
        <v>32451.97</v>
      </c>
      <c r="I215" s="21">
        <v>30048.120000000003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</v>
      </c>
      <c r="P215" s="20"/>
      <c r="Q215" s="82">
        <f t="shared" si="6"/>
        <v>3.4524014780769855E-3</v>
      </c>
      <c r="R215" s="14">
        <v>0</v>
      </c>
      <c r="S215" s="15">
        <v>0</v>
      </c>
      <c r="T215" s="16">
        <v>0</v>
      </c>
    </row>
    <row r="216" spans="1:20" ht="16" hidden="1">
      <c r="A216" s="80" t="s">
        <v>740</v>
      </c>
      <c r="B216" s="81" t="s">
        <v>78</v>
      </c>
      <c r="C216" s="18"/>
      <c r="D216" s="21">
        <v>107582.91</v>
      </c>
      <c r="E216" s="21">
        <v>57582.909999999996</v>
      </c>
      <c r="F216" s="21">
        <v>57582.909999999996</v>
      </c>
      <c r="G216" s="21">
        <v>57582.909999999996</v>
      </c>
      <c r="H216" s="21">
        <v>46066.329999999994</v>
      </c>
      <c r="I216" s="21">
        <v>29119.81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20"/>
      <c r="Q216" s="82">
        <f t="shared" si="6"/>
        <v>3.3457425983828932E-3</v>
      </c>
      <c r="R216" s="14">
        <v>79174.510000000024</v>
      </c>
      <c r="S216" s="15">
        <v>0.60977176565580904</v>
      </c>
      <c r="T216" s="16">
        <v>3.377308916103724E-3</v>
      </c>
    </row>
    <row r="217" spans="1:20" ht="16" hidden="1">
      <c r="A217" s="80" t="s">
        <v>875</v>
      </c>
      <c r="B217" s="81" t="s">
        <v>145</v>
      </c>
      <c r="C217" s="18"/>
      <c r="D217" s="21">
        <v>87177.42</v>
      </c>
      <c r="E217" s="21">
        <v>167825.81</v>
      </c>
      <c r="F217" s="21">
        <v>133400</v>
      </c>
      <c r="G217" s="21">
        <v>0</v>
      </c>
      <c r="H217" s="21">
        <v>0.01</v>
      </c>
      <c r="I217" s="21">
        <v>28750.92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20"/>
      <c r="Q217" s="82">
        <f t="shared" si="6"/>
        <v>3.3033587027765181E-3</v>
      </c>
      <c r="R217" s="14">
        <v>0</v>
      </c>
      <c r="S217" s="15">
        <v>0</v>
      </c>
      <c r="T217" s="16">
        <v>-1.6158029909685129E-10</v>
      </c>
    </row>
    <row r="218" spans="1:20" ht="16" hidden="1">
      <c r="A218" s="80" t="s">
        <v>548</v>
      </c>
      <c r="B218" s="81" t="s">
        <v>62</v>
      </c>
      <c r="C218" s="18"/>
      <c r="D218" s="21">
        <v>24516.83</v>
      </c>
      <c r="E218" s="21">
        <v>24516.83</v>
      </c>
      <c r="F218" s="21">
        <v>15.470000000000027</v>
      </c>
      <c r="G218" s="21">
        <v>15.469999999999999</v>
      </c>
      <c r="H218" s="21">
        <v>15.469999999999992</v>
      </c>
      <c r="I218" s="21">
        <v>28504.160000000003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20"/>
      <c r="Q218" s="82">
        <f t="shared" si="6"/>
        <v>3.2750070259085391E-3</v>
      </c>
      <c r="R218" s="14">
        <v>91675.759999999907</v>
      </c>
      <c r="S218" s="15">
        <v>0.79262746282030805</v>
      </c>
      <c r="T218" s="16">
        <v>3.3501469446649431E-3</v>
      </c>
    </row>
    <row r="219" spans="1:20" ht="16" hidden="1">
      <c r="A219" s="80" t="s">
        <v>345</v>
      </c>
      <c r="B219" s="81" t="s">
        <v>66</v>
      </c>
      <c r="C219" s="18"/>
      <c r="D219" s="21">
        <v>56169.619999999995</v>
      </c>
      <c r="E219" s="21">
        <v>65903.95</v>
      </c>
      <c r="F219" s="21">
        <v>74853.34</v>
      </c>
      <c r="G219" s="21">
        <v>87330.69</v>
      </c>
      <c r="H219" s="21">
        <v>65841.570000000007</v>
      </c>
      <c r="I219" s="21">
        <v>28252.97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20"/>
      <c r="Q219" s="82">
        <f t="shared" si="6"/>
        <v>3.2461463608393711E-3</v>
      </c>
      <c r="R219" s="14">
        <v>530.36475500000006</v>
      </c>
      <c r="S219" s="15">
        <v>0.51150429399404573</v>
      </c>
      <c r="T219" s="16">
        <v>2.5323467039709927E-5</v>
      </c>
    </row>
    <row r="220" spans="1:20" ht="16" hidden="1">
      <c r="A220" s="80" t="s">
        <v>61</v>
      </c>
      <c r="B220" s="81" t="s">
        <v>62</v>
      </c>
      <c r="C220" s="18"/>
      <c r="D220" s="21">
        <v>17114.439999999999</v>
      </c>
      <c r="E220" s="21">
        <v>20317.639999999996</v>
      </c>
      <c r="F220" s="21">
        <v>28520.829999999998</v>
      </c>
      <c r="G220" s="21">
        <v>51724.03</v>
      </c>
      <c r="H220" s="21">
        <v>4927.2199999999993</v>
      </c>
      <c r="I220" s="21">
        <v>28130.42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20"/>
      <c r="Q220" s="82">
        <f t="shared" si="6"/>
        <v>3.2320658858832562E-3</v>
      </c>
      <c r="R220" s="14">
        <v>11081.429999999993</v>
      </c>
      <c r="S220" s="15">
        <v>0.49997405704112169</v>
      </c>
      <c r="T220" s="16">
        <v>5.371808138806423E-4</v>
      </c>
    </row>
    <row r="221" spans="1:20" ht="16" hidden="1">
      <c r="A221" s="80" t="s">
        <v>887</v>
      </c>
      <c r="B221" s="81" t="s">
        <v>62</v>
      </c>
      <c r="C221" s="18"/>
      <c r="D221" s="21">
        <v>26146.479999999989</v>
      </c>
      <c r="E221" s="21">
        <v>27349.849999999991</v>
      </c>
      <c r="F221" s="21">
        <v>27349.849999999991</v>
      </c>
      <c r="G221" s="21">
        <v>27349.849999999991</v>
      </c>
      <c r="H221" s="21">
        <v>27349.849999999991</v>
      </c>
      <c r="I221" s="21">
        <v>27349.849999999991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20"/>
      <c r="Q221" s="82">
        <f t="shared" si="6"/>
        <v>3.1423817052509046E-3</v>
      </c>
      <c r="R221" s="14">
        <v>0</v>
      </c>
      <c r="S221" s="15">
        <v>0</v>
      </c>
      <c r="T221" s="16">
        <v>-2.8029713809866204E-25</v>
      </c>
    </row>
    <row r="222" spans="1:20" ht="16" hidden="1">
      <c r="A222" s="80" t="s">
        <v>821</v>
      </c>
      <c r="B222" s="81" t="s">
        <v>85</v>
      </c>
      <c r="C222" s="18"/>
      <c r="D222" s="21">
        <v>922.79</v>
      </c>
      <c r="E222" s="21">
        <v>26489.5</v>
      </c>
      <c r="F222" s="21">
        <v>922.7900000000003</v>
      </c>
      <c r="G222" s="21">
        <v>922.79</v>
      </c>
      <c r="H222" s="21">
        <v>922.78</v>
      </c>
      <c r="I222" s="21">
        <v>26489.489999999998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20"/>
      <c r="Q222" s="82">
        <f t="shared" si="6"/>
        <v>3.0435299922093465E-3</v>
      </c>
      <c r="R222" s="14">
        <v>12874.839999999997</v>
      </c>
      <c r="S222" s="15">
        <v>0.11492669504922669</v>
      </c>
      <c r="T222" s="16">
        <v>2.0181602338009484E-3</v>
      </c>
    </row>
    <row r="223" spans="1:20" ht="16" hidden="1">
      <c r="A223" s="80" t="s">
        <v>580</v>
      </c>
      <c r="B223" s="81" t="s">
        <v>85</v>
      </c>
      <c r="C223" s="18"/>
      <c r="D223" s="21">
        <v>105761.65999999999</v>
      </c>
      <c r="E223" s="21">
        <v>81501.399999999994</v>
      </c>
      <c r="F223" s="21">
        <v>57113.849999999991</v>
      </c>
      <c r="G223" s="21">
        <v>22403.06</v>
      </c>
      <c r="H223" s="21">
        <v>21171.309999999998</v>
      </c>
      <c r="I223" s="21">
        <v>26108.6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20"/>
      <c r="Q223" s="82">
        <f t="shared" si="6"/>
        <v>2.999767347525262E-3</v>
      </c>
      <c r="R223" s="14">
        <v>0</v>
      </c>
      <c r="S223" s="15">
        <v>0</v>
      </c>
      <c r="T223" s="16">
        <v>0</v>
      </c>
    </row>
    <row r="224" spans="1:20" ht="16" hidden="1">
      <c r="A224" s="80" t="s">
        <v>409</v>
      </c>
      <c r="B224" s="81" t="s">
        <v>62</v>
      </c>
      <c r="C224" s="18"/>
      <c r="D224" s="21">
        <v>0</v>
      </c>
      <c r="E224" s="21">
        <v>0</v>
      </c>
      <c r="F224" s="21">
        <v>8000</v>
      </c>
      <c r="G224" s="21">
        <v>24000</v>
      </c>
      <c r="H224" s="21">
        <v>8640</v>
      </c>
      <c r="I224" s="21">
        <v>25920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</v>
      </c>
      <c r="P224" s="20"/>
      <c r="Q224" s="82">
        <f t="shared" si="6"/>
        <v>2.9780980078539178E-3</v>
      </c>
      <c r="R224" s="14">
        <v>0</v>
      </c>
      <c r="S224" s="15">
        <v>0</v>
      </c>
      <c r="T224" s="16">
        <v>1.1795361834070145E-8</v>
      </c>
    </row>
    <row r="225" spans="1:20" ht="16">
      <c r="A225" s="80" t="s">
        <v>625</v>
      </c>
      <c r="B225" s="81" t="s">
        <v>67</v>
      </c>
      <c r="C225" s="18"/>
      <c r="D225" s="21">
        <v>28221.05</v>
      </c>
      <c r="E225" s="21">
        <v>25768.35</v>
      </c>
      <c r="F225" s="21">
        <v>25768.35</v>
      </c>
      <c r="G225" s="21">
        <v>25768.35</v>
      </c>
      <c r="H225" s="21">
        <v>25768.35</v>
      </c>
      <c r="I225" s="21">
        <v>25768.35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0</v>
      </c>
      <c r="P225" s="20"/>
      <c r="Q225" s="82">
        <f t="shared" si="6"/>
        <v>2.9606740663843554E-3</v>
      </c>
      <c r="R225" s="14">
        <v>6.4184768611141862E-16</v>
      </c>
      <c r="S225" s="15">
        <v>6.418476861115326E-14</v>
      </c>
      <c r="T225" s="16">
        <v>1.6158029909683297E-10</v>
      </c>
    </row>
    <row r="226" spans="1:20" ht="16">
      <c r="A226" s="80" t="s">
        <v>1216</v>
      </c>
      <c r="B226" s="81" t="s">
        <v>67</v>
      </c>
      <c r="C226" s="18"/>
      <c r="D226" s="21">
        <v>25252.699999999993</v>
      </c>
      <c r="E226" s="21">
        <v>78468.36</v>
      </c>
      <c r="F226" s="21">
        <v>25252.699999999993</v>
      </c>
      <c r="G226" s="21">
        <v>78468.36</v>
      </c>
      <c r="H226" s="21">
        <v>78468.36</v>
      </c>
      <c r="I226" s="21">
        <v>25252.699999999993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</v>
      </c>
      <c r="P226" s="20"/>
      <c r="Q226" s="82">
        <f t="shared" si="6"/>
        <v>2.9014280695575851E-3</v>
      </c>
      <c r="R226" s="14">
        <v>0</v>
      </c>
      <c r="S226" s="15">
        <v>0</v>
      </c>
      <c r="T226" s="16">
        <v>3.9680615165696258E-4</v>
      </c>
    </row>
    <row r="227" spans="1:20" ht="16">
      <c r="A227" s="80" t="s">
        <v>139</v>
      </c>
      <c r="B227" s="81" t="s">
        <v>67</v>
      </c>
      <c r="C227" s="18"/>
      <c r="D227" s="21">
        <v>29191.230000000003</v>
      </c>
      <c r="E227" s="21">
        <v>58381.630000000005</v>
      </c>
      <c r="F227" s="21">
        <v>29191.230000000003</v>
      </c>
      <c r="G227" s="21">
        <v>29191.230000000003</v>
      </c>
      <c r="H227" s="21">
        <v>26381.620000000003</v>
      </c>
      <c r="I227" s="21">
        <v>24881.620000000003</v>
      </c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>
        <v>0</v>
      </c>
      <c r="P227" s="20"/>
      <c r="Q227" s="82">
        <f t="shared" si="6"/>
        <v>2.8587925522445294E-3</v>
      </c>
      <c r="R227" s="14">
        <v>1.0000000000001563E-2</v>
      </c>
      <c r="S227" s="15">
        <v>3.3333333333338542E-4</v>
      </c>
      <c r="T227" s="16">
        <v>4.8490247758965076E-7</v>
      </c>
    </row>
    <row r="228" spans="1:20" ht="16" hidden="1">
      <c r="A228" s="80" t="s">
        <v>251</v>
      </c>
      <c r="B228" s="81" t="s">
        <v>62</v>
      </c>
      <c r="C228" s="18"/>
      <c r="D228" s="21">
        <v>24557.829999999987</v>
      </c>
      <c r="E228" s="21">
        <v>24557.829999999987</v>
      </c>
      <c r="F228" s="21">
        <v>24557.829999999987</v>
      </c>
      <c r="G228" s="21">
        <v>24557.829999999987</v>
      </c>
      <c r="H228" s="21">
        <v>24557.829999999987</v>
      </c>
      <c r="I228" s="21">
        <v>24557.829999999987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20"/>
      <c r="Q228" s="82">
        <f t="shared" si="6"/>
        <v>2.8215904552552134E-3</v>
      </c>
      <c r="R228" s="14">
        <v>13850.570000000025</v>
      </c>
      <c r="S228" s="15">
        <v>0.50652772165161575</v>
      </c>
      <c r="T228" s="16">
        <v>6.6562551788110452E-4</v>
      </c>
    </row>
    <row r="229" spans="1:20" ht="16" hidden="1">
      <c r="A229" s="80" t="s">
        <v>734</v>
      </c>
      <c r="B229" s="81" t="s">
        <v>62</v>
      </c>
      <c r="C229" s="18"/>
      <c r="D229" s="21">
        <v>23638.17</v>
      </c>
      <c r="E229" s="21">
        <v>23638.17</v>
      </c>
      <c r="F229" s="21">
        <v>23638.17</v>
      </c>
      <c r="G229" s="21">
        <v>23638.17</v>
      </c>
      <c r="H229" s="21">
        <v>23638.17</v>
      </c>
      <c r="I229" s="21">
        <v>23638.17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20"/>
      <c r="Q229" s="82">
        <f t="shared" si="6"/>
        <v>2.7159254238546386E-3</v>
      </c>
      <c r="R229" s="14">
        <v>0</v>
      </c>
      <c r="S229" s="15">
        <v>0</v>
      </c>
      <c r="T229" s="16">
        <v>0</v>
      </c>
    </row>
    <row r="230" spans="1:20" ht="16" hidden="1">
      <c r="A230" s="80" t="s">
        <v>1106</v>
      </c>
      <c r="B230" s="81" t="s">
        <v>145</v>
      </c>
      <c r="C230" s="18"/>
      <c r="D230" s="21">
        <v>0</v>
      </c>
      <c r="E230" s="21">
        <v>0</v>
      </c>
      <c r="F230" s="21">
        <v>0</v>
      </c>
      <c r="G230" s="21">
        <v>0</v>
      </c>
      <c r="H230" s="21">
        <v>19422.29</v>
      </c>
      <c r="I230" s="21">
        <v>22987.719999999998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20"/>
      <c r="Q230" s="82">
        <f t="shared" si="6"/>
        <v>2.6411914790549248E-3</v>
      </c>
      <c r="R230" s="14">
        <v>0</v>
      </c>
      <c r="S230" s="15">
        <v>0</v>
      </c>
      <c r="T230" s="16">
        <v>0</v>
      </c>
    </row>
    <row r="231" spans="1:20" ht="16" hidden="1">
      <c r="A231" s="80" t="s">
        <v>640</v>
      </c>
      <c r="B231" s="81" t="s">
        <v>62</v>
      </c>
      <c r="C231" s="18"/>
      <c r="D231" s="21">
        <v>23051.09</v>
      </c>
      <c r="E231" s="21">
        <v>23051.09</v>
      </c>
      <c r="F231" s="21">
        <v>23051.089999999993</v>
      </c>
      <c r="G231" s="21">
        <v>22513.23</v>
      </c>
      <c r="H231" s="21">
        <v>22513.219999999998</v>
      </c>
      <c r="I231" s="21">
        <v>22513.219999999998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20"/>
      <c r="Q231" s="82">
        <f t="shared" si="6"/>
        <v>2.5866734426071361E-3</v>
      </c>
      <c r="R231" s="14">
        <v>0</v>
      </c>
      <c r="S231" s="15">
        <v>0</v>
      </c>
      <c r="T231" s="16">
        <v>0</v>
      </c>
    </row>
    <row r="232" spans="1:20" ht="16" hidden="1">
      <c r="A232" s="80" t="s">
        <v>1144</v>
      </c>
      <c r="B232" s="81" t="s">
        <v>85</v>
      </c>
      <c r="C232" s="18"/>
      <c r="D232" s="21">
        <v>22487.829999999984</v>
      </c>
      <c r="E232" s="21">
        <v>22487.829999999984</v>
      </c>
      <c r="F232" s="21">
        <v>22487.829999999984</v>
      </c>
      <c r="G232" s="21">
        <v>22487.829999999984</v>
      </c>
      <c r="H232" s="21">
        <v>22487.829999999984</v>
      </c>
      <c r="I232" s="21">
        <v>22487.829999999984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20"/>
      <c r="Q232" s="82">
        <f t="shared" si="6"/>
        <v>2.5837562393502128E-3</v>
      </c>
      <c r="R232" s="14">
        <v>0</v>
      </c>
      <c r="S232" s="15">
        <v>0</v>
      </c>
      <c r="T232" s="16">
        <v>0</v>
      </c>
    </row>
    <row r="233" spans="1:20" ht="16" hidden="1">
      <c r="A233" s="80" t="s">
        <v>1158</v>
      </c>
      <c r="B233" s="81" t="s">
        <v>85</v>
      </c>
      <c r="C233" s="18"/>
      <c r="D233" s="21">
        <v>40140.22</v>
      </c>
      <c r="E233" s="21">
        <v>40140.22</v>
      </c>
      <c r="F233" s="21">
        <v>40140.220000000016</v>
      </c>
      <c r="G233" s="21">
        <v>40140.22</v>
      </c>
      <c r="H233" s="21">
        <v>32112.190000000002</v>
      </c>
      <c r="I233" s="21">
        <v>21408.16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20"/>
      <c r="Q233" s="82">
        <f t="shared" si="6"/>
        <v>2.4597067379559384E-3</v>
      </c>
      <c r="R233" s="14">
        <v>0</v>
      </c>
      <c r="S233" s="15">
        <v>0</v>
      </c>
      <c r="T233" s="16">
        <v>0</v>
      </c>
    </row>
    <row r="234" spans="1:20" ht="16" hidden="1">
      <c r="A234" s="80" t="s">
        <v>983</v>
      </c>
      <c r="B234" s="81" t="s">
        <v>145</v>
      </c>
      <c r="C234" s="18"/>
      <c r="D234" s="21">
        <v>9280</v>
      </c>
      <c r="E234" s="21">
        <v>18560</v>
      </c>
      <c r="F234" s="21">
        <v>9280</v>
      </c>
      <c r="G234" s="21">
        <v>2694.2</v>
      </c>
      <c r="H234" s="21">
        <v>11974.2</v>
      </c>
      <c r="I234" s="21">
        <v>21254.2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0</v>
      </c>
      <c r="P234" s="20"/>
      <c r="Q234" s="82">
        <f t="shared" si="6"/>
        <v>2.4420173872889174E-3</v>
      </c>
      <c r="R234" s="14">
        <v>0</v>
      </c>
      <c r="S234" s="15">
        <v>0</v>
      </c>
      <c r="T234" s="16">
        <v>0</v>
      </c>
    </row>
    <row r="235" spans="1:20" ht="16" hidden="1">
      <c r="A235" s="80" t="s">
        <v>786</v>
      </c>
      <c r="B235" s="81" t="s">
        <v>62</v>
      </c>
      <c r="C235" s="18"/>
      <c r="D235" s="21">
        <v>40809.57</v>
      </c>
      <c r="E235" s="21">
        <v>15337.189999999999</v>
      </c>
      <c r="F235" s="21">
        <v>16814.830000000002</v>
      </c>
      <c r="G235" s="21">
        <v>18292.469999999994</v>
      </c>
      <c r="H235" s="21">
        <v>18270.109999999993</v>
      </c>
      <c r="I235" s="21">
        <v>21247.749999999993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</v>
      </c>
      <c r="P235" s="20"/>
      <c r="Q235" s="82">
        <f t="shared" si="6"/>
        <v>2.4412763096596474E-3</v>
      </c>
      <c r="R235" s="14">
        <v>0</v>
      </c>
      <c r="S235" s="15">
        <v>0</v>
      </c>
      <c r="T235" s="16">
        <v>0</v>
      </c>
    </row>
    <row r="236" spans="1:20" ht="16" hidden="1">
      <c r="A236" s="80" t="s">
        <v>1102</v>
      </c>
      <c r="B236" s="81" t="s">
        <v>85</v>
      </c>
      <c r="C236" s="18"/>
      <c r="D236" s="21">
        <v>20787.031156000012</v>
      </c>
      <c r="E236" s="21">
        <v>20720.118662000015</v>
      </c>
      <c r="F236" s="21">
        <v>21801.770971000005</v>
      </c>
      <c r="G236" s="21">
        <v>21019.268692000012</v>
      </c>
      <c r="H236" s="21">
        <v>20990.820393000016</v>
      </c>
      <c r="I236" s="21">
        <v>21100.313410000017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</v>
      </c>
      <c r="P236" s="20"/>
      <c r="Q236" s="82">
        <f t="shared" si="6"/>
        <v>2.4243364711193809E-3</v>
      </c>
      <c r="R236" s="14">
        <v>0</v>
      </c>
      <c r="S236" s="15">
        <v>0</v>
      </c>
      <c r="T236" s="16">
        <v>0</v>
      </c>
    </row>
    <row r="237" spans="1:20" ht="16" hidden="1">
      <c r="A237" s="80" t="s">
        <v>1059</v>
      </c>
      <c r="B237" s="81" t="s">
        <v>85</v>
      </c>
      <c r="C237" s="18"/>
      <c r="D237" s="21">
        <v>28006.560000000001</v>
      </c>
      <c r="E237" s="21">
        <v>87817.64</v>
      </c>
      <c r="F237" s="21">
        <v>129439.39</v>
      </c>
      <c r="G237" s="21">
        <v>20915.89</v>
      </c>
      <c r="H237" s="21">
        <v>20915.89</v>
      </c>
      <c r="I237" s="21">
        <v>20915.89</v>
      </c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20"/>
      <c r="Q237" s="82">
        <f t="shared" si="6"/>
        <v>2.403147003915574E-3</v>
      </c>
      <c r="R237" s="14">
        <v>0</v>
      </c>
      <c r="S237" s="15">
        <v>0</v>
      </c>
      <c r="T237" s="16">
        <v>0</v>
      </c>
    </row>
    <row r="238" spans="1:20" ht="16" hidden="1">
      <c r="A238" s="80" t="s">
        <v>325</v>
      </c>
      <c r="B238" s="81" t="s">
        <v>76</v>
      </c>
      <c r="C238" s="18"/>
      <c r="D238" s="21">
        <v>18560</v>
      </c>
      <c r="E238" s="21">
        <v>18560</v>
      </c>
      <c r="F238" s="21">
        <v>0</v>
      </c>
      <c r="G238" s="21">
        <v>19395.2</v>
      </c>
      <c r="H238" s="21">
        <v>19395.2</v>
      </c>
      <c r="I238" s="21">
        <v>19395.2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</v>
      </c>
      <c r="P238" s="20"/>
      <c r="Q238" s="82">
        <f t="shared" si="6"/>
        <v>2.2284261760003206E-3</v>
      </c>
      <c r="R238" s="14">
        <v>0</v>
      </c>
      <c r="S238" s="15">
        <v>0</v>
      </c>
      <c r="T238" s="16">
        <v>2.5788215735857469E-7</v>
      </c>
    </row>
    <row r="239" spans="1:20" ht="16" hidden="1">
      <c r="A239" s="80" t="s">
        <v>120</v>
      </c>
      <c r="B239" s="81" t="s">
        <v>62</v>
      </c>
      <c r="C239" s="18"/>
      <c r="D239" s="21">
        <v>1.1102230246251565E-16</v>
      </c>
      <c r="E239" s="21">
        <v>1.1102230246251565E-16</v>
      </c>
      <c r="F239" s="21">
        <v>0</v>
      </c>
      <c r="G239" s="21">
        <v>12399.779999999999</v>
      </c>
      <c r="H239" s="21">
        <v>15811.57</v>
      </c>
      <c r="I239" s="21">
        <v>19227.36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20"/>
      <c r="Q239" s="82">
        <f t="shared" si="6"/>
        <v>2.2091420722334144E-3</v>
      </c>
      <c r="R239" s="14">
        <v>0</v>
      </c>
      <c r="S239" s="15">
        <v>0</v>
      </c>
      <c r="T239" s="16">
        <v>0</v>
      </c>
    </row>
    <row r="240" spans="1:20" ht="16">
      <c r="A240" s="80" t="s">
        <v>844</v>
      </c>
      <c r="B240" s="81" t="s">
        <v>67</v>
      </c>
      <c r="C240" s="18"/>
      <c r="D240" s="21">
        <v>19881.59</v>
      </c>
      <c r="E240" s="21">
        <v>21917.58</v>
      </c>
      <c r="F240" s="21">
        <v>19881.600000000002</v>
      </c>
      <c r="G240" s="21">
        <v>19881.599999999999</v>
      </c>
      <c r="H240" s="21">
        <v>18863.609999999997</v>
      </c>
      <c r="I240" s="21">
        <v>18863.609999999997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20"/>
      <c r="Q240" s="82">
        <f t="shared" si="6"/>
        <v>2.1673487408153252E-3</v>
      </c>
      <c r="R240" s="14">
        <v>0</v>
      </c>
      <c r="S240" s="15">
        <v>0</v>
      </c>
      <c r="T240" s="16">
        <v>1.9389635891622155E-9</v>
      </c>
    </row>
    <row r="241" spans="1:20" ht="16" hidden="1">
      <c r="A241" s="80" t="s">
        <v>365</v>
      </c>
      <c r="B241" s="81" t="s">
        <v>366</v>
      </c>
      <c r="C241" s="18"/>
      <c r="D241" s="21">
        <v>0</v>
      </c>
      <c r="E241" s="21">
        <v>759197.9700000002</v>
      </c>
      <c r="F241" s="21">
        <v>156219.40000000002</v>
      </c>
      <c r="G241" s="21">
        <v>155040.56000000003</v>
      </c>
      <c r="H241" s="21">
        <v>12065.550000000005</v>
      </c>
      <c r="I241" s="21">
        <v>18097.559999999987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0</v>
      </c>
      <c r="P241" s="20"/>
      <c r="Q241" s="82">
        <f t="shared" si="6"/>
        <v>2.0793328465670024E-3</v>
      </c>
      <c r="R241" s="14">
        <v>0</v>
      </c>
      <c r="S241" s="15">
        <v>0</v>
      </c>
      <c r="T241" s="16">
        <v>0</v>
      </c>
    </row>
    <row r="242" spans="1:20" ht="16" hidden="1">
      <c r="A242" s="80" t="s">
        <v>377</v>
      </c>
      <c r="B242" s="81" t="s">
        <v>78</v>
      </c>
      <c r="C242" s="18"/>
      <c r="D242" s="21">
        <v>0</v>
      </c>
      <c r="E242" s="21">
        <v>0</v>
      </c>
      <c r="F242" s="21">
        <v>0</v>
      </c>
      <c r="G242" s="21">
        <v>0</v>
      </c>
      <c r="H242" s="21">
        <v>18000</v>
      </c>
      <c r="I242" s="21">
        <v>18000</v>
      </c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>
        <v>0</v>
      </c>
      <c r="P242" s="20"/>
      <c r="Q242" s="82">
        <f t="shared" si="6"/>
        <v>2.0681236165652206E-3</v>
      </c>
      <c r="R242" s="14">
        <v>0</v>
      </c>
      <c r="S242" s="15">
        <v>0</v>
      </c>
      <c r="T242" s="16">
        <v>0</v>
      </c>
    </row>
    <row r="243" spans="1:20" ht="16" hidden="1">
      <c r="A243" s="80" t="s">
        <v>585</v>
      </c>
      <c r="B243" s="81" t="s">
        <v>78</v>
      </c>
      <c r="C243" s="18"/>
      <c r="D243" s="21">
        <v>-0.01</v>
      </c>
      <c r="E243" s="21">
        <v>-0.01</v>
      </c>
      <c r="F243" s="21">
        <v>-0.01</v>
      </c>
      <c r="G243" s="21">
        <v>7799.99</v>
      </c>
      <c r="H243" s="21">
        <v>-0.01</v>
      </c>
      <c r="I243" s="21">
        <v>17999.990000000002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</v>
      </c>
      <c r="P243" s="20"/>
      <c r="Q243" s="82">
        <f t="shared" si="6"/>
        <v>2.0681224676076561E-3</v>
      </c>
      <c r="R243" s="14">
        <v>0</v>
      </c>
      <c r="S243" s="15">
        <v>0</v>
      </c>
      <c r="T243" s="16">
        <v>7.9537676018006309E-4</v>
      </c>
    </row>
    <row r="244" spans="1:20" ht="16" hidden="1">
      <c r="A244" s="80" t="s">
        <v>365</v>
      </c>
      <c r="B244" s="81" t="s">
        <v>78</v>
      </c>
      <c r="C244" s="18"/>
      <c r="D244" s="21">
        <v>0</v>
      </c>
      <c r="E244" s="21">
        <v>10446.069999999996</v>
      </c>
      <c r="F244" s="21">
        <v>17545.27000000003</v>
      </c>
      <c r="G244" s="21">
        <v>17545.27000000003</v>
      </c>
      <c r="H244" s="21">
        <v>17545.27000000003</v>
      </c>
      <c r="I244" s="21">
        <v>17545.27000000003</v>
      </c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>
        <v>0</v>
      </c>
      <c r="P244" s="20"/>
      <c r="Q244" s="82">
        <f t="shared" si="6"/>
        <v>2.0158770692229626E-3</v>
      </c>
      <c r="R244" s="14">
        <v>0</v>
      </c>
      <c r="S244" s="15">
        <v>0</v>
      </c>
      <c r="T244" s="16">
        <v>0</v>
      </c>
    </row>
    <row r="245" spans="1:20" ht="16" hidden="1">
      <c r="A245" s="80" t="s">
        <v>375</v>
      </c>
      <c r="B245" s="81" t="s">
        <v>62</v>
      </c>
      <c r="C245" s="18"/>
      <c r="D245" s="21">
        <v>17391.05</v>
      </c>
      <c r="E245" s="21">
        <v>17391.05</v>
      </c>
      <c r="F245" s="21">
        <v>17391.05</v>
      </c>
      <c r="G245" s="21">
        <v>17391.05</v>
      </c>
      <c r="H245" s="21">
        <v>17391.05</v>
      </c>
      <c r="I245" s="21">
        <v>17391.05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</v>
      </c>
      <c r="P245" s="20"/>
      <c r="Q245" s="82">
        <f t="shared" si="6"/>
        <v>1.9981578456592544E-3</v>
      </c>
      <c r="R245" s="14">
        <v>0</v>
      </c>
      <c r="S245" s="15">
        <v>0</v>
      </c>
      <c r="T245" s="16">
        <v>1.5950560805644773E-3</v>
      </c>
    </row>
    <row r="246" spans="1:20" ht="16" hidden="1">
      <c r="A246" s="80" t="s">
        <v>276</v>
      </c>
      <c r="B246" s="81" t="s">
        <v>78</v>
      </c>
      <c r="C246" s="18"/>
      <c r="D246" s="21">
        <v>0</v>
      </c>
      <c r="E246" s="21">
        <v>0</v>
      </c>
      <c r="F246" s="21">
        <v>0</v>
      </c>
      <c r="G246" s="21">
        <v>0</v>
      </c>
      <c r="H246" s="21">
        <v>0</v>
      </c>
      <c r="I246" s="21">
        <v>17386.189999999999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20"/>
      <c r="Q246" s="82">
        <f t="shared" si="6"/>
        <v>1.9975994522827816E-3</v>
      </c>
      <c r="R246" s="14">
        <v>0</v>
      </c>
      <c r="S246" s="15">
        <v>0</v>
      </c>
      <c r="T246" s="16">
        <v>0</v>
      </c>
    </row>
    <row r="247" spans="1:20" ht="16">
      <c r="A247" s="80" t="s">
        <v>470</v>
      </c>
      <c r="B247" s="81" t="s">
        <v>67</v>
      </c>
      <c r="C247" s="18"/>
      <c r="D247" s="21">
        <v>17007.21</v>
      </c>
      <c r="E247" s="21">
        <v>17007.21</v>
      </c>
      <c r="F247" s="21">
        <v>17007.21</v>
      </c>
      <c r="G247" s="21">
        <v>17007.21</v>
      </c>
      <c r="H247" s="21">
        <v>17007.22</v>
      </c>
      <c r="I247" s="21">
        <v>17007.22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</v>
      </c>
      <c r="P247" s="20"/>
      <c r="Q247" s="82">
        <f t="shared" si="6"/>
        <v>1.9540574074511309E-3</v>
      </c>
      <c r="R247" s="14">
        <v>0</v>
      </c>
      <c r="S247" s="15">
        <v>0</v>
      </c>
      <c r="T247" s="16">
        <v>1.6158029909685145E-10</v>
      </c>
    </row>
    <row r="248" spans="1:20" ht="16" hidden="1">
      <c r="A248" s="80" t="s">
        <v>754</v>
      </c>
      <c r="B248" s="81" t="s">
        <v>78</v>
      </c>
      <c r="C248" s="18"/>
      <c r="D248" s="21">
        <v>-1.3877787807814457E-17</v>
      </c>
      <c r="E248" s="21">
        <v>12026.379999999997</v>
      </c>
      <c r="F248" s="21">
        <v>-1.3877787807814457E-17</v>
      </c>
      <c r="G248" s="21">
        <v>-3.1225022567582528E-17</v>
      </c>
      <c r="H248" s="21">
        <v>-3.1225022567582528E-17</v>
      </c>
      <c r="I248" s="21">
        <v>16451.930000000008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20"/>
      <c r="Q248" s="82">
        <f t="shared" si="6"/>
        <v>1.8902569428376592E-3</v>
      </c>
      <c r="R248" s="14">
        <v>0</v>
      </c>
      <c r="S248" s="15">
        <v>0</v>
      </c>
      <c r="T248" s="16">
        <v>0</v>
      </c>
    </row>
    <row r="249" spans="1:20" ht="16" hidden="1">
      <c r="A249" s="80" t="s">
        <v>608</v>
      </c>
      <c r="B249" s="81" t="s">
        <v>78</v>
      </c>
      <c r="C249" s="18"/>
      <c r="D249" s="21">
        <v>78057.229999999967</v>
      </c>
      <c r="E249" s="21">
        <v>78057.229999999967</v>
      </c>
      <c r="F249" s="21">
        <v>78057.229999999967</v>
      </c>
      <c r="G249" s="21">
        <v>11151.110000000002</v>
      </c>
      <c r="H249" s="21">
        <v>49280.480000000018</v>
      </c>
      <c r="I249" s="21">
        <v>16410.329999999984</v>
      </c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20"/>
      <c r="Q249" s="82">
        <f t="shared" si="6"/>
        <v>1.8854772793682611E-3</v>
      </c>
      <c r="R249" s="14">
        <v>0</v>
      </c>
      <c r="S249" s="15">
        <v>0</v>
      </c>
      <c r="T249" s="16">
        <v>0</v>
      </c>
    </row>
    <row r="250" spans="1:20" ht="16" hidden="1">
      <c r="A250" s="80" t="s">
        <v>314</v>
      </c>
      <c r="B250" s="81" t="s">
        <v>85</v>
      </c>
      <c r="C250" s="18"/>
      <c r="D250" s="21">
        <v>384.93000000000029</v>
      </c>
      <c r="E250" s="21">
        <v>4197.7000000000007</v>
      </c>
      <c r="F250" s="21">
        <v>0.5</v>
      </c>
      <c r="G250" s="21">
        <v>8025.33</v>
      </c>
      <c r="H250" s="21">
        <v>65992.69</v>
      </c>
      <c r="I250" s="21">
        <v>16037.35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20"/>
      <c r="Q250" s="82">
        <f t="shared" si="6"/>
        <v>1.8426234601179024E-3</v>
      </c>
      <c r="R250" s="14">
        <v>-18161.279999999995</v>
      </c>
      <c r="S250" s="15">
        <v>-0.99996641318717372</v>
      </c>
      <c r="T250" s="16">
        <v>9.8563982449079285E-9</v>
      </c>
    </row>
    <row r="251" spans="1:20" ht="16" hidden="1">
      <c r="A251" s="80" t="s">
        <v>153</v>
      </c>
      <c r="B251" s="81" t="s">
        <v>78</v>
      </c>
      <c r="C251" s="18"/>
      <c r="D251" s="21">
        <v>188818.18000000002</v>
      </c>
      <c r="E251" s="21">
        <v>105902.17000000001</v>
      </c>
      <c r="F251" s="21">
        <v>105902.17000000001</v>
      </c>
      <c r="G251" s="21">
        <v>75902.16</v>
      </c>
      <c r="H251" s="21">
        <v>35902.160000000003</v>
      </c>
      <c r="I251" s="21">
        <v>15353.39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20"/>
      <c r="Q251" s="82">
        <f t="shared" si="6"/>
        <v>1.7640393585186829E-3</v>
      </c>
      <c r="R251" s="14">
        <v>0</v>
      </c>
      <c r="S251" s="15">
        <v>0</v>
      </c>
      <c r="T251" s="16">
        <v>2.4237044864527693E-9</v>
      </c>
    </row>
    <row r="252" spans="1:20" ht="16">
      <c r="A252" s="80" t="s">
        <v>633</v>
      </c>
      <c r="B252" s="81" t="s">
        <v>67</v>
      </c>
      <c r="C252" s="18"/>
      <c r="D252" s="21">
        <v>-0.91</v>
      </c>
      <c r="E252" s="21">
        <v>-0.91</v>
      </c>
      <c r="F252" s="21">
        <v>-0.90999999999999981</v>
      </c>
      <c r="G252" s="21">
        <v>15242.99</v>
      </c>
      <c r="H252" s="21">
        <v>10242.99</v>
      </c>
      <c r="I252" s="21">
        <v>15242.990000000002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20"/>
      <c r="Q252" s="82">
        <f t="shared" si="6"/>
        <v>1.7513548670037497E-3</v>
      </c>
      <c r="R252" s="14">
        <v>-2266.8899999999994</v>
      </c>
      <c r="S252" s="15">
        <v>-0.31340460742336268</v>
      </c>
      <c r="T252" s="16">
        <v>8.0244331298076523E-5</v>
      </c>
    </row>
    <row r="253" spans="1:20" ht="16" hidden="1">
      <c r="A253" s="80" t="s">
        <v>1062</v>
      </c>
      <c r="B253" s="81" t="s">
        <v>60</v>
      </c>
      <c r="C253" s="18"/>
      <c r="D253" s="21">
        <v>6386.12</v>
      </c>
      <c r="E253" s="21">
        <v>8358.31</v>
      </c>
      <c r="F253" s="21">
        <v>10142.67</v>
      </c>
      <c r="G253" s="21">
        <v>12208.77</v>
      </c>
      <c r="H253" s="21">
        <v>13523.560000000001</v>
      </c>
      <c r="I253" s="21">
        <v>15120.090000000002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20"/>
      <c r="Q253" s="82">
        <f t="shared" si="6"/>
        <v>1.7372341785328684E-3</v>
      </c>
      <c r="R253" s="14">
        <v>0</v>
      </c>
      <c r="S253" s="15">
        <v>0</v>
      </c>
      <c r="T253" s="16">
        <v>0</v>
      </c>
    </row>
    <row r="254" spans="1:20" ht="16" hidden="1">
      <c r="A254" s="80" t="s">
        <v>865</v>
      </c>
      <c r="B254" s="81" t="s">
        <v>76</v>
      </c>
      <c r="C254" s="18"/>
      <c r="D254" s="21">
        <v>69153.78</v>
      </c>
      <c r="E254" s="21">
        <v>69153.780000000013</v>
      </c>
      <c r="F254" s="21">
        <v>91318.720000000016</v>
      </c>
      <c r="G254" s="21">
        <v>115091.63000000002</v>
      </c>
      <c r="H254" s="21">
        <v>15091.64</v>
      </c>
      <c r="I254" s="21">
        <v>15091.64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20"/>
      <c r="Q254" s="82">
        <f t="shared" si="6"/>
        <v>1.7339653942611303E-3</v>
      </c>
      <c r="R254" s="14">
        <v>0</v>
      </c>
      <c r="S254" s="15">
        <v>0</v>
      </c>
      <c r="T254" s="16">
        <v>1.0505191619871516E-4</v>
      </c>
    </row>
    <row r="255" spans="1:20" ht="16" hidden="1">
      <c r="A255" s="80" t="s">
        <v>652</v>
      </c>
      <c r="B255" s="81" t="s">
        <v>62</v>
      </c>
      <c r="C255" s="18"/>
      <c r="D255" s="21">
        <v>16689.559999999998</v>
      </c>
      <c r="E255" s="21">
        <v>18646.46</v>
      </c>
      <c r="F255" s="21">
        <v>20603.36</v>
      </c>
      <c r="G255" s="21">
        <v>22560.260000000002</v>
      </c>
      <c r="H255" s="21">
        <v>14732.66</v>
      </c>
      <c r="I255" s="21">
        <v>14732.67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</v>
      </c>
      <c r="P255" s="20"/>
      <c r="Q255" s="82">
        <f t="shared" si="6"/>
        <v>1.6927212645589959E-3</v>
      </c>
      <c r="R255" s="14">
        <v>17386.189999999999</v>
      </c>
      <c r="S255" s="15">
        <v>0</v>
      </c>
      <c r="T255" s="16">
        <v>2.8092657803546848E-4</v>
      </c>
    </row>
    <row r="256" spans="1:20" ht="16" hidden="1">
      <c r="A256" s="80" t="s">
        <v>651</v>
      </c>
      <c r="B256" s="81" t="s">
        <v>85</v>
      </c>
      <c r="C256" s="18"/>
      <c r="D256" s="21">
        <v>0</v>
      </c>
      <c r="E256" s="21">
        <v>0</v>
      </c>
      <c r="F256" s="21">
        <v>0</v>
      </c>
      <c r="G256" s="21">
        <v>7254.55</v>
      </c>
      <c r="H256" s="21">
        <v>15320.58</v>
      </c>
      <c r="I256" s="21">
        <v>14634.21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</v>
      </c>
      <c r="P256" s="20"/>
      <c r="Q256" s="82">
        <f t="shared" si="6"/>
        <v>1.6814086283763843E-3</v>
      </c>
      <c r="R256" s="14">
        <v>0</v>
      </c>
      <c r="S256" s="15">
        <v>0</v>
      </c>
      <c r="T256" s="16">
        <v>1.3653519115654022E-4</v>
      </c>
    </row>
    <row r="257" spans="1:20" ht="16" hidden="1">
      <c r="A257" s="80" t="s">
        <v>935</v>
      </c>
      <c r="B257" s="81" t="s">
        <v>85</v>
      </c>
      <c r="C257" s="18"/>
      <c r="D257" s="21">
        <v>14409.950000000004</v>
      </c>
      <c r="E257" s="21">
        <v>14409.950000000004</v>
      </c>
      <c r="F257" s="21">
        <v>14409.950000000006</v>
      </c>
      <c r="G257" s="21">
        <v>14409.950000000004</v>
      </c>
      <c r="H257" s="21">
        <v>14409.950000000004</v>
      </c>
      <c r="I257" s="21">
        <v>14409.950000000004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20"/>
      <c r="Q257" s="82">
        <f t="shared" si="6"/>
        <v>1.6556421060291116E-3</v>
      </c>
      <c r="R257" s="14">
        <v>0</v>
      </c>
      <c r="S257" s="15">
        <v>0</v>
      </c>
      <c r="T257" s="16">
        <v>1.6531925205059087E-22</v>
      </c>
    </row>
    <row r="258" spans="1:20" ht="16">
      <c r="A258" s="80" t="s">
        <v>149</v>
      </c>
      <c r="B258" s="81" t="s">
        <v>67</v>
      </c>
      <c r="C258" s="18"/>
      <c r="D258" s="21">
        <v>3.9999999999999966E-2</v>
      </c>
      <c r="E258" s="21">
        <v>10899.94</v>
      </c>
      <c r="F258" s="21">
        <v>10899.94</v>
      </c>
      <c r="G258" s="21">
        <v>38890.840000000004</v>
      </c>
      <c r="H258" s="21">
        <v>10899.93</v>
      </c>
      <c r="I258" s="21">
        <v>14407.23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</v>
      </c>
      <c r="P258" s="20"/>
      <c r="Q258" s="82">
        <f t="shared" si="6"/>
        <v>1.6553295895714967E-3</v>
      </c>
      <c r="R258" s="14">
        <v>0</v>
      </c>
      <c r="S258" s="15">
        <v>0</v>
      </c>
      <c r="T258" s="16">
        <v>3.7163468792275817E-9</v>
      </c>
    </row>
    <row r="259" spans="1:20" ht="16">
      <c r="A259" s="80" t="s">
        <v>146</v>
      </c>
      <c r="B259" s="81" t="s">
        <v>67</v>
      </c>
      <c r="C259" s="18"/>
      <c r="D259" s="21">
        <v>14375.69</v>
      </c>
      <c r="E259" s="21">
        <v>14375.79</v>
      </c>
      <c r="F259" s="21">
        <v>14375.89</v>
      </c>
      <c r="G259" s="21">
        <v>14375.990000000002</v>
      </c>
      <c r="H259" s="21">
        <v>14376.090000000002</v>
      </c>
      <c r="I259" s="21">
        <v>14376.090000000002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</v>
      </c>
      <c r="P259" s="20"/>
      <c r="Q259" s="82">
        <f t="shared" si="6"/>
        <v>1.6517517357148392E-3</v>
      </c>
      <c r="R259" s="14">
        <v>-241662.93999999992</v>
      </c>
      <c r="S259" s="15">
        <v>-0.96746644414328409</v>
      </c>
      <c r="T259" s="16">
        <v>1.3130887638225259E-4</v>
      </c>
    </row>
    <row r="260" spans="1:20" ht="16" hidden="1">
      <c r="A260" s="80" t="s">
        <v>201</v>
      </c>
      <c r="B260" s="81" t="s">
        <v>60</v>
      </c>
      <c r="C260" s="18"/>
      <c r="D260" s="21">
        <v>310468.06000000029</v>
      </c>
      <c r="E260" s="21">
        <v>62694.860000000073</v>
      </c>
      <c r="F260" s="21">
        <v>114356.15999999984</v>
      </c>
      <c r="G260" s="21">
        <v>166017.46000000031</v>
      </c>
      <c r="H260" s="21">
        <v>111918.90999999981</v>
      </c>
      <c r="I260" s="21">
        <v>13620.810000000007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0</v>
      </c>
      <c r="P260" s="20"/>
      <c r="Q260" s="82">
        <f t="shared" si="6"/>
        <v>1.5649732687637631E-3</v>
      </c>
      <c r="R260" s="14">
        <v>1.3877787807814457E-17</v>
      </c>
      <c r="S260" s="15">
        <v>1.3877787807814461E-15</v>
      </c>
      <c r="T260" s="16">
        <v>1.6158029909685147E-10</v>
      </c>
    </row>
    <row r="261" spans="1:20" ht="16" hidden="1">
      <c r="A261" s="80" t="s">
        <v>568</v>
      </c>
      <c r="B261" s="81" t="s">
        <v>85</v>
      </c>
      <c r="C261" s="18"/>
      <c r="D261" s="21">
        <v>12322</v>
      </c>
      <c r="E261" s="21">
        <v>12322</v>
      </c>
      <c r="F261" s="21">
        <v>12322</v>
      </c>
      <c r="G261" s="21">
        <v>12322</v>
      </c>
      <c r="H261" s="21">
        <v>12322</v>
      </c>
      <c r="I261" s="21">
        <v>12322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20"/>
      <c r="Q261" s="82">
        <f t="shared" si="6"/>
        <v>1.4157455112953693E-3</v>
      </c>
      <c r="R261" s="14">
        <v>0</v>
      </c>
      <c r="S261" s="15">
        <v>0</v>
      </c>
      <c r="T261" s="16">
        <v>0</v>
      </c>
    </row>
    <row r="262" spans="1:20" ht="16" hidden="1">
      <c r="A262" s="80" t="s">
        <v>714</v>
      </c>
      <c r="B262" s="81" t="s">
        <v>60</v>
      </c>
      <c r="C262" s="18"/>
      <c r="D262" s="21">
        <v>6002.42</v>
      </c>
      <c r="E262" s="21">
        <v>6002.42</v>
      </c>
      <c r="F262" s="21">
        <v>6002.42</v>
      </c>
      <c r="G262" s="21">
        <v>6003.04</v>
      </c>
      <c r="H262" s="21">
        <v>6003.6100000000015</v>
      </c>
      <c r="I262" s="21">
        <v>12214.810000000001</v>
      </c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>
        <v>0</v>
      </c>
      <c r="P262" s="20"/>
      <c r="Q262" s="82">
        <f t="shared" si="6"/>
        <v>1.4034298351587235E-3</v>
      </c>
      <c r="R262" s="14">
        <v>0</v>
      </c>
      <c r="S262" s="15">
        <v>0</v>
      </c>
      <c r="T262" s="16">
        <v>0</v>
      </c>
    </row>
    <row r="263" spans="1:20" ht="16">
      <c r="A263" s="80" t="s">
        <v>1046</v>
      </c>
      <c r="B263" s="81" t="s">
        <v>67</v>
      </c>
      <c r="C263" s="18"/>
      <c r="D263" s="21">
        <v>84931.46</v>
      </c>
      <c r="E263" s="21">
        <v>81177.12000000001</v>
      </c>
      <c r="F263" s="21">
        <v>81222.780000000013</v>
      </c>
      <c r="G263" s="21">
        <v>70468.440000000017</v>
      </c>
      <c r="H263" s="21">
        <v>35112.46</v>
      </c>
      <c r="I263" s="21">
        <v>12112.810000000001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20"/>
      <c r="Q263" s="82">
        <f t="shared" si="6"/>
        <v>1.3917104679981873E-3</v>
      </c>
      <c r="R263" s="14">
        <v>0</v>
      </c>
      <c r="S263" s="15">
        <v>0</v>
      </c>
      <c r="T263" s="16">
        <v>0</v>
      </c>
    </row>
    <row r="264" spans="1:20" ht="16" hidden="1">
      <c r="A264" s="80" t="s">
        <v>1212</v>
      </c>
      <c r="B264" s="81" t="s">
        <v>85</v>
      </c>
      <c r="C264" s="18"/>
      <c r="D264" s="21">
        <v>12031</v>
      </c>
      <c r="E264" s="21">
        <v>12031</v>
      </c>
      <c r="F264" s="21">
        <v>12031</v>
      </c>
      <c r="G264" s="21">
        <v>12031</v>
      </c>
      <c r="H264" s="21">
        <v>12031</v>
      </c>
      <c r="I264" s="21">
        <v>12031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20"/>
      <c r="Q264" s="82">
        <f t="shared" si="6"/>
        <v>1.3823108461608982E-3</v>
      </c>
      <c r="R264" s="14">
        <v>0</v>
      </c>
      <c r="S264" s="15">
        <v>0</v>
      </c>
      <c r="T264" s="16">
        <v>0</v>
      </c>
    </row>
    <row r="265" spans="1:20" ht="16" hidden="1">
      <c r="A265" s="80" t="s">
        <v>908</v>
      </c>
      <c r="B265" s="81" t="s">
        <v>62</v>
      </c>
      <c r="C265" s="18"/>
      <c r="D265" s="21">
        <v>9913.5400000000009</v>
      </c>
      <c r="E265" s="21">
        <v>9913.5400000000009</v>
      </c>
      <c r="F265" s="21">
        <v>9913.5400000000009</v>
      </c>
      <c r="G265" s="21">
        <v>9913.5400000000009</v>
      </c>
      <c r="H265" s="21">
        <v>9913.5400000000009</v>
      </c>
      <c r="I265" s="21">
        <v>11523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20"/>
      <c r="Q265" s="82">
        <f t="shared" si="6"/>
        <v>1.3239438018711688E-3</v>
      </c>
      <c r="R265" s="14">
        <v>0</v>
      </c>
      <c r="S265" s="15">
        <v>0</v>
      </c>
      <c r="T265" s="16">
        <v>0</v>
      </c>
    </row>
    <row r="266" spans="1:20" ht="16" hidden="1">
      <c r="A266" s="80" t="s">
        <v>747</v>
      </c>
      <c r="B266" s="81" t="s">
        <v>62</v>
      </c>
      <c r="C266" s="18"/>
      <c r="D266" s="21">
        <v>29247.02</v>
      </c>
      <c r="E266" s="21">
        <v>5.3</v>
      </c>
      <c r="F266" s="21">
        <v>5.2999999999999972</v>
      </c>
      <c r="G266" s="21">
        <v>5.299999999999998</v>
      </c>
      <c r="H266" s="21">
        <v>5.2999999999999972</v>
      </c>
      <c r="I266" s="21">
        <v>10872.119999999999</v>
      </c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20"/>
      <c r="Q266" s="82">
        <f t="shared" si="6"/>
        <v>1.2491604518961703E-3</v>
      </c>
      <c r="R266" s="14">
        <v>0</v>
      </c>
      <c r="S266" s="15">
        <v>0</v>
      </c>
      <c r="T266" s="16">
        <v>1.4406628731714541E-3</v>
      </c>
    </row>
    <row r="267" spans="1:20" ht="16" hidden="1">
      <c r="A267" s="80" t="s">
        <v>704</v>
      </c>
      <c r="B267" s="81" t="s">
        <v>76</v>
      </c>
      <c r="C267" s="18"/>
      <c r="D267" s="21">
        <v>68252.869999999966</v>
      </c>
      <c r="E267" s="21">
        <v>81223.98</v>
      </c>
      <c r="F267" s="21">
        <v>80195.09</v>
      </c>
      <c r="G267" s="21">
        <v>63166.2</v>
      </c>
      <c r="H267" s="21">
        <v>44137.31</v>
      </c>
      <c r="I267" s="21">
        <v>10622.87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20"/>
      <c r="Q267" s="82">
        <f t="shared" ref="Q267:Q330" si="7">IFERROR(I267/$I$4," ")</f>
        <v>1.2205226845945659E-3</v>
      </c>
      <c r="R267" s="14">
        <v>0</v>
      </c>
      <c r="S267" s="15">
        <v>0</v>
      </c>
      <c r="T267" s="16">
        <v>0</v>
      </c>
    </row>
    <row r="268" spans="1:20" ht="16" hidden="1">
      <c r="A268" s="80" t="s">
        <v>396</v>
      </c>
      <c r="B268" s="81" t="s">
        <v>85</v>
      </c>
      <c r="C268" s="18"/>
      <c r="D268" s="21">
        <v>12572.99</v>
      </c>
      <c r="E268" s="21">
        <v>4559.05</v>
      </c>
      <c r="F268" s="21">
        <v>0.01</v>
      </c>
      <c r="G268" s="21">
        <v>9721.82</v>
      </c>
      <c r="H268" s="21">
        <v>20984.749999999996</v>
      </c>
      <c r="I268" s="21">
        <v>10065.880000000001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20"/>
      <c r="Q268" s="82">
        <f t="shared" si="7"/>
        <v>1.1565268971950847E-3</v>
      </c>
      <c r="R268" s="14">
        <v>0</v>
      </c>
      <c r="S268" s="15">
        <v>0</v>
      </c>
      <c r="T268" s="16">
        <v>0</v>
      </c>
    </row>
    <row r="269" spans="1:20" ht="16" hidden="1">
      <c r="A269" s="80" t="s">
        <v>1183</v>
      </c>
      <c r="B269" s="81" t="s">
        <v>78</v>
      </c>
      <c r="C269" s="18"/>
      <c r="D269" s="21">
        <v>0</v>
      </c>
      <c r="E269" s="21">
        <v>0</v>
      </c>
      <c r="F269" s="21">
        <v>0</v>
      </c>
      <c r="G269" s="21">
        <v>0</v>
      </c>
      <c r="H269" s="21">
        <v>0</v>
      </c>
      <c r="I269" s="21">
        <v>9999.99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</v>
      </c>
      <c r="P269" s="20"/>
      <c r="Q269" s="82">
        <f t="shared" si="7"/>
        <v>1.1489564158008911E-3</v>
      </c>
      <c r="R269" s="14">
        <v>0</v>
      </c>
      <c r="S269" s="15">
        <v>0</v>
      </c>
      <c r="T269" s="16">
        <v>0</v>
      </c>
    </row>
    <row r="270" spans="1:20" ht="16">
      <c r="A270" s="80" t="s">
        <v>1067</v>
      </c>
      <c r="B270" s="81" t="s">
        <v>67</v>
      </c>
      <c r="C270" s="18"/>
      <c r="D270" s="21">
        <v>9.6499999999999986</v>
      </c>
      <c r="E270" s="21">
        <v>3844.1700000000005</v>
      </c>
      <c r="F270" s="21">
        <v>7678.7</v>
      </c>
      <c r="G270" s="21">
        <v>11513.23</v>
      </c>
      <c r="H270" s="21">
        <v>15032.170000000002</v>
      </c>
      <c r="I270" s="21">
        <v>9645.18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20"/>
      <c r="Q270" s="82">
        <f t="shared" si="7"/>
        <v>1.1081902524456963E-3</v>
      </c>
      <c r="R270" s="14">
        <v>0</v>
      </c>
      <c r="S270" s="15">
        <v>0</v>
      </c>
      <c r="T270" s="16">
        <v>0</v>
      </c>
    </row>
    <row r="271" spans="1:20" ht="16" hidden="1">
      <c r="A271" s="80" t="s">
        <v>120</v>
      </c>
      <c r="B271" s="81" t="s">
        <v>76</v>
      </c>
      <c r="C271" s="18"/>
      <c r="D271" s="21">
        <v>35722.859999999993</v>
      </c>
      <c r="E271" s="21">
        <v>36136.579999999994</v>
      </c>
      <c r="F271" s="21">
        <v>9515.1299999999974</v>
      </c>
      <c r="G271" s="21">
        <v>9515.119999999999</v>
      </c>
      <c r="H271" s="21">
        <v>9515.1099999999988</v>
      </c>
      <c r="I271" s="21">
        <v>9515.130000000001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20"/>
      <c r="Q271" s="82">
        <f t="shared" si="7"/>
        <v>1.0932480593160128E-3</v>
      </c>
      <c r="R271" s="14">
        <v>0</v>
      </c>
      <c r="S271" s="15">
        <v>0</v>
      </c>
      <c r="T271" s="16">
        <v>3.2316059819370269E-10</v>
      </c>
    </row>
    <row r="272" spans="1:20" ht="16" hidden="1">
      <c r="A272" s="80" t="s">
        <v>570</v>
      </c>
      <c r="B272" s="81" t="s">
        <v>60</v>
      </c>
      <c r="C272" s="18"/>
      <c r="D272" s="21">
        <v>4600.5</v>
      </c>
      <c r="E272" s="21">
        <v>4670.4599999999991</v>
      </c>
      <c r="F272" s="21">
        <v>4138.8500000000004</v>
      </c>
      <c r="G272" s="21">
        <v>6921.95</v>
      </c>
      <c r="H272" s="21">
        <v>6090.8</v>
      </c>
      <c r="I272" s="21">
        <v>9310.41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20"/>
      <c r="Q272" s="82">
        <f t="shared" si="7"/>
        <v>1.0697266000502775E-3</v>
      </c>
      <c r="R272" s="14">
        <v>0</v>
      </c>
      <c r="S272" s="15">
        <v>0</v>
      </c>
      <c r="T272" s="16">
        <v>0</v>
      </c>
    </row>
    <row r="273" spans="1:20" ht="16" hidden="1">
      <c r="A273" s="80" t="s">
        <v>1043</v>
      </c>
      <c r="B273" s="81" t="s">
        <v>85</v>
      </c>
      <c r="C273" s="18"/>
      <c r="D273" s="21">
        <v>0</v>
      </c>
      <c r="E273" s="21">
        <v>0</v>
      </c>
      <c r="F273" s="21">
        <v>0</v>
      </c>
      <c r="G273" s="21">
        <v>0</v>
      </c>
      <c r="H273" s="21">
        <v>0</v>
      </c>
      <c r="I273" s="21">
        <v>9180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20"/>
      <c r="Q273" s="82">
        <f t="shared" si="7"/>
        <v>1.0547430444482625E-3</v>
      </c>
      <c r="R273" s="14">
        <v>0</v>
      </c>
      <c r="S273" s="15">
        <v>0</v>
      </c>
      <c r="T273" s="16">
        <v>-3.2316059819370269E-10</v>
      </c>
    </row>
    <row r="274" spans="1:20" ht="16" hidden="1">
      <c r="A274" s="80" t="s">
        <v>685</v>
      </c>
      <c r="B274" s="81" t="s">
        <v>60</v>
      </c>
      <c r="C274" s="18"/>
      <c r="D274" s="21">
        <v>9000</v>
      </c>
      <c r="E274" s="21">
        <v>9000</v>
      </c>
      <c r="F274" s="21">
        <v>9000</v>
      </c>
      <c r="G274" s="21">
        <v>9000</v>
      </c>
      <c r="H274" s="21">
        <v>9000</v>
      </c>
      <c r="I274" s="21">
        <v>9000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20"/>
      <c r="Q274" s="82">
        <f t="shared" si="7"/>
        <v>1.0340618082826103E-3</v>
      </c>
      <c r="R274" s="14">
        <v>0</v>
      </c>
      <c r="S274" s="15">
        <v>0</v>
      </c>
      <c r="T274" s="16">
        <v>2.6386062842515811E-7</v>
      </c>
    </row>
    <row r="275" spans="1:20" ht="16" hidden="1">
      <c r="A275" s="80" t="s">
        <v>496</v>
      </c>
      <c r="B275" s="81" t="s">
        <v>62</v>
      </c>
      <c r="C275" s="18"/>
      <c r="D275" s="21">
        <v>32.08</v>
      </c>
      <c r="E275" s="21">
        <v>32.080000000000005</v>
      </c>
      <c r="F275" s="21">
        <v>32.08</v>
      </c>
      <c r="G275" s="21">
        <v>8032.0800000000017</v>
      </c>
      <c r="H275" s="21">
        <v>8682.0799999999963</v>
      </c>
      <c r="I275" s="21">
        <v>8672.0799999999963</v>
      </c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20"/>
      <c r="Q275" s="82">
        <f t="shared" si="7"/>
        <v>9.9638519181905047E-4</v>
      </c>
      <c r="R275" s="14">
        <v>0.01</v>
      </c>
      <c r="S275" s="15">
        <v>-1</v>
      </c>
      <c r="T275" s="16">
        <v>0</v>
      </c>
    </row>
    <row r="276" spans="1:20" ht="16" hidden="1">
      <c r="A276" s="80" t="s">
        <v>101</v>
      </c>
      <c r="B276" s="81" t="s">
        <v>85</v>
      </c>
      <c r="C276" s="18"/>
      <c r="D276" s="21">
        <v>9797.4000000000033</v>
      </c>
      <c r="E276" s="21">
        <v>9797.600000000004</v>
      </c>
      <c r="F276" s="21">
        <v>8631.5</v>
      </c>
      <c r="G276" s="21">
        <v>8631.7000000000062</v>
      </c>
      <c r="H276" s="21">
        <v>8631.7000000000062</v>
      </c>
      <c r="I276" s="21">
        <v>8631.7000000000062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20"/>
      <c r="Q276" s="82">
        <f t="shared" si="7"/>
        <v>9.9174570117255712E-4</v>
      </c>
      <c r="R276" s="14">
        <v>0</v>
      </c>
      <c r="S276" s="15">
        <v>0</v>
      </c>
      <c r="T276" s="16">
        <v>0</v>
      </c>
    </row>
    <row r="277" spans="1:20" ht="16" hidden="1">
      <c r="A277" s="80" t="s">
        <v>277</v>
      </c>
      <c r="B277" s="81" t="s">
        <v>76</v>
      </c>
      <c r="C277" s="18"/>
      <c r="D277" s="21">
        <v>7969.12</v>
      </c>
      <c r="E277" s="21">
        <v>9249.18</v>
      </c>
      <c r="F277" s="21">
        <v>6689.06</v>
      </c>
      <c r="G277" s="21">
        <v>8125.47</v>
      </c>
      <c r="H277" s="21">
        <v>8449.99</v>
      </c>
      <c r="I277" s="21">
        <v>8449.989999999998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</v>
      </c>
      <c r="P277" s="20"/>
      <c r="Q277" s="82">
        <f t="shared" si="7"/>
        <v>9.7086799326333024E-4</v>
      </c>
      <c r="R277" s="14">
        <v>3.4694469519536142E-18</v>
      </c>
      <c r="S277" s="15">
        <v>-1</v>
      </c>
      <c r="T277" s="16">
        <v>0</v>
      </c>
    </row>
    <row r="278" spans="1:20" ht="16" hidden="1">
      <c r="A278" s="80" t="s">
        <v>278</v>
      </c>
      <c r="B278" s="81" t="s">
        <v>78</v>
      </c>
      <c r="C278" s="18"/>
      <c r="D278" s="21">
        <v>2693.8999999999983</v>
      </c>
      <c r="E278" s="21">
        <v>5397.11</v>
      </c>
      <c r="F278" s="21">
        <v>0.15999999999999995</v>
      </c>
      <c r="G278" s="21">
        <v>2842.9899999999984</v>
      </c>
      <c r="H278" s="21">
        <v>249789.47999999992</v>
      </c>
      <c r="I278" s="21">
        <v>8126.54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20"/>
      <c r="Q278" s="82">
        <f t="shared" si="7"/>
        <v>9.3370496083121824E-4</v>
      </c>
      <c r="R278" s="14">
        <v>0</v>
      </c>
      <c r="S278" s="15">
        <v>0</v>
      </c>
      <c r="T278" s="16">
        <v>0</v>
      </c>
    </row>
    <row r="279" spans="1:20" ht="16" hidden="1">
      <c r="A279" s="80" t="s">
        <v>667</v>
      </c>
      <c r="B279" s="81" t="s">
        <v>60</v>
      </c>
      <c r="C279" s="18"/>
      <c r="D279" s="21">
        <v>8120</v>
      </c>
      <c r="E279" s="21">
        <v>8120</v>
      </c>
      <c r="F279" s="21">
        <v>8120</v>
      </c>
      <c r="G279" s="21">
        <v>0</v>
      </c>
      <c r="H279" s="21">
        <v>8120</v>
      </c>
      <c r="I279" s="21">
        <v>8120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20"/>
      <c r="Q279" s="82">
        <f t="shared" si="7"/>
        <v>9.3295354258386622E-4</v>
      </c>
      <c r="R279" s="14">
        <v>0</v>
      </c>
      <c r="S279" s="15">
        <v>0</v>
      </c>
      <c r="T279" s="16">
        <v>1.0559272545979234E-5</v>
      </c>
    </row>
    <row r="280" spans="1:20" ht="16">
      <c r="A280" s="80" t="s">
        <v>1053</v>
      </c>
      <c r="B280" s="81" t="s">
        <v>67</v>
      </c>
      <c r="C280" s="18"/>
      <c r="D280" s="21">
        <v>0.21</v>
      </c>
      <c r="E280" s="21">
        <v>0.21000000000000002</v>
      </c>
      <c r="F280" s="21">
        <v>0.21000000000000002</v>
      </c>
      <c r="G280" s="21">
        <v>0.20999999999999991</v>
      </c>
      <c r="H280" s="21">
        <v>0.21</v>
      </c>
      <c r="I280" s="21">
        <v>8000.21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20"/>
      <c r="Q280" s="82">
        <f t="shared" si="7"/>
        <v>9.1919017991562468E-4</v>
      </c>
      <c r="R280" s="14">
        <v>0</v>
      </c>
      <c r="S280" s="15">
        <v>0</v>
      </c>
      <c r="T280" s="16">
        <v>-1.4219066320522912E-7</v>
      </c>
    </row>
    <row r="281" spans="1:20" ht="16">
      <c r="A281" s="80" t="s">
        <v>553</v>
      </c>
      <c r="B281" s="81" t="s">
        <v>67</v>
      </c>
      <c r="C281" s="18"/>
      <c r="D281" s="21">
        <v>180.57000000000011</v>
      </c>
      <c r="E281" s="21">
        <v>1.0000000000000007E-2</v>
      </c>
      <c r="F281" s="21">
        <v>9.9999999999999933E-3</v>
      </c>
      <c r="G281" s="21">
        <v>28951.109999999997</v>
      </c>
      <c r="H281" s="21">
        <v>7951.1100000000006</v>
      </c>
      <c r="I281" s="21">
        <v>7951.1100000000006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20"/>
      <c r="Q281" s="82">
        <f t="shared" si="7"/>
        <v>9.1354879827266068E-4</v>
      </c>
      <c r="R281" s="14">
        <v>0</v>
      </c>
      <c r="S281" s="15">
        <v>0</v>
      </c>
      <c r="T281" s="16">
        <v>3.877927178324431E-9</v>
      </c>
    </row>
    <row r="282" spans="1:20" ht="16" hidden="1">
      <c r="A282" s="80" t="s">
        <v>1155</v>
      </c>
      <c r="B282" s="81" t="s">
        <v>78</v>
      </c>
      <c r="C282" s="18"/>
      <c r="D282" s="21">
        <v>0</v>
      </c>
      <c r="E282" s="21">
        <v>0</v>
      </c>
      <c r="F282" s="21">
        <v>0</v>
      </c>
      <c r="G282" s="21">
        <v>8961.7000000000007</v>
      </c>
      <c r="H282" s="21">
        <v>0</v>
      </c>
      <c r="I282" s="21">
        <v>7873.93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20"/>
      <c r="Q282" s="82">
        <f t="shared" si="7"/>
        <v>9.0468114378785484E-4</v>
      </c>
      <c r="R282" s="14">
        <v>-52952.5</v>
      </c>
      <c r="S282" s="15">
        <v>-0.1122975444560111</v>
      </c>
      <c r="T282" s="16">
        <v>6.7635084650046525E-3</v>
      </c>
    </row>
    <row r="283" spans="1:20" ht="16" hidden="1">
      <c r="A283" s="80" t="s">
        <v>578</v>
      </c>
      <c r="B283" s="81" t="s">
        <v>62</v>
      </c>
      <c r="C283" s="18"/>
      <c r="D283" s="21">
        <v>10152</v>
      </c>
      <c r="E283" s="21">
        <v>9720</v>
      </c>
      <c r="F283" s="21">
        <v>0</v>
      </c>
      <c r="G283" s="21">
        <v>7776</v>
      </c>
      <c r="H283" s="21">
        <v>7776</v>
      </c>
      <c r="I283" s="21">
        <v>7776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20"/>
      <c r="Q283" s="82">
        <f t="shared" si="7"/>
        <v>8.9342940235617523E-4</v>
      </c>
      <c r="R283" s="14">
        <v>0</v>
      </c>
      <c r="S283" s="15">
        <v>0</v>
      </c>
      <c r="T283" s="16">
        <v>0</v>
      </c>
    </row>
    <row r="284" spans="1:20" ht="16" hidden="1">
      <c r="A284" s="80" t="s">
        <v>590</v>
      </c>
      <c r="B284" s="81" t="s">
        <v>62</v>
      </c>
      <c r="C284" s="18"/>
      <c r="D284" s="21">
        <v>16386.12</v>
      </c>
      <c r="E284" s="21">
        <v>19026.060000000001</v>
      </c>
      <c r="F284" s="21">
        <v>55158.540000000008</v>
      </c>
      <c r="G284" s="21">
        <v>91291.02</v>
      </c>
      <c r="H284" s="21">
        <v>9293.4399999999987</v>
      </c>
      <c r="I284" s="21">
        <v>7735.0300000000007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20"/>
      <c r="Q284" s="82">
        <f t="shared" si="7"/>
        <v>8.8872212321335997E-4</v>
      </c>
      <c r="R284" s="14">
        <v>34982.970000000008</v>
      </c>
      <c r="S284" s="15">
        <v>1.6370123364471996</v>
      </c>
      <c r="T284" s="16">
        <v>9.1055313633988798E-4</v>
      </c>
    </row>
    <row r="285" spans="1:20" ht="16" hidden="1">
      <c r="A285" s="80" t="s">
        <v>208</v>
      </c>
      <c r="B285" s="81" t="s">
        <v>60</v>
      </c>
      <c r="C285" s="18"/>
      <c r="D285" s="21">
        <v>8486.3499999999967</v>
      </c>
      <c r="E285" s="21">
        <v>8486.3499999999967</v>
      </c>
      <c r="F285" s="21">
        <v>8880.2699999999968</v>
      </c>
      <c r="G285" s="21">
        <v>8099.099999999994</v>
      </c>
      <c r="H285" s="21">
        <v>8496.5599999999959</v>
      </c>
      <c r="I285" s="21">
        <v>7730.1999999999935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20"/>
      <c r="Q285" s="82">
        <f t="shared" si="7"/>
        <v>8.8816717670958082E-4</v>
      </c>
      <c r="R285" s="14">
        <v>0</v>
      </c>
      <c r="S285" s="15">
        <v>0</v>
      </c>
      <c r="T285" s="16">
        <v>7.1744218694151634E-3</v>
      </c>
    </row>
    <row r="286" spans="1:20" ht="16" hidden="1">
      <c r="A286" s="80" t="s">
        <v>1067</v>
      </c>
      <c r="B286" s="81" t="s">
        <v>62</v>
      </c>
      <c r="C286" s="18"/>
      <c r="D286" s="21">
        <v>0</v>
      </c>
      <c r="E286" s="21">
        <v>0</v>
      </c>
      <c r="F286" s="21">
        <v>0</v>
      </c>
      <c r="G286" s="21">
        <v>0</v>
      </c>
      <c r="H286" s="21">
        <v>0</v>
      </c>
      <c r="I286" s="21">
        <v>6763.14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</v>
      </c>
      <c r="P286" s="20"/>
      <c r="Q286" s="82">
        <f t="shared" si="7"/>
        <v>7.7705608645205042E-4</v>
      </c>
      <c r="R286" s="14">
        <v>0</v>
      </c>
      <c r="S286" s="15">
        <v>0</v>
      </c>
      <c r="T286" s="16">
        <v>0</v>
      </c>
    </row>
    <row r="287" spans="1:20" ht="16" hidden="1">
      <c r="A287" s="80" t="s">
        <v>1115</v>
      </c>
      <c r="B287" s="81" t="s">
        <v>62</v>
      </c>
      <c r="C287" s="18"/>
      <c r="D287" s="21">
        <v>0</v>
      </c>
      <c r="E287" s="21">
        <v>0</v>
      </c>
      <c r="F287" s="21">
        <v>0</v>
      </c>
      <c r="G287" s="21">
        <v>0</v>
      </c>
      <c r="H287" s="21">
        <v>13333.33</v>
      </c>
      <c r="I287" s="21">
        <v>6759.99</v>
      </c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>
        <v>0</v>
      </c>
      <c r="P287" s="20"/>
      <c r="Q287" s="82">
        <f t="shared" si="7"/>
        <v>7.7669416481915136E-4</v>
      </c>
      <c r="R287" s="14">
        <v>0</v>
      </c>
      <c r="S287" s="15">
        <v>0</v>
      </c>
      <c r="T287" s="16">
        <v>3.5547665801307245E-9</v>
      </c>
    </row>
    <row r="288" spans="1:20" ht="16" hidden="1">
      <c r="A288" s="80" t="s">
        <v>1031</v>
      </c>
      <c r="B288" s="81" t="s">
        <v>62</v>
      </c>
      <c r="C288" s="18"/>
      <c r="D288" s="21">
        <v>0.31999999999999484</v>
      </c>
      <c r="E288" s="21">
        <v>0.31999999999999595</v>
      </c>
      <c r="F288" s="21">
        <v>6670.49</v>
      </c>
      <c r="G288" s="21">
        <v>6670.49</v>
      </c>
      <c r="H288" s="21">
        <v>6670.49</v>
      </c>
      <c r="I288" s="21">
        <v>6670.49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</v>
      </c>
      <c r="P288" s="20"/>
      <c r="Q288" s="82">
        <f t="shared" si="7"/>
        <v>7.6641099461456316E-4</v>
      </c>
      <c r="R288" s="14">
        <v>1.0000000000000009E-2</v>
      </c>
      <c r="S288" s="15">
        <v>4.3478260869565251E-2</v>
      </c>
      <c r="T288" s="16">
        <v>3.8779271783244318E-9</v>
      </c>
    </row>
    <row r="289" spans="1:20" ht="16" hidden="1">
      <c r="A289" s="80" t="s">
        <v>540</v>
      </c>
      <c r="B289" s="81" t="s">
        <v>145</v>
      </c>
      <c r="C289" s="18"/>
      <c r="D289" s="21">
        <v>6097.3300000000008</v>
      </c>
      <c r="E289" s="21">
        <v>6097.3300000000008</v>
      </c>
      <c r="F289" s="21">
        <v>6097.3300000000008</v>
      </c>
      <c r="G289" s="21">
        <v>6097.31</v>
      </c>
      <c r="H289" s="21">
        <v>6097.31</v>
      </c>
      <c r="I289" s="21">
        <v>6603.05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</v>
      </c>
      <c r="P289" s="20"/>
      <c r="Q289" s="82">
        <f t="shared" si="7"/>
        <v>7.5866242479783223E-4</v>
      </c>
      <c r="R289" s="14">
        <v>0</v>
      </c>
      <c r="S289" s="15">
        <v>0</v>
      </c>
      <c r="T289" s="16">
        <v>3.8779271783244318E-9</v>
      </c>
    </row>
    <row r="290" spans="1:20" ht="16" hidden="1">
      <c r="A290" s="80" t="s">
        <v>275</v>
      </c>
      <c r="B290" s="81" t="s">
        <v>62</v>
      </c>
      <c r="C290" s="18"/>
      <c r="D290" s="21">
        <v>6501.53</v>
      </c>
      <c r="E290" s="21">
        <v>6501.53</v>
      </c>
      <c r="F290" s="21">
        <v>6501.53</v>
      </c>
      <c r="G290" s="21">
        <v>6501.53</v>
      </c>
      <c r="H290" s="21">
        <v>6501.53</v>
      </c>
      <c r="I290" s="21">
        <v>6501.53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20"/>
      <c r="Q290" s="82">
        <f t="shared" si="7"/>
        <v>7.4699820760040433E-4</v>
      </c>
      <c r="R290" s="14">
        <v>0</v>
      </c>
      <c r="S290" s="15">
        <v>0</v>
      </c>
      <c r="T290" s="16">
        <v>1.9715174951818555E-3</v>
      </c>
    </row>
    <row r="291" spans="1:20" ht="16" hidden="1">
      <c r="A291" s="80" t="s">
        <v>548</v>
      </c>
      <c r="B291" s="81" t="s">
        <v>76</v>
      </c>
      <c r="C291" s="18"/>
      <c r="D291" s="21">
        <v>269.0799999999997</v>
      </c>
      <c r="E291" s="21">
        <v>269.08999999999975</v>
      </c>
      <c r="F291" s="21">
        <v>269.09999999999974</v>
      </c>
      <c r="G291" s="21">
        <v>269.10999999999979</v>
      </c>
      <c r="H291" s="21">
        <v>269.11999999999978</v>
      </c>
      <c r="I291" s="21">
        <v>6425.0500000000011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20"/>
      <c r="Q291" s="82">
        <f t="shared" si="7"/>
        <v>7.3821098014513183E-4</v>
      </c>
      <c r="R291" s="14">
        <v>0</v>
      </c>
      <c r="S291" s="15">
        <v>0</v>
      </c>
      <c r="T291" s="16">
        <v>0</v>
      </c>
    </row>
    <row r="292" spans="1:20" ht="16">
      <c r="A292" s="80" t="s">
        <v>679</v>
      </c>
      <c r="B292" s="81" t="s">
        <v>67</v>
      </c>
      <c r="C292" s="18"/>
      <c r="D292" s="21">
        <v>6360.74</v>
      </c>
      <c r="E292" s="21">
        <v>6360.74</v>
      </c>
      <c r="F292" s="21">
        <v>6360.74</v>
      </c>
      <c r="G292" s="21">
        <v>6360.74</v>
      </c>
      <c r="H292" s="21">
        <v>6360.74</v>
      </c>
      <c r="I292" s="21">
        <v>6360.74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20"/>
      <c r="Q292" s="82">
        <f t="shared" si="7"/>
        <v>7.3082203404617008E-4</v>
      </c>
      <c r="R292" s="14">
        <v>0</v>
      </c>
      <c r="S292" s="15">
        <v>0</v>
      </c>
      <c r="T292" s="16">
        <v>0</v>
      </c>
    </row>
    <row r="293" spans="1:20" ht="16" hidden="1">
      <c r="A293" s="80" t="s">
        <v>202</v>
      </c>
      <c r="B293" s="81" t="s">
        <v>85</v>
      </c>
      <c r="C293" s="18"/>
      <c r="D293" s="21">
        <v>5119.170277000002</v>
      </c>
      <c r="E293" s="21">
        <v>3780.9178869999992</v>
      </c>
      <c r="F293" s="21">
        <v>2983.2608889999988</v>
      </c>
      <c r="G293" s="21">
        <v>6562.031246999999</v>
      </c>
      <c r="H293" s="21">
        <v>3163.3725030000028</v>
      </c>
      <c r="I293" s="21">
        <v>6141.4880869999997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20"/>
      <c r="Q293" s="82">
        <f t="shared" si="7"/>
        <v>7.0563091964325874E-4</v>
      </c>
      <c r="R293" s="14">
        <v>0</v>
      </c>
      <c r="S293" s="15">
        <v>0</v>
      </c>
      <c r="T293" s="16">
        <v>-1.2441683030457549E-8</v>
      </c>
    </row>
    <row r="294" spans="1:20" ht="16" hidden="1">
      <c r="A294" s="80" t="s">
        <v>358</v>
      </c>
      <c r="B294" s="81" t="s">
        <v>78</v>
      </c>
      <c r="C294" s="18"/>
      <c r="D294" s="21">
        <v>38790.339999999997</v>
      </c>
      <c r="E294" s="21">
        <v>38790.339999999997</v>
      </c>
      <c r="F294" s="21">
        <v>77580.680000000008</v>
      </c>
      <c r="G294" s="21">
        <v>77580.680000000008</v>
      </c>
      <c r="H294" s="21">
        <v>5895.82</v>
      </c>
      <c r="I294" s="21">
        <v>5895.82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20"/>
      <c r="Q294" s="82">
        <f t="shared" si="7"/>
        <v>6.7740469894541993E-4</v>
      </c>
      <c r="R294" s="14">
        <v>0</v>
      </c>
      <c r="S294" s="15">
        <v>0</v>
      </c>
      <c r="T294" s="16">
        <v>2.2621241873559204E-9</v>
      </c>
    </row>
    <row r="295" spans="1:20" ht="16" hidden="1">
      <c r="A295" s="80" t="s">
        <v>676</v>
      </c>
      <c r="B295" s="81" t="s">
        <v>78</v>
      </c>
      <c r="C295" s="18"/>
      <c r="D295" s="21">
        <v>5779.0900000000011</v>
      </c>
      <c r="E295" s="21">
        <v>8206.2400000000016</v>
      </c>
      <c r="F295" s="21">
        <v>5779.1200000000017</v>
      </c>
      <c r="G295" s="21">
        <v>5779.1300000000019</v>
      </c>
      <c r="H295" s="21">
        <v>5779.1500000000024</v>
      </c>
      <c r="I295" s="21">
        <v>5779.1400000000012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</v>
      </c>
      <c r="P295" s="20"/>
      <c r="Q295" s="82">
        <f t="shared" si="7"/>
        <v>6.6399866207981844E-4</v>
      </c>
      <c r="R295" s="14">
        <v>0</v>
      </c>
      <c r="S295" s="15">
        <v>0</v>
      </c>
      <c r="T295" s="16">
        <v>0</v>
      </c>
    </row>
    <row r="296" spans="1:20" ht="16">
      <c r="A296" s="80" t="s">
        <v>1177</v>
      </c>
      <c r="B296" s="81" t="s">
        <v>67</v>
      </c>
      <c r="C296" s="18"/>
      <c r="D296" s="21">
        <v>5677.22</v>
      </c>
      <c r="E296" s="21">
        <v>5677.22</v>
      </c>
      <c r="F296" s="21">
        <v>5677.22</v>
      </c>
      <c r="G296" s="21">
        <v>5677.22</v>
      </c>
      <c r="H296" s="21">
        <v>5677.22</v>
      </c>
      <c r="I296" s="21">
        <v>5677.22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20"/>
      <c r="Q296" s="82">
        <f t="shared" si="7"/>
        <v>6.5228848657980011E-4</v>
      </c>
      <c r="R296" s="14">
        <v>0</v>
      </c>
      <c r="S296" s="15">
        <v>0</v>
      </c>
      <c r="T296" s="16">
        <v>0</v>
      </c>
    </row>
    <row r="297" spans="1:20" ht="16" hidden="1">
      <c r="A297" s="80" t="s">
        <v>717</v>
      </c>
      <c r="B297" s="81" t="s">
        <v>85</v>
      </c>
      <c r="C297" s="18"/>
      <c r="D297" s="21">
        <v>5652.7100000000009</v>
      </c>
      <c r="E297" s="21">
        <v>5652.7100000000009</v>
      </c>
      <c r="F297" s="21">
        <v>5652.7100000000009</v>
      </c>
      <c r="G297" s="21">
        <v>5652.7100000000009</v>
      </c>
      <c r="H297" s="21">
        <v>5652.7100000000009</v>
      </c>
      <c r="I297" s="21">
        <v>5652.7100000000009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20"/>
      <c r="Q297" s="82">
        <f t="shared" si="7"/>
        <v>6.4947239158857722E-4</v>
      </c>
      <c r="R297" s="14">
        <v>0</v>
      </c>
      <c r="S297" s="15">
        <v>0</v>
      </c>
      <c r="T297" s="16">
        <v>5.7147397023976168E-5</v>
      </c>
    </row>
    <row r="298" spans="1:20" ht="16" hidden="1">
      <c r="A298" s="80" t="s">
        <v>971</v>
      </c>
      <c r="B298" s="81" t="s">
        <v>62</v>
      </c>
      <c r="C298" s="18"/>
      <c r="D298" s="21">
        <v>0.3</v>
      </c>
      <c r="E298" s="21">
        <v>0.3</v>
      </c>
      <c r="F298" s="21">
        <v>0.3</v>
      </c>
      <c r="G298" s="21">
        <v>0.3</v>
      </c>
      <c r="H298" s="21">
        <v>5619.0599999999995</v>
      </c>
      <c r="I298" s="21">
        <v>5619.0599999999995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</v>
      </c>
      <c r="P298" s="20"/>
      <c r="Q298" s="82">
        <f t="shared" si="7"/>
        <v>6.4560614938316487E-4</v>
      </c>
      <c r="R298" s="14">
        <v>0</v>
      </c>
      <c r="S298" s="15">
        <v>0</v>
      </c>
      <c r="T298" s="16">
        <v>0</v>
      </c>
    </row>
    <row r="299" spans="1:20" ht="16" hidden="1">
      <c r="A299" s="80" t="s">
        <v>167</v>
      </c>
      <c r="B299" s="81" t="s">
        <v>85</v>
      </c>
      <c r="C299" s="18"/>
      <c r="D299" s="21">
        <v>9549</v>
      </c>
      <c r="E299" s="21">
        <v>8549</v>
      </c>
      <c r="F299" s="21">
        <v>7549</v>
      </c>
      <c r="G299" s="21">
        <v>6549</v>
      </c>
      <c r="H299" s="21">
        <v>5549</v>
      </c>
      <c r="I299" s="21">
        <v>5549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</v>
      </c>
      <c r="P299" s="20"/>
      <c r="Q299" s="82">
        <f t="shared" si="7"/>
        <v>6.3755655268446715E-4</v>
      </c>
      <c r="R299" s="14">
        <v>0</v>
      </c>
      <c r="S299" s="15">
        <v>0</v>
      </c>
      <c r="T299" s="16">
        <v>6.3016316647772061E-9</v>
      </c>
    </row>
    <row r="300" spans="1:20" ht="16" hidden="1">
      <c r="A300" s="80" t="s">
        <v>903</v>
      </c>
      <c r="B300" s="81" t="s">
        <v>85</v>
      </c>
      <c r="C300" s="18"/>
      <c r="D300" s="21">
        <v>5375.8</v>
      </c>
      <c r="E300" s="21">
        <v>5375.8</v>
      </c>
      <c r="F300" s="21">
        <v>5375.8</v>
      </c>
      <c r="G300" s="21">
        <v>5375.8</v>
      </c>
      <c r="H300" s="21">
        <v>5375.8</v>
      </c>
      <c r="I300" s="21">
        <v>5375.8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</v>
      </c>
      <c r="P300" s="20"/>
      <c r="Q300" s="82">
        <f t="shared" si="7"/>
        <v>6.1765660766285077E-4</v>
      </c>
      <c r="R300" s="14">
        <v>0</v>
      </c>
      <c r="S300" s="15">
        <v>0</v>
      </c>
      <c r="T300" s="16">
        <v>0</v>
      </c>
    </row>
    <row r="301" spans="1:20" ht="16" hidden="1">
      <c r="A301" s="80" t="s">
        <v>588</v>
      </c>
      <c r="B301" s="81" t="s">
        <v>60</v>
      </c>
      <c r="C301" s="18"/>
      <c r="D301" s="21">
        <v>648.99</v>
      </c>
      <c r="E301" s="21">
        <v>745.8</v>
      </c>
      <c r="F301" s="21">
        <v>745.8</v>
      </c>
      <c r="G301" s="21">
        <v>2261.8999999999996</v>
      </c>
      <c r="H301" s="21">
        <v>3777.9999999999991</v>
      </c>
      <c r="I301" s="21">
        <v>5294.1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20"/>
      <c r="Q301" s="82">
        <f t="shared" si="7"/>
        <v>6.0826962435877414E-4</v>
      </c>
      <c r="R301" s="14">
        <v>0</v>
      </c>
      <c r="S301" s="15">
        <v>0</v>
      </c>
      <c r="T301" s="16">
        <v>-1.1310620936779592E-9</v>
      </c>
    </row>
    <row r="302" spans="1:20" ht="16">
      <c r="A302" s="80" t="s">
        <v>487</v>
      </c>
      <c r="B302" s="81" t="s">
        <v>67</v>
      </c>
      <c r="C302" s="18"/>
      <c r="D302" s="21">
        <v>5267.36</v>
      </c>
      <c r="E302" s="21">
        <v>5267.36</v>
      </c>
      <c r="F302" s="21">
        <v>5267.36</v>
      </c>
      <c r="G302" s="21">
        <v>5267.37</v>
      </c>
      <c r="H302" s="21">
        <v>5267.37</v>
      </c>
      <c r="I302" s="21">
        <v>5267.38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20"/>
      <c r="Q302" s="82">
        <f t="shared" si="7"/>
        <v>6.0519960974573953E-4</v>
      </c>
      <c r="R302" s="14">
        <v>0</v>
      </c>
      <c r="S302" s="15">
        <v>0</v>
      </c>
      <c r="T302" s="16">
        <v>1.1310620936779592E-9</v>
      </c>
    </row>
    <row r="303" spans="1:20" ht="16">
      <c r="A303" s="80" t="s">
        <v>875</v>
      </c>
      <c r="B303" s="81" t="s">
        <v>67</v>
      </c>
      <c r="C303" s="18"/>
      <c r="D303" s="21">
        <v>205530.49000000002</v>
      </c>
      <c r="E303" s="21">
        <v>5430.49</v>
      </c>
      <c r="F303" s="21">
        <v>5430.49</v>
      </c>
      <c r="G303" s="21">
        <v>5208.3</v>
      </c>
      <c r="H303" s="21">
        <v>5208.3</v>
      </c>
      <c r="I303" s="21">
        <v>5208.3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20"/>
      <c r="Q303" s="82">
        <f t="shared" si="7"/>
        <v>5.9841156845314662E-4</v>
      </c>
      <c r="R303" s="14">
        <v>0</v>
      </c>
      <c r="S303" s="15">
        <v>0</v>
      </c>
      <c r="T303" s="16">
        <v>6.4632119638740517E-10</v>
      </c>
    </row>
    <row r="304" spans="1:20" ht="16" hidden="1">
      <c r="A304" s="80" t="s">
        <v>754</v>
      </c>
      <c r="B304" s="81" t="s">
        <v>85</v>
      </c>
      <c r="C304" s="18"/>
      <c r="D304" s="21">
        <v>62481.88</v>
      </c>
      <c r="E304" s="21">
        <v>731.68</v>
      </c>
      <c r="F304" s="21">
        <v>0.41</v>
      </c>
      <c r="G304" s="21">
        <v>0.41</v>
      </c>
      <c r="H304" s="21">
        <v>0.41</v>
      </c>
      <c r="I304" s="21">
        <v>5165.95</v>
      </c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>
        <v>0</v>
      </c>
      <c r="P304" s="20"/>
      <c r="Q304" s="82">
        <f t="shared" si="7"/>
        <v>5.9354573316639447E-4</v>
      </c>
      <c r="R304" s="14">
        <v>0</v>
      </c>
      <c r="S304" s="15">
        <v>0</v>
      </c>
      <c r="T304" s="16">
        <v>1.6158029909685129E-10</v>
      </c>
    </row>
    <row r="305" spans="1:20" ht="16" hidden="1">
      <c r="A305" s="80" t="s">
        <v>1120</v>
      </c>
      <c r="B305" s="81" t="s">
        <v>62</v>
      </c>
      <c r="C305" s="18"/>
      <c r="D305" s="21">
        <v>5165.84</v>
      </c>
      <c r="E305" s="21">
        <v>5165.84</v>
      </c>
      <c r="F305" s="21">
        <v>5165.84</v>
      </c>
      <c r="G305" s="21">
        <v>5165.84</v>
      </c>
      <c r="H305" s="21">
        <v>5165.84</v>
      </c>
      <c r="I305" s="21">
        <v>5165.83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</v>
      </c>
      <c r="P305" s="20"/>
      <c r="Q305" s="82">
        <f t="shared" si="7"/>
        <v>5.9353194567561736E-4</v>
      </c>
      <c r="R305" s="14">
        <v>0</v>
      </c>
      <c r="S305" s="15">
        <v>0</v>
      </c>
      <c r="T305" s="16">
        <v>2.0359117686203263E-8</v>
      </c>
    </row>
    <row r="306" spans="1:20" ht="16" hidden="1">
      <c r="A306" s="80" t="s">
        <v>609</v>
      </c>
      <c r="B306" s="81" t="s">
        <v>78</v>
      </c>
      <c r="C306" s="18"/>
      <c r="D306" s="21">
        <v>0</v>
      </c>
      <c r="E306" s="21">
        <v>0</v>
      </c>
      <c r="F306" s="21">
        <v>0</v>
      </c>
      <c r="G306" s="21">
        <v>0</v>
      </c>
      <c r="H306" s="21">
        <v>0</v>
      </c>
      <c r="I306" s="21">
        <v>5136.74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20"/>
      <c r="Q306" s="82">
        <f t="shared" si="7"/>
        <v>5.9018962811973501E-4</v>
      </c>
      <c r="R306" s="14">
        <v>0</v>
      </c>
      <c r="S306" s="15">
        <v>0</v>
      </c>
      <c r="T306" s="16">
        <v>-1.6158029909685129E-10</v>
      </c>
    </row>
    <row r="307" spans="1:20" ht="16">
      <c r="A307" s="80" t="s">
        <v>273</v>
      </c>
      <c r="B307" s="81" t="s">
        <v>67</v>
      </c>
      <c r="C307" s="18"/>
      <c r="D307" s="21">
        <v>4966.2100000000019</v>
      </c>
      <c r="E307" s="21">
        <v>4966.2100000000019</v>
      </c>
      <c r="F307" s="21">
        <v>4966.2100000000019</v>
      </c>
      <c r="G307" s="21">
        <v>4966.2100000000019</v>
      </c>
      <c r="H307" s="21">
        <v>7233.1100000000015</v>
      </c>
      <c r="I307" s="21">
        <v>4966.2200000000021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</v>
      </c>
      <c r="P307" s="20"/>
      <c r="Q307" s="82">
        <f t="shared" si="7"/>
        <v>5.7059760372547407E-4</v>
      </c>
      <c r="R307" s="14">
        <v>0</v>
      </c>
      <c r="S307" s="15">
        <v>0</v>
      </c>
      <c r="T307" s="16">
        <v>0</v>
      </c>
    </row>
    <row r="308" spans="1:20" ht="16" hidden="1">
      <c r="A308" s="80" t="s">
        <v>737</v>
      </c>
      <c r="B308" s="81" t="s">
        <v>85</v>
      </c>
      <c r="C308" s="18"/>
      <c r="D308" s="21">
        <v>3888</v>
      </c>
      <c r="E308" s="21">
        <v>3888</v>
      </c>
      <c r="F308" s="21">
        <v>4639.2700000000004</v>
      </c>
      <c r="G308" s="21">
        <v>4693.47</v>
      </c>
      <c r="H308" s="21">
        <v>4689.4699999999993</v>
      </c>
      <c r="I308" s="21">
        <v>4689.46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</v>
      </c>
      <c r="P308" s="20"/>
      <c r="Q308" s="82">
        <f t="shared" si="7"/>
        <v>5.387990541632189E-4</v>
      </c>
      <c r="R308" s="14">
        <v>0</v>
      </c>
      <c r="S308" s="15">
        <v>0</v>
      </c>
      <c r="T308" s="16">
        <v>1.0292665052469418E-7</v>
      </c>
    </row>
    <row r="309" spans="1:20" ht="16" hidden="1">
      <c r="A309" s="80" t="s">
        <v>1165</v>
      </c>
      <c r="B309" s="81" t="s">
        <v>76</v>
      </c>
      <c r="C309" s="18"/>
      <c r="D309" s="21">
        <v>29625.969999999979</v>
      </c>
      <c r="E309" s="21">
        <v>29625.969999999979</v>
      </c>
      <c r="F309" s="21">
        <v>8720.1700000000019</v>
      </c>
      <c r="G309" s="21">
        <v>4625.6800000000021</v>
      </c>
      <c r="H309" s="21">
        <v>4625.6800000000021</v>
      </c>
      <c r="I309" s="21">
        <v>4625.7100000000019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20"/>
      <c r="Q309" s="82">
        <f t="shared" si="7"/>
        <v>5.3147444968788392E-4</v>
      </c>
      <c r="R309" s="14">
        <v>0</v>
      </c>
      <c r="S309" s="15">
        <v>0</v>
      </c>
      <c r="T309" s="16">
        <v>5.3774510075917823E-3</v>
      </c>
    </row>
    <row r="310" spans="1:20" ht="16" hidden="1">
      <c r="A310" s="80" t="s">
        <v>751</v>
      </c>
      <c r="B310" s="81" t="s">
        <v>62</v>
      </c>
      <c r="C310" s="18"/>
      <c r="D310" s="21">
        <v>1268.72</v>
      </c>
      <c r="E310" s="21">
        <v>1268.72</v>
      </c>
      <c r="F310" s="21">
        <v>5202.6099999999997</v>
      </c>
      <c r="G310" s="21">
        <v>1268.71</v>
      </c>
      <c r="H310" s="21">
        <v>2825.18</v>
      </c>
      <c r="I310" s="21">
        <v>4381.6499999999996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</v>
      </c>
      <c r="P310" s="20"/>
      <c r="Q310" s="82">
        <f t="shared" si="7"/>
        <v>5.0343299136238883E-4</v>
      </c>
      <c r="R310" s="14">
        <v>-49955.340000000004</v>
      </c>
      <c r="S310" s="15">
        <v>-0.75698293250358495</v>
      </c>
      <c r="T310" s="16">
        <v>2.5913198097208883E-4</v>
      </c>
    </row>
    <row r="311" spans="1:20" ht="16" hidden="1">
      <c r="A311" s="83" t="s">
        <v>1054</v>
      </c>
      <c r="B311" s="81" t="s">
        <v>78</v>
      </c>
      <c r="C311" s="18"/>
      <c r="D311" s="21">
        <v>-0.33000000000000007</v>
      </c>
      <c r="E311" s="21">
        <v>4786.6000000000022</v>
      </c>
      <c r="F311" s="21">
        <v>4786.6100000000024</v>
      </c>
      <c r="G311" s="21">
        <v>7396.7000000000025</v>
      </c>
      <c r="H311" s="21">
        <v>7440.7700000000023</v>
      </c>
      <c r="I311" s="21">
        <v>4348.7300000000032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</v>
      </c>
      <c r="P311" s="20"/>
      <c r="Q311" s="82">
        <f t="shared" si="7"/>
        <v>4.996506230592043E-4</v>
      </c>
      <c r="R311" s="14">
        <v>0</v>
      </c>
      <c r="S311" s="15">
        <v>0</v>
      </c>
      <c r="T311" s="16">
        <v>3.2316059819370269E-10</v>
      </c>
    </row>
    <row r="312" spans="1:20" ht="16" hidden="1">
      <c r="A312" s="87" t="s">
        <v>1000</v>
      </c>
      <c r="B312" s="81" t="s">
        <v>83</v>
      </c>
      <c r="C312" s="18"/>
      <c r="D312" s="21">
        <v>7994.4247319999986</v>
      </c>
      <c r="E312" s="21">
        <v>7965.5602000000008</v>
      </c>
      <c r="F312" s="21">
        <v>8381.6828019999994</v>
      </c>
      <c r="G312" s="21">
        <v>8073.6761799999995</v>
      </c>
      <c r="H312" s="21">
        <v>4162.4154520000002</v>
      </c>
      <c r="I312" s="21">
        <v>4184.1507999999994</v>
      </c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>
        <v>0</v>
      </c>
      <c r="P312" s="20"/>
      <c r="Q312" s="82">
        <f t="shared" si="7"/>
        <v>4.8074117137501441E-4</v>
      </c>
      <c r="R312" s="14">
        <v>0</v>
      </c>
      <c r="S312" s="15">
        <v>0</v>
      </c>
      <c r="T312" s="16">
        <v>0</v>
      </c>
    </row>
    <row r="313" spans="1:20" ht="16" hidden="1">
      <c r="A313" s="85" t="s">
        <v>836</v>
      </c>
      <c r="B313" s="81" t="s">
        <v>85</v>
      </c>
      <c r="C313" s="18"/>
      <c r="D313" s="21">
        <v>37622.92</v>
      </c>
      <c r="E313" s="21">
        <v>37291.219999999994</v>
      </c>
      <c r="F313" s="21">
        <v>19737.64</v>
      </c>
      <c r="G313" s="21">
        <v>8646.119999999999</v>
      </c>
      <c r="H313" s="21">
        <v>65978</v>
      </c>
      <c r="I313" s="21">
        <v>3902.5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20"/>
      <c r="Q313" s="82">
        <f t="shared" si="7"/>
        <v>4.4838068964698743E-4</v>
      </c>
      <c r="R313" s="14">
        <v>0</v>
      </c>
      <c r="S313" s="15">
        <v>0</v>
      </c>
      <c r="T313" s="16">
        <v>0</v>
      </c>
    </row>
    <row r="314" spans="1:20" ht="16" hidden="1">
      <c r="A314" s="80" t="s">
        <v>307</v>
      </c>
      <c r="B314" s="81" t="s">
        <v>62</v>
      </c>
      <c r="C314" s="18"/>
      <c r="D314" s="21">
        <v>3536.58</v>
      </c>
      <c r="E314" s="21">
        <v>3536.58</v>
      </c>
      <c r="F314" s="21">
        <v>3536.78</v>
      </c>
      <c r="G314" s="21">
        <v>3536.7799999999997</v>
      </c>
      <c r="H314" s="21">
        <v>3536.7799999999997</v>
      </c>
      <c r="I314" s="21">
        <v>3536.7799999999997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</v>
      </c>
      <c r="P314" s="20"/>
      <c r="Q314" s="82">
        <f t="shared" si="7"/>
        <v>4.0636101358864111E-4</v>
      </c>
      <c r="R314" s="14">
        <v>0</v>
      </c>
      <c r="S314" s="15">
        <v>0</v>
      </c>
      <c r="T314" s="16">
        <v>0</v>
      </c>
    </row>
    <row r="315" spans="1:20" ht="16" hidden="1">
      <c r="A315" s="80" t="s">
        <v>558</v>
      </c>
      <c r="B315" s="81" t="s">
        <v>78</v>
      </c>
      <c r="C315" s="18"/>
      <c r="D315" s="21">
        <v>0</v>
      </c>
      <c r="E315" s="21">
        <v>3496.3500000000017</v>
      </c>
      <c r="F315" s="21">
        <v>3496.3500000000017</v>
      </c>
      <c r="G315" s="21">
        <v>3496.3500000000013</v>
      </c>
      <c r="H315" s="21">
        <v>3496.3400000000011</v>
      </c>
      <c r="I315" s="21">
        <v>3496.3500000000013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20"/>
      <c r="Q315" s="82">
        <f t="shared" si="7"/>
        <v>4.0171577815432285E-4</v>
      </c>
      <c r="R315" s="14">
        <v>0</v>
      </c>
      <c r="S315" s="15">
        <v>0</v>
      </c>
      <c r="T315" s="16">
        <v>1.61903459695045E-7</v>
      </c>
    </row>
    <row r="316" spans="1:20" ht="16" hidden="1">
      <c r="A316" s="80" t="s">
        <v>635</v>
      </c>
      <c r="B316" s="81" t="s">
        <v>85</v>
      </c>
      <c r="C316" s="18"/>
      <c r="D316" s="21">
        <v>0.01</v>
      </c>
      <c r="E316" s="21">
        <v>0.01</v>
      </c>
      <c r="F316" s="21">
        <v>0.01</v>
      </c>
      <c r="G316" s="21">
        <v>1729.04</v>
      </c>
      <c r="H316" s="21">
        <v>3458.0699999999997</v>
      </c>
      <c r="I316" s="21">
        <v>3458.07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20"/>
      <c r="Q316" s="82">
        <f t="shared" si="7"/>
        <v>3.9731756859642738E-4</v>
      </c>
      <c r="R316" s="14">
        <v>0</v>
      </c>
      <c r="S316" s="15">
        <v>0</v>
      </c>
      <c r="T316" s="16">
        <v>3.231605981937031E-10</v>
      </c>
    </row>
    <row r="317" spans="1:20" ht="16">
      <c r="A317" s="80" t="s">
        <v>971</v>
      </c>
      <c r="B317" s="81" t="s">
        <v>67</v>
      </c>
      <c r="C317" s="18"/>
      <c r="D317" s="21">
        <v>3176.9</v>
      </c>
      <c r="E317" s="21">
        <v>4191.8500000000004</v>
      </c>
      <c r="F317" s="21">
        <v>5260.6900000000014</v>
      </c>
      <c r="G317" s="21">
        <v>6302.59</v>
      </c>
      <c r="H317" s="21">
        <v>3871.4700000000003</v>
      </c>
      <c r="I317" s="21">
        <v>3176.85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20"/>
      <c r="Q317" s="82">
        <f t="shared" si="7"/>
        <v>3.6500658396029003E-4</v>
      </c>
      <c r="R317" s="14">
        <v>0</v>
      </c>
      <c r="S317" s="15">
        <v>0</v>
      </c>
      <c r="T317" s="16">
        <v>3.2316059819370259E-10</v>
      </c>
    </row>
    <row r="318" spans="1:20" ht="16" hidden="1">
      <c r="A318" s="80" t="s">
        <v>548</v>
      </c>
      <c r="B318" s="81" t="s">
        <v>66</v>
      </c>
      <c r="C318" s="18"/>
      <c r="D318" s="21">
        <v>3132.9299999999971</v>
      </c>
      <c r="E318" s="21">
        <v>3132.9599999999973</v>
      </c>
      <c r="F318" s="21">
        <v>3132.9899999999975</v>
      </c>
      <c r="G318" s="21">
        <v>3133.0199999999977</v>
      </c>
      <c r="H318" s="21">
        <v>3133.0499999999979</v>
      </c>
      <c r="I318" s="21">
        <v>3133.0799999999981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20"/>
      <c r="Q318" s="82">
        <f t="shared" si="7"/>
        <v>3.5997759669934205E-4</v>
      </c>
      <c r="R318" s="14">
        <v>0</v>
      </c>
      <c r="S318" s="15">
        <v>0</v>
      </c>
      <c r="T318" s="16">
        <v>0</v>
      </c>
    </row>
    <row r="319" spans="1:20" ht="16" hidden="1">
      <c r="A319" s="80" t="s">
        <v>1202</v>
      </c>
      <c r="B319" s="81" t="s">
        <v>85</v>
      </c>
      <c r="C319" s="18"/>
      <c r="D319" s="21">
        <v>4015.9400000000005</v>
      </c>
      <c r="E319" s="21">
        <v>4692.0700000000006</v>
      </c>
      <c r="F319" s="21">
        <v>3239.8600000000006</v>
      </c>
      <c r="G319" s="21">
        <v>1475.5700000000002</v>
      </c>
      <c r="H319" s="21">
        <v>2252.3000000000006</v>
      </c>
      <c r="I319" s="21">
        <v>3038.3500000000004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20"/>
      <c r="Q319" s="82">
        <f t="shared" si="7"/>
        <v>3.490935216883855E-4</v>
      </c>
      <c r="R319" s="14">
        <v>0</v>
      </c>
      <c r="S319" s="15">
        <v>0</v>
      </c>
      <c r="T319" s="16">
        <v>0</v>
      </c>
    </row>
    <row r="320" spans="1:20" ht="16">
      <c r="A320" s="80" t="s">
        <v>975</v>
      </c>
      <c r="B320" s="81" t="s">
        <v>67</v>
      </c>
      <c r="C320" s="18"/>
      <c r="D320" s="21">
        <v>2962.7500000000005</v>
      </c>
      <c r="E320" s="21">
        <v>2962.7500000000005</v>
      </c>
      <c r="F320" s="21">
        <v>2962.7500000000005</v>
      </c>
      <c r="G320" s="21">
        <v>2962.7500000000005</v>
      </c>
      <c r="H320" s="21">
        <v>2962.7500000000005</v>
      </c>
      <c r="I320" s="21">
        <v>2962.7500000000005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</v>
      </c>
      <c r="P320" s="20"/>
      <c r="Q320" s="82">
        <f t="shared" si="7"/>
        <v>3.4040740249881155E-4</v>
      </c>
      <c r="R320" s="14">
        <v>0</v>
      </c>
      <c r="S320" s="15">
        <v>0</v>
      </c>
      <c r="T320" s="16">
        <v>-1.6158029909685131E-9</v>
      </c>
    </row>
    <row r="321" spans="1:20" ht="16" hidden="1">
      <c r="A321" s="80" t="s">
        <v>1033</v>
      </c>
      <c r="B321" s="81" t="s">
        <v>60</v>
      </c>
      <c r="C321" s="18"/>
      <c r="D321" s="21">
        <v>563.48</v>
      </c>
      <c r="E321" s="21">
        <v>1033.05</v>
      </c>
      <c r="F321" s="21">
        <v>1502.62</v>
      </c>
      <c r="G321" s="21">
        <v>1972.1899999999998</v>
      </c>
      <c r="H321" s="21">
        <v>2441.7599999999998</v>
      </c>
      <c r="I321" s="21">
        <v>2911.33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</v>
      </c>
      <c r="P321" s="20"/>
      <c r="Q321" s="82">
        <f t="shared" si="7"/>
        <v>3.3449946270082355E-4</v>
      </c>
      <c r="R321" s="14">
        <v>274820.31</v>
      </c>
      <c r="S321" s="15">
        <v>0</v>
      </c>
      <c r="T321" s="16">
        <v>4.4405547887689393E-3</v>
      </c>
    </row>
    <row r="322" spans="1:20" ht="16" hidden="1">
      <c r="A322" s="80" t="s">
        <v>868</v>
      </c>
      <c r="B322" s="81" t="s">
        <v>60</v>
      </c>
      <c r="C322" s="18"/>
      <c r="D322" s="21">
        <v>0.02</v>
      </c>
      <c r="E322" s="21">
        <v>0.02</v>
      </c>
      <c r="F322" s="21">
        <v>1.9999999999999997E-2</v>
      </c>
      <c r="G322" s="21">
        <v>1.9999999999999997E-2</v>
      </c>
      <c r="H322" s="21">
        <v>1.9999999999999997E-2</v>
      </c>
      <c r="I322" s="21">
        <v>2884.7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</v>
      </c>
      <c r="P322" s="20"/>
      <c r="Q322" s="82">
        <f t="shared" si="7"/>
        <v>3.3143978870587177E-4</v>
      </c>
      <c r="R322" s="14">
        <v>0</v>
      </c>
      <c r="S322" s="15">
        <v>0</v>
      </c>
      <c r="T322" s="16">
        <v>0</v>
      </c>
    </row>
    <row r="323" spans="1:20" ht="16" hidden="1">
      <c r="A323" s="80" t="s">
        <v>689</v>
      </c>
      <c r="B323" s="81" t="s">
        <v>62</v>
      </c>
      <c r="C323" s="18"/>
      <c r="D323" s="21">
        <v>7.76</v>
      </c>
      <c r="E323" s="21">
        <v>7.76</v>
      </c>
      <c r="F323" s="21">
        <v>41335.880000000005</v>
      </c>
      <c r="G323" s="21">
        <v>2845.52</v>
      </c>
      <c r="H323" s="21">
        <v>2845.5200000000004</v>
      </c>
      <c r="I323" s="21">
        <v>2845.5200000000004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</v>
      </c>
      <c r="P323" s="20"/>
      <c r="Q323" s="82">
        <f t="shared" si="7"/>
        <v>3.2693817296714818E-4</v>
      </c>
      <c r="R323" s="14">
        <v>-27799.200000000001</v>
      </c>
      <c r="S323" s="15">
        <v>-1.0000172669820768</v>
      </c>
      <c r="T323" s="16">
        <v>-7.7558543566488637E-9</v>
      </c>
    </row>
    <row r="324" spans="1:20" ht="16" hidden="1">
      <c r="A324" s="80" t="s">
        <v>1048</v>
      </c>
      <c r="B324" s="81" t="s">
        <v>85</v>
      </c>
      <c r="C324" s="18"/>
      <c r="D324" s="21">
        <v>3.05</v>
      </c>
      <c r="E324" s="21">
        <v>222129.57000000004</v>
      </c>
      <c r="F324" s="21">
        <v>244929.82</v>
      </c>
      <c r="G324" s="21">
        <v>65475.97</v>
      </c>
      <c r="H324" s="21">
        <v>2775.97</v>
      </c>
      <c r="I324" s="21">
        <v>2775.97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20"/>
      <c r="Q324" s="82">
        <f t="shared" si="7"/>
        <v>3.1894717310425303E-4</v>
      </c>
      <c r="R324" s="14">
        <v>0</v>
      </c>
      <c r="S324" s="15">
        <v>0</v>
      </c>
      <c r="T324" s="16">
        <v>0</v>
      </c>
    </row>
    <row r="325" spans="1:20" ht="16" hidden="1">
      <c r="A325" s="80" t="s">
        <v>1227</v>
      </c>
      <c r="B325" s="81" t="s">
        <v>62</v>
      </c>
      <c r="C325" s="18"/>
      <c r="D325" s="21">
        <v>2756.76</v>
      </c>
      <c r="E325" s="21">
        <v>2756.76</v>
      </c>
      <c r="F325" s="21">
        <v>2756.76</v>
      </c>
      <c r="G325" s="21">
        <v>2756.7700000000004</v>
      </c>
      <c r="H325" s="21">
        <v>2756.76</v>
      </c>
      <c r="I325" s="21">
        <v>2756.7700000000004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20"/>
      <c r="Q325" s="82">
        <f t="shared" si="7"/>
        <v>3.1674117457991687E-4</v>
      </c>
      <c r="R325" s="14">
        <v>0</v>
      </c>
      <c r="S325" s="15">
        <v>0</v>
      </c>
      <c r="T325" s="16">
        <v>3.1338822170432504E-4</v>
      </c>
    </row>
    <row r="326" spans="1:20" ht="16">
      <c r="A326" s="80" t="s">
        <v>173</v>
      </c>
      <c r="B326" s="81" t="s">
        <v>67</v>
      </c>
      <c r="C326" s="18"/>
      <c r="D326" s="21">
        <v>2732.31</v>
      </c>
      <c r="E326" s="21">
        <v>2732.31</v>
      </c>
      <c r="F326" s="21">
        <v>2732.31</v>
      </c>
      <c r="G326" s="21">
        <v>2732.31</v>
      </c>
      <c r="H326" s="21">
        <v>2732.31</v>
      </c>
      <c r="I326" s="21">
        <v>2732.31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</v>
      </c>
      <c r="P326" s="20"/>
      <c r="Q326" s="82">
        <f t="shared" si="7"/>
        <v>3.1393082437651765E-4</v>
      </c>
      <c r="R326" s="14">
        <v>0</v>
      </c>
      <c r="S326" s="15">
        <v>0</v>
      </c>
      <c r="T326" s="16">
        <v>6.560160143332163E-4</v>
      </c>
    </row>
    <row r="327" spans="1:20" ht="16" hidden="1">
      <c r="A327" s="80" t="s">
        <v>682</v>
      </c>
      <c r="B327" s="81" t="s">
        <v>62</v>
      </c>
      <c r="C327" s="18"/>
      <c r="D327" s="21">
        <v>-5.3900000000000015</v>
      </c>
      <c r="E327" s="21">
        <v>-5.3899999999999908</v>
      </c>
      <c r="F327" s="21">
        <v>-5.3900000000000121</v>
      </c>
      <c r="G327" s="21">
        <v>1342.0700000000004</v>
      </c>
      <c r="H327" s="21">
        <v>2689.5300000000007</v>
      </c>
      <c r="I327" s="21">
        <v>2689.5300000000007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</v>
      </c>
      <c r="P327" s="20"/>
      <c r="Q327" s="82">
        <f t="shared" si="7"/>
        <v>3.0901558391448105E-4</v>
      </c>
      <c r="R327" s="14">
        <v>0</v>
      </c>
      <c r="S327" s="15">
        <v>0</v>
      </c>
      <c r="T327" s="16">
        <v>0</v>
      </c>
    </row>
    <row r="328" spans="1:20" ht="16" hidden="1">
      <c r="A328" s="80" t="s">
        <v>477</v>
      </c>
      <c r="B328" s="81" t="s">
        <v>85</v>
      </c>
      <c r="C328" s="18"/>
      <c r="D328" s="21">
        <v>2620.9699999999998</v>
      </c>
      <c r="E328" s="21">
        <v>2620.9699999999998</v>
      </c>
      <c r="F328" s="21">
        <v>2620.9699999999998</v>
      </c>
      <c r="G328" s="21">
        <v>2620.9699999999998</v>
      </c>
      <c r="H328" s="21">
        <v>2620.9699999999998</v>
      </c>
      <c r="I328" s="21">
        <v>2620.9699999999998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20"/>
      <c r="Q328" s="82">
        <f t="shared" si="7"/>
        <v>3.0113833085049701E-4</v>
      </c>
      <c r="R328" s="14">
        <v>-34649.450000000012</v>
      </c>
      <c r="S328" s="15">
        <v>-0.9996653303924723</v>
      </c>
      <c r="T328" s="16">
        <v>1.8743314695234753E-7</v>
      </c>
    </row>
    <row r="329" spans="1:20" ht="16" hidden="1">
      <c r="A329" s="80" t="s">
        <v>211</v>
      </c>
      <c r="B329" s="81" t="s">
        <v>62</v>
      </c>
      <c r="C329" s="18"/>
      <c r="D329" s="21">
        <v>2514.6200000000003</v>
      </c>
      <c r="E329" s="21">
        <v>3349.96</v>
      </c>
      <c r="F329" s="21">
        <v>3349.9600000000009</v>
      </c>
      <c r="G329" s="21">
        <v>2551.4699999999998</v>
      </c>
      <c r="H329" s="21">
        <v>2551.4899999999998</v>
      </c>
      <c r="I329" s="21">
        <v>2551.5099999999998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</v>
      </c>
      <c r="P329" s="20"/>
      <c r="Q329" s="82">
        <f t="shared" si="7"/>
        <v>2.9315767160568475E-4</v>
      </c>
      <c r="R329" s="14">
        <v>0</v>
      </c>
      <c r="S329" s="15">
        <v>0</v>
      </c>
      <c r="T329" s="16">
        <v>3.1699514640500422E-3</v>
      </c>
    </row>
    <row r="330" spans="1:20" ht="16">
      <c r="A330" s="80" t="s">
        <v>365</v>
      </c>
      <c r="B330" s="81" t="s">
        <v>67</v>
      </c>
      <c r="C330" s="18"/>
      <c r="D330" s="21">
        <v>0</v>
      </c>
      <c r="E330" s="21">
        <v>2505.2529999999983</v>
      </c>
      <c r="F330" s="21">
        <v>2636.0915299999979</v>
      </c>
      <c r="G330" s="21">
        <v>2539.2576999999978</v>
      </c>
      <c r="H330" s="21">
        <v>2535.799869999998</v>
      </c>
      <c r="I330" s="21">
        <v>2549.0429999999983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</v>
      </c>
      <c r="P330" s="20"/>
      <c r="Q330" s="82">
        <f t="shared" si="7"/>
        <v>2.9287422377445864E-4</v>
      </c>
      <c r="R330" s="14">
        <v>-0.01</v>
      </c>
      <c r="S330" s="15">
        <v>2882303761517117.5</v>
      </c>
      <c r="T330" s="16">
        <v>-1.6158029909685137E-10</v>
      </c>
    </row>
    <row r="331" spans="1:20" ht="16" hidden="1">
      <c r="A331" s="80" t="s">
        <v>135</v>
      </c>
      <c r="B331" s="81" t="s">
        <v>62</v>
      </c>
      <c r="C331" s="18"/>
      <c r="D331" s="21">
        <v>1880.6</v>
      </c>
      <c r="E331" s="21">
        <v>2526.7599999999998</v>
      </c>
      <c r="F331" s="21">
        <v>2526.7600000000002</v>
      </c>
      <c r="G331" s="21">
        <v>2526.7599999999998</v>
      </c>
      <c r="H331" s="21">
        <v>2526.7599999999998</v>
      </c>
      <c r="I331" s="21">
        <v>2526.7600000000002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</v>
      </c>
      <c r="P331" s="20"/>
      <c r="Q331" s="82">
        <f t="shared" ref="Q331:Q394" si="8">IFERROR(I331/$I$4," ")</f>
        <v>2.9031400163290763E-4</v>
      </c>
      <c r="R331" s="14">
        <v>1.5543122344752192E-15</v>
      </c>
      <c r="S331" s="15">
        <v>5.359697360259351E-15</v>
      </c>
      <c r="T331" s="16">
        <v>4.6858286738087351E-9</v>
      </c>
    </row>
    <row r="332" spans="1:20" ht="16" hidden="1">
      <c r="A332" s="80" t="s">
        <v>606</v>
      </c>
      <c r="B332" s="81" t="s">
        <v>60</v>
      </c>
      <c r="C332" s="18"/>
      <c r="D332" s="21">
        <v>0</v>
      </c>
      <c r="E332" s="21">
        <v>0</v>
      </c>
      <c r="F332" s="21">
        <v>0</v>
      </c>
      <c r="G332" s="21">
        <v>0</v>
      </c>
      <c r="H332" s="21">
        <v>2066.1</v>
      </c>
      <c r="I332" s="21">
        <v>2253.9199999999996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20"/>
      <c r="Q332" s="82">
        <f t="shared" si="8"/>
        <v>2.5896584343603786E-4</v>
      </c>
      <c r="R332" s="14">
        <v>9.9999999999995648E-3</v>
      </c>
      <c r="S332" s="15">
        <v>-1.1627906976743688E-2</v>
      </c>
      <c r="T332" s="16">
        <v>-1.3734325423232359E-8</v>
      </c>
    </row>
    <row r="333" spans="1:20" ht="16" hidden="1">
      <c r="A333" s="80" t="s">
        <v>1088</v>
      </c>
      <c r="B333" s="81" t="s">
        <v>85</v>
      </c>
      <c r="C333" s="18"/>
      <c r="D333" s="21">
        <v>5954.98</v>
      </c>
      <c r="E333" s="21">
        <v>1910.38</v>
      </c>
      <c r="F333" s="21">
        <v>4</v>
      </c>
      <c r="G333" s="21">
        <v>3035.6</v>
      </c>
      <c r="H333" s="21">
        <v>2547.0300000000002</v>
      </c>
      <c r="I333" s="21">
        <v>2209.92</v>
      </c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>
        <v>0</v>
      </c>
      <c r="P333" s="20"/>
      <c r="Q333" s="82">
        <f t="shared" si="8"/>
        <v>2.5391043015110071E-4</v>
      </c>
      <c r="R333" s="14">
        <v>0</v>
      </c>
      <c r="S333" s="15">
        <v>0</v>
      </c>
      <c r="T333" s="16">
        <v>3.7163468792275798E-8</v>
      </c>
    </row>
    <row r="334" spans="1:20" ht="16" hidden="1">
      <c r="A334" s="80" t="s">
        <v>678</v>
      </c>
      <c r="B334" s="81" t="s">
        <v>62</v>
      </c>
      <c r="C334" s="18"/>
      <c r="D334" s="21">
        <v>2173.2699999999995</v>
      </c>
      <c r="E334" s="21">
        <v>2173.2699999999995</v>
      </c>
      <c r="F334" s="21">
        <v>2173.2699999999995</v>
      </c>
      <c r="G334" s="21">
        <v>2173.2699999999995</v>
      </c>
      <c r="H334" s="21">
        <v>65173.270000000004</v>
      </c>
      <c r="I334" s="21">
        <v>2173.2699999999995</v>
      </c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>
        <v>0</v>
      </c>
      <c r="P334" s="20"/>
      <c r="Q334" s="82">
        <f t="shared" si="8"/>
        <v>2.496995006762609E-4</v>
      </c>
      <c r="R334" s="14">
        <v>0</v>
      </c>
      <c r="S334" s="15">
        <v>0</v>
      </c>
      <c r="T334" s="16">
        <v>2.1262038092374415E-3</v>
      </c>
    </row>
    <row r="335" spans="1:20" ht="16">
      <c r="A335" s="80" t="s">
        <v>596</v>
      </c>
      <c r="B335" s="81" t="s">
        <v>67</v>
      </c>
      <c r="C335" s="18"/>
      <c r="D335" s="21">
        <v>2082.7400000000002</v>
      </c>
      <c r="E335" s="21">
        <v>2082.7400000000002</v>
      </c>
      <c r="F335" s="21">
        <v>2082.7400000000002</v>
      </c>
      <c r="G335" s="21">
        <v>2082.7400000000002</v>
      </c>
      <c r="H335" s="21">
        <v>2082.7400000000002</v>
      </c>
      <c r="I335" s="21">
        <v>2082.7400000000002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20"/>
      <c r="Q335" s="82">
        <f t="shared" si="8"/>
        <v>2.3929798784250267E-4</v>
      </c>
      <c r="R335" s="14">
        <v>0</v>
      </c>
      <c r="S335" s="15">
        <v>0</v>
      </c>
      <c r="T335" s="16">
        <v>0</v>
      </c>
    </row>
    <row r="336" spans="1:20" ht="16" hidden="1">
      <c r="A336" s="80" t="s">
        <v>844</v>
      </c>
      <c r="B336" s="81" t="s">
        <v>78</v>
      </c>
      <c r="C336" s="18"/>
      <c r="D336" s="21">
        <v>2039.1699999999998</v>
      </c>
      <c r="E336" s="21">
        <v>3074.1700000000028</v>
      </c>
      <c r="F336" s="21">
        <v>2039.1699999999998</v>
      </c>
      <c r="G336" s="21">
        <v>2039.1699999999998</v>
      </c>
      <c r="H336" s="21">
        <v>2039.1799999999998</v>
      </c>
      <c r="I336" s="21">
        <v>2039.1799999999998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20"/>
      <c r="Q336" s="82">
        <f t="shared" si="8"/>
        <v>2.342931286904148E-4</v>
      </c>
      <c r="R336" s="14">
        <v>0</v>
      </c>
      <c r="S336" s="15">
        <v>0</v>
      </c>
      <c r="T336" s="16">
        <v>-3.2316059819370259E-10</v>
      </c>
    </row>
    <row r="337" spans="1:20" ht="16">
      <c r="A337" s="80" t="s">
        <v>908</v>
      </c>
      <c r="B337" s="81" t="s">
        <v>67</v>
      </c>
      <c r="C337" s="18"/>
      <c r="D337" s="21">
        <v>7.8</v>
      </c>
      <c r="E337" s="21">
        <v>7.8</v>
      </c>
      <c r="F337" s="21">
        <v>7.8</v>
      </c>
      <c r="G337" s="21">
        <v>7.8</v>
      </c>
      <c r="H337" s="21">
        <v>7.8</v>
      </c>
      <c r="I337" s="21">
        <v>2007.81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20"/>
      <c r="Q337" s="82">
        <f t="shared" si="8"/>
        <v>2.3068884880976753E-4</v>
      </c>
      <c r="R337" s="14">
        <v>0</v>
      </c>
      <c r="S337" s="15">
        <v>0</v>
      </c>
      <c r="T337" s="16">
        <v>4.4501075776318434E-3</v>
      </c>
    </row>
    <row r="338" spans="1:20" ht="16" hidden="1">
      <c r="A338" s="80" t="s">
        <v>1019</v>
      </c>
      <c r="B338" s="81" t="s">
        <v>60</v>
      </c>
      <c r="C338" s="18"/>
      <c r="D338" s="21">
        <v>0.12</v>
      </c>
      <c r="E338" s="21">
        <v>0.12</v>
      </c>
      <c r="F338" s="21">
        <v>0.12</v>
      </c>
      <c r="G338" s="21">
        <v>0.12</v>
      </c>
      <c r="H338" s="21">
        <v>0.12</v>
      </c>
      <c r="I338" s="21">
        <v>1965.12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20"/>
      <c r="Q338" s="82">
        <f t="shared" si="8"/>
        <v>2.2578394896581366E-4</v>
      </c>
      <c r="R338" s="14">
        <v>0</v>
      </c>
      <c r="S338" s="15">
        <v>0</v>
      </c>
      <c r="T338" s="16">
        <v>1.6158029909685129E-10</v>
      </c>
    </row>
    <row r="339" spans="1:20" ht="16" hidden="1">
      <c r="A339" s="80" t="s">
        <v>1101</v>
      </c>
      <c r="B339" s="81" t="s">
        <v>78</v>
      </c>
      <c r="C339" s="18"/>
      <c r="D339" s="21">
        <v>10486.59</v>
      </c>
      <c r="E339" s="21">
        <v>10486.59</v>
      </c>
      <c r="F339" s="21">
        <v>12426.12</v>
      </c>
      <c r="G339" s="21">
        <v>12426.12</v>
      </c>
      <c r="H339" s="21">
        <v>1939.54</v>
      </c>
      <c r="I339" s="21">
        <v>1939.54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20"/>
      <c r="Q339" s="82">
        <f t="shared" si="8"/>
        <v>2.2284491551516155E-4</v>
      </c>
      <c r="R339" s="14">
        <v>0</v>
      </c>
      <c r="S339" s="15">
        <v>0</v>
      </c>
      <c r="T339" s="16">
        <v>0</v>
      </c>
    </row>
    <row r="340" spans="1:20" ht="16" hidden="1">
      <c r="A340" s="80" t="s">
        <v>582</v>
      </c>
      <c r="B340" s="81" t="s">
        <v>62</v>
      </c>
      <c r="C340" s="18"/>
      <c r="D340" s="21">
        <v>1867.37</v>
      </c>
      <c r="E340" s="21">
        <v>1867.37</v>
      </c>
      <c r="F340" s="21">
        <v>1867.37</v>
      </c>
      <c r="G340" s="21">
        <v>1867.37</v>
      </c>
      <c r="H340" s="21">
        <v>1867.37</v>
      </c>
      <c r="I340" s="21">
        <v>1867.37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20"/>
      <c r="Q340" s="82">
        <f t="shared" si="8"/>
        <v>2.1455288877029975E-4</v>
      </c>
      <c r="R340" s="14">
        <v>-104654.07999999984</v>
      </c>
      <c r="S340" s="15">
        <v>-8.8256323409700618E-2</v>
      </c>
      <c r="T340" s="16">
        <v>1.7469138991683127E-2</v>
      </c>
    </row>
    <row r="341" spans="1:20" ht="16" hidden="1">
      <c r="A341" s="80" t="s">
        <v>764</v>
      </c>
      <c r="B341" s="81" t="s">
        <v>62</v>
      </c>
      <c r="C341" s="18"/>
      <c r="D341" s="21">
        <v>4724.04</v>
      </c>
      <c r="E341" s="21">
        <v>4724.04</v>
      </c>
      <c r="F341" s="21">
        <v>4724.04</v>
      </c>
      <c r="G341" s="21">
        <v>4724.04</v>
      </c>
      <c r="H341" s="21">
        <v>1838.79</v>
      </c>
      <c r="I341" s="21">
        <v>1838.79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20"/>
      <c r="Q341" s="82">
        <f t="shared" si="8"/>
        <v>2.112691680502201E-4</v>
      </c>
      <c r="R341" s="14">
        <v>0.11000000000058208</v>
      </c>
      <c r="S341" s="15">
        <v>9.6426081256840417E-7</v>
      </c>
      <c r="T341" s="16">
        <v>1.8432616785510384E-3</v>
      </c>
    </row>
    <row r="342" spans="1:20" ht="16" hidden="1">
      <c r="A342" s="80" t="s">
        <v>1210</v>
      </c>
      <c r="B342" s="81" t="s">
        <v>62</v>
      </c>
      <c r="C342" s="18"/>
      <c r="D342" s="21">
        <v>405.51999999999987</v>
      </c>
      <c r="E342" s="21">
        <v>405.51999999999987</v>
      </c>
      <c r="F342" s="21">
        <v>405.51999999999987</v>
      </c>
      <c r="G342" s="21">
        <v>405.51999999999987</v>
      </c>
      <c r="H342" s="21">
        <v>405.51999999999987</v>
      </c>
      <c r="I342" s="21">
        <v>1835.8999999999999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20"/>
      <c r="Q342" s="82">
        <f t="shared" si="8"/>
        <v>2.109371193140049E-4</v>
      </c>
      <c r="R342" s="14">
        <v>0</v>
      </c>
      <c r="S342" s="15">
        <v>0</v>
      </c>
      <c r="T342" s="16">
        <v>0</v>
      </c>
    </row>
    <row r="343" spans="1:20" ht="16" hidden="1">
      <c r="A343" s="80" t="s">
        <v>118</v>
      </c>
      <c r="B343" s="81" t="s">
        <v>66</v>
      </c>
      <c r="C343" s="18"/>
      <c r="D343" s="21">
        <v>0.01</v>
      </c>
      <c r="E343" s="21">
        <v>0.01</v>
      </c>
      <c r="F343" s="21">
        <v>0.01</v>
      </c>
      <c r="G343" s="21">
        <v>0.01</v>
      </c>
      <c r="H343" s="21">
        <v>1799.33</v>
      </c>
      <c r="I343" s="21">
        <v>1799.34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20"/>
      <c r="Q343" s="82">
        <f t="shared" si="8"/>
        <v>2.0673653045724799E-4</v>
      </c>
      <c r="R343" s="14">
        <v>0</v>
      </c>
      <c r="S343" s="15">
        <v>0</v>
      </c>
      <c r="T343" s="16">
        <v>0</v>
      </c>
    </row>
    <row r="344" spans="1:20" ht="16" hidden="1">
      <c r="A344" s="80" t="s">
        <v>549</v>
      </c>
      <c r="B344" s="81" t="s">
        <v>85</v>
      </c>
      <c r="C344" s="18"/>
      <c r="D344" s="21">
        <v>2143.79</v>
      </c>
      <c r="E344" s="21">
        <v>7.1800000000000006</v>
      </c>
      <c r="F344" s="21">
        <v>7.1800000000000006</v>
      </c>
      <c r="G344" s="21">
        <v>7.18</v>
      </c>
      <c r="H344" s="21">
        <v>102993.48</v>
      </c>
      <c r="I344" s="21">
        <v>1703.07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20"/>
      <c r="Q344" s="82">
        <f t="shared" si="8"/>
        <v>1.9567551598131833E-4</v>
      </c>
      <c r="R344" s="14">
        <v>40000</v>
      </c>
      <c r="S344" s="15">
        <v>0</v>
      </c>
      <c r="T344" s="16">
        <v>6.4632119638740519E-4</v>
      </c>
    </row>
    <row r="345" spans="1:20" ht="16" hidden="1">
      <c r="A345" s="83" t="s">
        <v>1067</v>
      </c>
      <c r="B345" s="81" t="s">
        <v>76</v>
      </c>
      <c r="C345" s="18"/>
      <c r="D345" s="21">
        <v>16230.92</v>
      </c>
      <c r="E345" s="21">
        <v>10799.04</v>
      </c>
      <c r="F345" s="21">
        <v>10120.040000000001</v>
      </c>
      <c r="G345" s="21">
        <v>19669.16</v>
      </c>
      <c r="H345" s="21">
        <v>1659.46</v>
      </c>
      <c r="I345" s="21">
        <v>1659.4599999999998</v>
      </c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>
        <v>0</v>
      </c>
      <c r="P345" s="20"/>
      <c r="Q345" s="82">
        <f t="shared" si="8"/>
        <v>1.906649120414067E-4</v>
      </c>
      <c r="R345" s="14">
        <v>0</v>
      </c>
      <c r="S345" s="15">
        <v>0</v>
      </c>
      <c r="T345" s="16">
        <v>0</v>
      </c>
    </row>
    <row r="346" spans="1:20" ht="16" hidden="1">
      <c r="A346" s="87" t="s">
        <v>245</v>
      </c>
      <c r="B346" s="81" t="s">
        <v>83</v>
      </c>
      <c r="C346" s="18"/>
      <c r="D346" s="21">
        <v>1019.4655369999999</v>
      </c>
      <c r="E346" s="21">
        <v>1036.872537</v>
      </c>
      <c r="F346" s="21">
        <v>1036.872537</v>
      </c>
      <c r="G346" s="21">
        <v>1036.872537</v>
      </c>
      <c r="H346" s="21">
        <v>1036.872537</v>
      </c>
      <c r="I346" s="21">
        <v>1567.237292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20"/>
      <c r="Q346" s="82">
        <f t="shared" si="8"/>
        <v>1.8006891424149571E-4</v>
      </c>
      <c r="R346" s="14">
        <v>0</v>
      </c>
      <c r="S346" s="15">
        <v>0</v>
      </c>
      <c r="T346" s="16">
        <v>4.8474089729055377E-10</v>
      </c>
    </row>
    <row r="347" spans="1:20" ht="16" hidden="1">
      <c r="A347" s="85" t="s">
        <v>749</v>
      </c>
      <c r="B347" s="81" t="s">
        <v>78</v>
      </c>
      <c r="C347" s="18"/>
      <c r="D347" s="21">
        <v>0</v>
      </c>
      <c r="E347" s="21">
        <v>1090.4000000000001</v>
      </c>
      <c r="F347" s="21">
        <v>1090.4000000000001</v>
      </c>
      <c r="G347" s="21">
        <v>339.13</v>
      </c>
      <c r="H347" s="21">
        <v>339.13</v>
      </c>
      <c r="I347" s="21">
        <v>1487.5300000000002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20"/>
      <c r="Q347" s="82">
        <f t="shared" si="8"/>
        <v>1.7091088463051462E-4</v>
      </c>
      <c r="R347" s="14">
        <v>-9.999999999999995E-3</v>
      </c>
      <c r="S347" s="15">
        <v>-0.12499999999999993</v>
      </c>
      <c r="T347" s="16">
        <v>1.1310620936779592E-9</v>
      </c>
    </row>
    <row r="348" spans="1:20" ht="16" hidden="1">
      <c r="A348" s="80" t="s">
        <v>779</v>
      </c>
      <c r="B348" s="81" t="s">
        <v>62</v>
      </c>
      <c r="C348" s="18"/>
      <c r="D348" s="21">
        <v>77760</v>
      </c>
      <c r="E348" s="21">
        <v>0</v>
      </c>
      <c r="F348" s="21">
        <v>0</v>
      </c>
      <c r="G348" s="21">
        <v>31797.59</v>
      </c>
      <c r="H348" s="21">
        <v>1458.49</v>
      </c>
      <c r="I348" s="21">
        <v>1458.49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20"/>
      <c r="Q348" s="82">
        <f t="shared" si="8"/>
        <v>1.6757431186245603E-4</v>
      </c>
      <c r="R348" s="14">
        <v>-203431.02000000002</v>
      </c>
      <c r="S348" s="15">
        <v>-0.22309457836833035</v>
      </c>
      <c r="T348" s="16">
        <v>1.1446816486147435E-2</v>
      </c>
    </row>
    <row r="349" spans="1:20" ht="16" hidden="1">
      <c r="A349" s="80" t="s">
        <v>1117</v>
      </c>
      <c r="B349" s="81" t="s">
        <v>85</v>
      </c>
      <c r="C349" s="18"/>
      <c r="D349" s="21">
        <v>1415.94</v>
      </c>
      <c r="E349" s="21">
        <v>1415.94</v>
      </c>
      <c r="F349" s="21">
        <v>45451.13</v>
      </c>
      <c r="G349" s="21">
        <v>1415.94</v>
      </c>
      <c r="H349" s="21">
        <v>1415.94</v>
      </c>
      <c r="I349" s="21">
        <v>1415.94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20"/>
      <c r="Q349" s="82">
        <f t="shared" si="8"/>
        <v>1.626854974244088E-4</v>
      </c>
      <c r="R349" s="14">
        <v>243455.1399999999</v>
      </c>
      <c r="S349" s="15">
        <v>0.25615031595361276</v>
      </c>
      <c r="T349" s="16">
        <v>1.9290970275164944E-2</v>
      </c>
    </row>
    <row r="350" spans="1:20" ht="16" hidden="1">
      <c r="A350" s="80" t="s">
        <v>545</v>
      </c>
      <c r="B350" s="81" t="s">
        <v>62</v>
      </c>
      <c r="C350" s="18"/>
      <c r="D350" s="21">
        <v>1166.5999999999999</v>
      </c>
      <c r="E350" s="21">
        <v>1166.5999999999999</v>
      </c>
      <c r="F350" s="21">
        <v>1166.5999999999999</v>
      </c>
      <c r="G350" s="21">
        <v>1166.5999999999999</v>
      </c>
      <c r="H350" s="21">
        <v>1166.5999999999999</v>
      </c>
      <c r="I350" s="21">
        <v>1166.5999999999999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20"/>
      <c r="Q350" s="82">
        <f t="shared" si="8"/>
        <v>1.3403738950472146E-4</v>
      </c>
      <c r="R350" s="14">
        <v>-37588.600000000006</v>
      </c>
      <c r="S350" s="15">
        <v>-0.5708946490796013</v>
      </c>
      <c r="T350" s="16">
        <v>4.5651233429743669E-4</v>
      </c>
    </row>
    <row r="351" spans="1:20" ht="16" hidden="1">
      <c r="A351" s="80" t="s">
        <v>176</v>
      </c>
      <c r="B351" s="81" t="s">
        <v>78</v>
      </c>
      <c r="C351" s="18"/>
      <c r="D351" s="21">
        <v>97168.3</v>
      </c>
      <c r="E351" s="21">
        <v>115011.87</v>
      </c>
      <c r="F351" s="21">
        <v>116102.26999999999</v>
      </c>
      <c r="G351" s="21">
        <v>117192.66999999998</v>
      </c>
      <c r="H351" s="21">
        <v>2.0000000000000004E-2</v>
      </c>
      <c r="I351" s="21">
        <v>1148.42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20"/>
      <c r="Q351" s="82">
        <f t="shared" si="8"/>
        <v>1.3194858465199059E-4</v>
      </c>
      <c r="R351" s="14">
        <v>0</v>
      </c>
      <c r="S351" s="15">
        <v>0</v>
      </c>
      <c r="T351" s="16">
        <v>0</v>
      </c>
    </row>
    <row r="352" spans="1:20" ht="16" hidden="1">
      <c r="A352" s="80" t="s">
        <v>1111</v>
      </c>
      <c r="B352" s="81" t="s">
        <v>62</v>
      </c>
      <c r="C352" s="18"/>
      <c r="D352" s="21">
        <v>61121.409999999996</v>
      </c>
      <c r="E352" s="21">
        <v>1105.32</v>
      </c>
      <c r="F352" s="21">
        <v>1105.32</v>
      </c>
      <c r="G352" s="21">
        <v>1105.32</v>
      </c>
      <c r="H352" s="21">
        <v>1105.32</v>
      </c>
      <c r="I352" s="21">
        <v>1106.22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20"/>
      <c r="Q352" s="82">
        <f t="shared" si="8"/>
        <v>1.2709998372870991E-4</v>
      </c>
      <c r="R352" s="14">
        <v>-80.369999999999962</v>
      </c>
      <c r="S352" s="15">
        <v>-1.0001244400199105</v>
      </c>
      <c r="T352" s="16">
        <v>-1.6158029909685137E-10</v>
      </c>
    </row>
    <row r="353" spans="1:20" ht="16" hidden="1">
      <c r="A353" s="80" t="s">
        <v>1138</v>
      </c>
      <c r="B353" s="81" t="s">
        <v>78</v>
      </c>
      <c r="C353" s="18"/>
      <c r="D353" s="21">
        <v>0</v>
      </c>
      <c r="E353" s="21">
        <v>0</v>
      </c>
      <c r="F353" s="21">
        <v>0</v>
      </c>
      <c r="G353" s="21">
        <v>1090.4000000000001</v>
      </c>
      <c r="H353" s="21">
        <v>1090.4000000000001</v>
      </c>
      <c r="I353" s="21">
        <v>1090.4000000000001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20"/>
      <c r="Q353" s="82">
        <f t="shared" si="8"/>
        <v>1.2528233286126204E-4</v>
      </c>
      <c r="R353" s="14">
        <v>-1.9999999999996021E-2</v>
      </c>
      <c r="S353" s="15">
        <v>-2.1208907741247112E-4</v>
      </c>
      <c r="T353" s="16">
        <v>1.5233790598851137E-6</v>
      </c>
    </row>
    <row r="354" spans="1:20" ht="16" hidden="1">
      <c r="A354" s="80" t="s">
        <v>1205</v>
      </c>
      <c r="B354" s="81" t="s">
        <v>62</v>
      </c>
      <c r="C354" s="18"/>
      <c r="D354" s="21">
        <v>0</v>
      </c>
      <c r="E354" s="21">
        <v>0</v>
      </c>
      <c r="F354" s="21">
        <v>0</v>
      </c>
      <c r="G354" s="21">
        <v>0</v>
      </c>
      <c r="H354" s="21">
        <v>28080.04</v>
      </c>
      <c r="I354" s="21">
        <v>1069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20"/>
      <c r="Q354" s="82">
        <f t="shared" si="8"/>
        <v>1.2282356367267894E-4</v>
      </c>
      <c r="R354" s="14">
        <v>0</v>
      </c>
      <c r="S354" s="15">
        <v>0</v>
      </c>
      <c r="T354" s="16">
        <v>0</v>
      </c>
    </row>
    <row r="355" spans="1:20" ht="16" hidden="1">
      <c r="A355" s="80" t="s">
        <v>770</v>
      </c>
      <c r="B355" s="81" t="s">
        <v>85</v>
      </c>
      <c r="C355" s="18"/>
      <c r="D355" s="21">
        <v>39755.15</v>
      </c>
      <c r="E355" s="21">
        <v>77239.23000000001</v>
      </c>
      <c r="F355" s="21">
        <v>77239.23</v>
      </c>
      <c r="G355" s="21">
        <v>114723.31000000001</v>
      </c>
      <c r="H355" s="21">
        <v>38483.230000000003</v>
      </c>
      <c r="I355" s="21">
        <v>999.15</v>
      </c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>
        <v>0</v>
      </c>
      <c r="P355" s="20"/>
      <c r="Q355" s="82">
        <f t="shared" si="8"/>
        <v>1.1479809508284112E-4</v>
      </c>
      <c r="R355" s="14">
        <v>0</v>
      </c>
      <c r="S355" s="15">
        <v>0</v>
      </c>
      <c r="T355" s="16">
        <v>0</v>
      </c>
    </row>
    <row r="356" spans="1:20" ht="16" hidden="1">
      <c r="A356" s="80" t="s">
        <v>1057</v>
      </c>
      <c r="B356" s="81" t="s">
        <v>85</v>
      </c>
      <c r="C356" s="18"/>
      <c r="D356" s="21">
        <v>3532.68</v>
      </c>
      <c r="E356" s="21">
        <v>3532.68</v>
      </c>
      <c r="F356" s="21">
        <v>972.68</v>
      </c>
      <c r="G356" s="21">
        <v>972.68</v>
      </c>
      <c r="H356" s="21">
        <v>972.68</v>
      </c>
      <c r="I356" s="21">
        <v>972.68</v>
      </c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>
        <v>0</v>
      </c>
      <c r="P356" s="20"/>
      <c r="Q356" s="82">
        <f t="shared" si="8"/>
        <v>1.1175680440892548E-4</v>
      </c>
      <c r="R356" s="14">
        <v>0</v>
      </c>
      <c r="S356" s="15">
        <v>0</v>
      </c>
      <c r="T356" s="16">
        <v>0</v>
      </c>
    </row>
    <row r="357" spans="1:20" ht="16" hidden="1">
      <c r="A357" s="80" t="s">
        <v>664</v>
      </c>
      <c r="B357" s="81" t="s">
        <v>145</v>
      </c>
      <c r="C357" s="18"/>
      <c r="D357" s="21">
        <v>3546.2200000000003</v>
      </c>
      <c r="E357" s="21">
        <v>911.43999999999994</v>
      </c>
      <c r="F357" s="21">
        <v>911.44</v>
      </c>
      <c r="G357" s="21">
        <v>911.43999999999994</v>
      </c>
      <c r="H357" s="21">
        <v>911.43999999999994</v>
      </c>
      <c r="I357" s="21">
        <v>911.44999999999993</v>
      </c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>
        <v>0</v>
      </c>
      <c r="P357" s="20"/>
      <c r="Q357" s="82">
        <f t="shared" si="8"/>
        <v>1.0472173723990945E-4</v>
      </c>
      <c r="R357" s="14">
        <v>0</v>
      </c>
      <c r="S357" s="15">
        <v>0</v>
      </c>
      <c r="T357" s="16">
        <v>1.4219066320522913E-8</v>
      </c>
    </row>
    <row r="358" spans="1:20" ht="16" hidden="1">
      <c r="A358" s="80" t="s">
        <v>107</v>
      </c>
      <c r="B358" s="81" t="s">
        <v>62</v>
      </c>
      <c r="C358" s="18"/>
      <c r="D358" s="21">
        <v>7062.72</v>
      </c>
      <c r="E358" s="21">
        <v>-0.58000000000000007</v>
      </c>
      <c r="F358" s="21">
        <v>-0.58000000000000007</v>
      </c>
      <c r="G358" s="21">
        <v>-0.58000000000000007</v>
      </c>
      <c r="H358" s="21">
        <v>35835.729999999996</v>
      </c>
      <c r="I358" s="21">
        <v>855.77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>
        <v>0</v>
      </c>
      <c r="P358" s="20"/>
      <c r="Q358" s="82">
        <f t="shared" si="8"/>
        <v>9.8324341519334381E-5</v>
      </c>
      <c r="R358" s="14">
        <v>0</v>
      </c>
      <c r="S358" s="15">
        <v>0</v>
      </c>
      <c r="T358" s="16">
        <v>0</v>
      </c>
    </row>
    <row r="359" spans="1:20" ht="16" hidden="1">
      <c r="A359" s="80" t="s">
        <v>518</v>
      </c>
      <c r="B359" s="81" t="s">
        <v>60</v>
      </c>
      <c r="C359" s="18"/>
      <c r="D359" s="21">
        <v>0</v>
      </c>
      <c r="E359" s="21">
        <v>0</v>
      </c>
      <c r="F359" s="21">
        <v>0</v>
      </c>
      <c r="G359" s="21">
        <v>0</v>
      </c>
      <c r="H359" s="21">
        <v>657.4</v>
      </c>
      <c r="I359" s="21">
        <v>845.23</v>
      </c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>
        <v>0</v>
      </c>
      <c r="P359" s="20"/>
      <c r="Q359" s="82">
        <f t="shared" si="8"/>
        <v>9.7113340246078968E-5</v>
      </c>
      <c r="R359" s="14">
        <v>0</v>
      </c>
      <c r="S359" s="15">
        <v>0</v>
      </c>
      <c r="T359" s="16">
        <v>4.603422721269293E-7</v>
      </c>
    </row>
    <row r="360" spans="1:20" ht="16" hidden="1">
      <c r="A360" s="80" t="s">
        <v>771</v>
      </c>
      <c r="B360" s="81" t="s">
        <v>60</v>
      </c>
      <c r="C360" s="18"/>
      <c r="D360" s="21">
        <v>375.65</v>
      </c>
      <c r="E360" s="21">
        <v>563.48</v>
      </c>
      <c r="F360" s="21">
        <v>657.39</v>
      </c>
      <c r="G360" s="21">
        <v>657.39</v>
      </c>
      <c r="H360" s="21">
        <v>751.3</v>
      </c>
      <c r="I360" s="21">
        <v>845.20999999999992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</v>
      </c>
      <c r="P360" s="20"/>
      <c r="Q360" s="82">
        <f t="shared" si="8"/>
        <v>9.7111042330949441E-5</v>
      </c>
      <c r="R360" s="14">
        <v>-1.0000000000000009E-2</v>
      </c>
      <c r="S360" s="15">
        <v>-0.2</v>
      </c>
      <c r="T360" s="16">
        <v>6.4632119638740579E-10</v>
      </c>
    </row>
    <row r="361" spans="1:20" ht="16" hidden="1">
      <c r="A361" s="80" t="s">
        <v>648</v>
      </c>
      <c r="B361" s="81" t="s">
        <v>62</v>
      </c>
      <c r="C361" s="18"/>
      <c r="D361" s="21">
        <v>767.66</v>
      </c>
      <c r="E361" s="21">
        <v>767.66</v>
      </c>
      <c r="F361" s="21">
        <v>767.66</v>
      </c>
      <c r="G361" s="21">
        <v>79.48</v>
      </c>
      <c r="H361" s="21">
        <v>769.39</v>
      </c>
      <c r="I361" s="21">
        <v>769.39</v>
      </c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>
        <v>0</v>
      </c>
      <c r="P361" s="20"/>
      <c r="Q361" s="82">
        <f t="shared" si="8"/>
        <v>8.8399646074950841E-5</v>
      </c>
      <c r="R361" s="14">
        <v>0</v>
      </c>
      <c r="S361" s="15">
        <v>0</v>
      </c>
      <c r="T361" s="16">
        <v>-3.199289922117656E-8</v>
      </c>
    </row>
    <row r="362" spans="1:20" ht="16" hidden="1">
      <c r="A362" s="80" t="s">
        <v>749</v>
      </c>
      <c r="B362" s="81" t="s">
        <v>85</v>
      </c>
      <c r="C362" s="18"/>
      <c r="D362" s="21">
        <v>0</v>
      </c>
      <c r="E362" s="21">
        <v>0</v>
      </c>
      <c r="F362" s="21">
        <v>751.27</v>
      </c>
      <c r="G362" s="21">
        <v>751.27</v>
      </c>
      <c r="H362" s="21">
        <v>751.27</v>
      </c>
      <c r="I362" s="21">
        <v>751.27</v>
      </c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>
        <v>0</v>
      </c>
      <c r="P362" s="20"/>
      <c r="Q362" s="82">
        <f t="shared" si="8"/>
        <v>8.6317734967608509E-5</v>
      </c>
      <c r="R362" s="14">
        <v>0</v>
      </c>
      <c r="S362" s="15">
        <v>0</v>
      </c>
      <c r="T362" s="16">
        <v>1.615802990968516E-10</v>
      </c>
    </row>
    <row r="363" spans="1:20" ht="16" hidden="1">
      <c r="A363" s="80" t="s">
        <v>176</v>
      </c>
      <c r="B363" s="81" t="s">
        <v>85</v>
      </c>
      <c r="C363" s="18"/>
      <c r="D363" s="21">
        <v>0.12</v>
      </c>
      <c r="E363" s="21">
        <v>731.8</v>
      </c>
      <c r="F363" s="21">
        <v>731.8</v>
      </c>
      <c r="G363" s="21">
        <v>731.8</v>
      </c>
      <c r="H363" s="21">
        <v>731.8</v>
      </c>
      <c r="I363" s="21">
        <v>731.8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0</v>
      </c>
      <c r="P363" s="20"/>
      <c r="Q363" s="82">
        <f t="shared" si="8"/>
        <v>8.4080714589023799E-5</v>
      </c>
      <c r="R363" s="14">
        <v>0</v>
      </c>
      <c r="S363" s="15">
        <v>0</v>
      </c>
      <c r="T363" s="16">
        <v>0</v>
      </c>
    </row>
    <row r="364" spans="1:20" ht="16" hidden="1">
      <c r="A364" s="80" t="s">
        <v>1208</v>
      </c>
      <c r="B364" s="81" t="s">
        <v>62</v>
      </c>
      <c r="C364" s="18"/>
      <c r="D364" s="21">
        <v>1794.87</v>
      </c>
      <c r="E364" s="21">
        <v>1794.9900000000002</v>
      </c>
      <c r="F364" s="21">
        <v>1794.99</v>
      </c>
      <c r="G364" s="21">
        <v>1795.0500000000002</v>
      </c>
      <c r="H364" s="21">
        <v>726.11</v>
      </c>
      <c r="I364" s="21">
        <v>726.11</v>
      </c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>
        <v>0</v>
      </c>
      <c r="P364" s="20"/>
      <c r="Q364" s="82">
        <f t="shared" si="8"/>
        <v>8.3426957734676244E-5</v>
      </c>
      <c r="R364" s="14">
        <v>721.96000000000015</v>
      </c>
      <c r="S364" s="15">
        <v>36098.000000000015</v>
      </c>
      <c r="T364" s="16">
        <v>1.1665774434194472E-5</v>
      </c>
    </row>
    <row r="365" spans="1:20" ht="16" hidden="1">
      <c r="A365" s="80" t="s">
        <v>357</v>
      </c>
      <c r="B365" s="81" t="s">
        <v>83</v>
      </c>
      <c r="C365" s="18"/>
      <c r="D365" s="21">
        <v>463.44000000000005</v>
      </c>
      <c r="E365" s="21">
        <v>463.44000000000005</v>
      </c>
      <c r="F365" s="21">
        <v>1.9999999999999997E-2</v>
      </c>
      <c r="G365" s="21">
        <v>1.9999999999999997E-2</v>
      </c>
      <c r="H365" s="21">
        <v>1.9999999999999997E-2</v>
      </c>
      <c r="I365" s="21">
        <v>721.98000000000013</v>
      </c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>
        <v>0</v>
      </c>
      <c r="P365" s="20"/>
      <c r="Q365" s="82">
        <f t="shared" si="8"/>
        <v>8.2952438260431013E-5</v>
      </c>
      <c r="R365" s="14">
        <v>0</v>
      </c>
      <c r="S365" s="15">
        <v>0</v>
      </c>
      <c r="T365" s="16">
        <v>9.5264835902119781E-5</v>
      </c>
    </row>
    <row r="366" spans="1:20" ht="16" hidden="1">
      <c r="A366" s="80" t="s">
        <v>293</v>
      </c>
      <c r="B366" s="81" t="s">
        <v>60</v>
      </c>
      <c r="C366" s="18"/>
      <c r="D366" s="21">
        <v>457.32000000000011</v>
      </c>
      <c r="E366" s="21">
        <v>554.13000000000011</v>
      </c>
      <c r="F366" s="21">
        <v>554.13000000000011</v>
      </c>
      <c r="G366" s="21">
        <v>554.13000000000011</v>
      </c>
      <c r="H366" s="21">
        <v>653.50000000000011</v>
      </c>
      <c r="I366" s="21">
        <v>653.50000000000011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</v>
      </c>
      <c r="P366" s="20"/>
      <c r="Q366" s="82">
        <f t="shared" si="8"/>
        <v>7.508437685696511E-5</v>
      </c>
      <c r="R366" s="14">
        <v>0</v>
      </c>
      <c r="S366" s="15">
        <v>0</v>
      </c>
      <c r="T366" s="16">
        <v>0</v>
      </c>
    </row>
    <row r="367" spans="1:20" ht="16" hidden="1">
      <c r="A367" s="80" t="s">
        <v>925</v>
      </c>
      <c r="B367" s="81" t="s">
        <v>76</v>
      </c>
      <c r="C367" s="18"/>
      <c r="D367" s="21">
        <v>0</v>
      </c>
      <c r="E367" s="21">
        <v>580</v>
      </c>
      <c r="F367" s="21">
        <v>580</v>
      </c>
      <c r="G367" s="21">
        <v>580</v>
      </c>
      <c r="H367" s="21">
        <v>580</v>
      </c>
      <c r="I367" s="21">
        <v>580</v>
      </c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>
        <v>0</v>
      </c>
      <c r="P367" s="20"/>
      <c r="Q367" s="82">
        <f t="shared" si="8"/>
        <v>6.6639538755990446E-5</v>
      </c>
      <c r="R367" s="14">
        <v>0</v>
      </c>
      <c r="S367" s="15">
        <v>0</v>
      </c>
      <c r="T367" s="16">
        <v>0</v>
      </c>
    </row>
    <row r="368" spans="1:20" ht="16" hidden="1">
      <c r="A368" s="80" t="s">
        <v>627</v>
      </c>
      <c r="B368" s="81" t="s">
        <v>85</v>
      </c>
      <c r="C368" s="18"/>
      <c r="D368" s="21">
        <v>546.55000000000007</v>
      </c>
      <c r="E368" s="21">
        <v>546.55000000000007</v>
      </c>
      <c r="F368" s="21">
        <v>546.54999999999995</v>
      </c>
      <c r="G368" s="21">
        <v>546.55000000000007</v>
      </c>
      <c r="H368" s="21">
        <v>546.55000000000007</v>
      </c>
      <c r="I368" s="21">
        <v>546.57000000000005</v>
      </c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>
        <v>0</v>
      </c>
      <c r="P368" s="20"/>
      <c r="Q368" s="82">
        <f t="shared" si="8"/>
        <v>6.2798573617002927E-5</v>
      </c>
      <c r="R368" s="14">
        <v>0</v>
      </c>
      <c r="S368" s="15">
        <v>0</v>
      </c>
      <c r="T368" s="16">
        <v>0</v>
      </c>
    </row>
    <row r="369" spans="1:20" ht="16" hidden="1">
      <c r="A369" s="80" t="s">
        <v>874</v>
      </c>
      <c r="B369" s="81" t="s">
        <v>62</v>
      </c>
      <c r="C369" s="18"/>
      <c r="D369" s="21">
        <v>535.70000000000005</v>
      </c>
      <c r="E369" s="21">
        <v>535.70000000000005</v>
      </c>
      <c r="F369" s="21">
        <v>535.70000000000005</v>
      </c>
      <c r="G369" s="21">
        <v>535.70000000000005</v>
      </c>
      <c r="H369" s="21">
        <v>535.70000000000005</v>
      </c>
      <c r="I369" s="21">
        <v>535.70000000000005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</v>
      </c>
      <c r="P369" s="20"/>
      <c r="Q369" s="82">
        <f t="shared" si="8"/>
        <v>6.1549656744110486E-5</v>
      </c>
      <c r="R369" s="14">
        <v>0</v>
      </c>
      <c r="S369" s="15">
        <v>0</v>
      </c>
      <c r="T369" s="16">
        <v>0</v>
      </c>
    </row>
    <row r="370" spans="1:20" ht="16" hidden="1">
      <c r="A370" s="80" t="s">
        <v>462</v>
      </c>
      <c r="B370" s="81" t="s">
        <v>60</v>
      </c>
      <c r="C370" s="18"/>
      <c r="D370" s="21">
        <v>0</v>
      </c>
      <c r="E370" s="21">
        <v>0</v>
      </c>
      <c r="F370" s="21">
        <v>0</v>
      </c>
      <c r="G370" s="21">
        <v>0</v>
      </c>
      <c r="H370" s="21">
        <v>375.65</v>
      </c>
      <c r="I370" s="21">
        <v>469.55999999999995</v>
      </c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>
        <v>0</v>
      </c>
      <c r="P370" s="20"/>
      <c r="Q370" s="82">
        <f t="shared" si="8"/>
        <v>5.3950451410798047E-5</v>
      </c>
      <c r="R370" s="14">
        <v>0</v>
      </c>
      <c r="S370" s="15">
        <v>0</v>
      </c>
      <c r="T370" s="16">
        <v>7.6434704112180308E-4</v>
      </c>
    </row>
    <row r="371" spans="1:20" ht="16" hidden="1">
      <c r="A371" s="80" t="s">
        <v>63</v>
      </c>
      <c r="B371" s="81" t="s">
        <v>60</v>
      </c>
      <c r="C371" s="18"/>
      <c r="D371" s="21">
        <v>8.5300000000000011</v>
      </c>
      <c r="E371" s="21">
        <v>9951.4899999999961</v>
      </c>
      <c r="F371" s="21">
        <v>9951.4899999999961</v>
      </c>
      <c r="G371" s="21">
        <v>9951.4899999999961</v>
      </c>
      <c r="H371" s="21">
        <v>23208.530000000002</v>
      </c>
      <c r="I371" s="21">
        <v>408.53000000000014</v>
      </c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>
        <v>0</v>
      </c>
      <c r="P371" s="20"/>
      <c r="Q371" s="82">
        <f t="shared" si="8"/>
        <v>4.6938363393077216E-5</v>
      </c>
      <c r="R371" s="14">
        <v>0</v>
      </c>
      <c r="S371" s="15">
        <v>0</v>
      </c>
      <c r="T371" s="16">
        <v>0</v>
      </c>
    </row>
    <row r="372" spans="1:20" ht="16" hidden="1">
      <c r="A372" s="80" t="s">
        <v>230</v>
      </c>
      <c r="B372" s="81" t="s">
        <v>83</v>
      </c>
      <c r="C372" s="18"/>
      <c r="D372" s="21">
        <v>-67.965271999999999</v>
      </c>
      <c r="E372" s="21">
        <v>1183.6557520000001</v>
      </c>
      <c r="F372" s="21">
        <v>653.46575199999972</v>
      </c>
      <c r="G372" s="21">
        <v>-62.593215000000001</v>
      </c>
      <c r="H372" s="21">
        <v>400.64183700000012</v>
      </c>
      <c r="I372" s="21">
        <v>400.64183700000012</v>
      </c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>
        <v>0</v>
      </c>
      <c r="P372" s="20"/>
      <c r="Q372" s="82">
        <f t="shared" si="8"/>
        <v>4.6032046937987435E-5</v>
      </c>
      <c r="R372" s="14">
        <v>66740.13</v>
      </c>
      <c r="S372" s="15">
        <v>0.50652881277360884</v>
      </c>
      <c r="T372" s="16">
        <v>3.2073676444301052E-3</v>
      </c>
    </row>
    <row r="373" spans="1:20" ht="16" hidden="1">
      <c r="A373" s="80" t="s">
        <v>990</v>
      </c>
      <c r="B373" s="81" t="s">
        <v>62</v>
      </c>
      <c r="C373" s="18"/>
      <c r="D373" s="21">
        <v>333.53999999999991</v>
      </c>
      <c r="E373" s="21">
        <v>360.20999999999992</v>
      </c>
      <c r="F373" s="21">
        <v>360.20999999999992</v>
      </c>
      <c r="G373" s="21">
        <v>360.20999999999992</v>
      </c>
      <c r="H373" s="21">
        <v>360.20999999999992</v>
      </c>
      <c r="I373" s="21">
        <v>360.20999999999992</v>
      </c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>
        <v>0</v>
      </c>
      <c r="P373" s="20"/>
      <c r="Q373" s="82">
        <f t="shared" si="8"/>
        <v>4.1386600440164331E-5</v>
      </c>
      <c r="R373" s="14">
        <v>13.243130000000292</v>
      </c>
      <c r="S373" s="15">
        <v>5.222466550564301E-3</v>
      </c>
      <c r="T373" s="16">
        <v>4.1187513035073487E-5</v>
      </c>
    </row>
    <row r="374" spans="1:20" ht="16" hidden="1">
      <c r="A374" s="80" t="s">
        <v>794</v>
      </c>
      <c r="B374" s="81" t="s">
        <v>62</v>
      </c>
      <c r="C374" s="18"/>
      <c r="D374" s="21">
        <v>360</v>
      </c>
      <c r="E374" s="21">
        <v>360</v>
      </c>
      <c r="F374" s="21">
        <v>360</v>
      </c>
      <c r="G374" s="21">
        <v>360</v>
      </c>
      <c r="H374" s="21">
        <v>360</v>
      </c>
      <c r="I374" s="21">
        <v>360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</v>
      </c>
      <c r="P374" s="20"/>
      <c r="Q374" s="82">
        <f t="shared" si="8"/>
        <v>4.1362472331304414E-5</v>
      </c>
      <c r="R374" s="14">
        <v>-900.9329120000001</v>
      </c>
      <c r="S374" s="15">
        <v>-0.99795136675584795</v>
      </c>
      <c r="T374" s="16">
        <v>2.9883791577065357E-8</v>
      </c>
    </row>
    <row r="375" spans="1:20" ht="16" hidden="1">
      <c r="A375" s="80" t="s">
        <v>1188</v>
      </c>
      <c r="B375" s="81" t="s">
        <v>60</v>
      </c>
      <c r="C375" s="18"/>
      <c r="D375" s="21">
        <v>38.86</v>
      </c>
      <c r="E375" s="21">
        <v>226.69</v>
      </c>
      <c r="F375" s="21">
        <v>38.86</v>
      </c>
      <c r="G375" s="21">
        <v>38.86</v>
      </c>
      <c r="H375" s="21">
        <v>38.86</v>
      </c>
      <c r="I375" s="21">
        <v>320.60000000000002</v>
      </c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>
        <v>0</v>
      </c>
      <c r="P375" s="20"/>
      <c r="Q375" s="82">
        <f t="shared" si="8"/>
        <v>3.6835579526156097E-5</v>
      </c>
      <c r="R375" s="14">
        <v>-1.9999999999999962E-2</v>
      </c>
      <c r="S375" s="15">
        <v>0.14285714285714254</v>
      </c>
      <c r="T375" s="16">
        <v>-2.5852847855496207E-9</v>
      </c>
    </row>
    <row r="376" spans="1:20" ht="16" hidden="1">
      <c r="A376" s="80" t="s">
        <v>485</v>
      </c>
      <c r="B376" s="81" t="s">
        <v>60</v>
      </c>
      <c r="C376" s="18"/>
      <c r="D376" s="21">
        <v>0</v>
      </c>
      <c r="E376" s="21">
        <v>0.01</v>
      </c>
      <c r="F376" s="21">
        <v>1378.77</v>
      </c>
      <c r="G376" s="21">
        <v>58254.55</v>
      </c>
      <c r="H376" s="21">
        <v>198.75999999999996</v>
      </c>
      <c r="I376" s="21">
        <v>301.12999999999994</v>
      </c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>
        <v>0</v>
      </c>
      <c r="P376" s="20"/>
      <c r="Q376" s="82">
        <f t="shared" si="8"/>
        <v>3.4598559147571373E-5</v>
      </c>
      <c r="R376" s="14">
        <v>0</v>
      </c>
      <c r="S376" s="15">
        <v>0</v>
      </c>
      <c r="T376" s="16">
        <v>2.8349699743350168E-4</v>
      </c>
    </row>
    <row r="377" spans="1:20" ht="16" hidden="1">
      <c r="A377" s="80" t="s">
        <v>594</v>
      </c>
      <c r="B377" s="81" t="s">
        <v>60</v>
      </c>
      <c r="C377" s="18"/>
      <c r="D377" s="21">
        <v>93.91</v>
      </c>
      <c r="E377" s="21">
        <v>187.82</v>
      </c>
      <c r="F377" s="21">
        <v>187.82</v>
      </c>
      <c r="G377" s="21">
        <v>187.82</v>
      </c>
      <c r="H377" s="21">
        <v>187.82</v>
      </c>
      <c r="I377" s="21">
        <v>281.73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20"/>
      <c r="Q377" s="82">
        <f t="shared" si="8"/>
        <v>3.2369581471939982E-5</v>
      </c>
      <c r="R377" s="14">
        <v>1.9999999999999997E-2</v>
      </c>
      <c r="S377" s="15">
        <v>-0.49999999999999989</v>
      </c>
      <c r="T377" s="16">
        <v>-3.2316059819370269E-10</v>
      </c>
    </row>
    <row r="378" spans="1:20" ht="16">
      <c r="A378" s="80" t="s">
        <v>757</v>
      </c>
      <c r="B378" s="81" t="s">
        <v>67</v>
      </c>
      <c r="C378" s="18"/>
      <c r="D378" s="21">
        <v>245.54</v>
      </c>
      <c r="E378" s="21">
        <v>245.54</v>
      </c>
      <c r="F378" s="21">
        <v>245.54</v>
      </c>
      <c r="G378" s="21">
        <v>245.54</v>
      </c>
      <c r="H378" s="21">
        <v>245.53999999999996</v>
      </c>
      <c r="I378" s="21">
        <v>245.54999999999998</v>
      </c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>
        <v>0</v>
      </c>
      <c r="P378" s="20"/>
      <c r="Q378" s="82">
        <f t="shared" si="8"/>
        <v>2.8212653002643881E-5</v>
      </c>
      <c r="R378" s="14">
        <v>0</v>
      </c>
      <c r="S378" s="15">
        <v>0</v>
      </c>
      <c r="T378" s="16">
        <v>4.3141939858859281E-8</v>
      </c>
    </row>
    <row r="379" spans="1:20" ht="16" hidden="1">
      <c r="A379" s="80" t="s">
        <v>784</v>
      </c>
      <c r="B379" s="81" t="s">
        <v>60</v>
      </c>
      <c r="C379" s="18"/>
      <c r="D379" s="21">
        <v>88.71</v>
      </c>
      <c r="E379" s="21">
        <v>669.58</v>
      </c>
      <c r="F379" s="21">
        <v>679.6</v>
      </c>
      <c r="G379" s="21">
        <v>1570.0900000000001</v>
      </c>
      <c r="H379" s="21">
        <v>211.54</v>
      </c>
      <c r="I379" s="21">
        <v>211.54</v>
      </c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>
        <v>0</v>
      </c>
      <c r="P379" s="20"/>
      <c r="Q379" s="82">
        <f t="shared" si="8"/>
        <v>2.4305048324900375E-5</v>
      </c>
      <c r="R379" s="14">
        <v>0</v>
      </c>
      <c r="S379" s="15">
        <v>0</v>
      </c>
      <c r="T379" s="16">
        <v>0</v>
      </c>
    </row>
    <row r="380" spans="1:20" ht="16">
      <c r="A380" s="80" t="s">
        <v>789</v>
      </c>
      <c r="B380" s="81" t="s">
        <v>67</v>
      </c>
      <c r="C380" s="18"/>
      <c r="D380" s="21">
        <v>209.99</v>
      </c>
      <c r="E380" s="21">
        <v>209.99</v>
      </c>
      <c r="F380" s="21">
        <v>14723.77</v>
      </c>
      <c r="G380" s="21">
        <v>9936.85</v>
      </c>
      <c r="H380" s="21">
        <v>5937.2199999999993</v>
      </c>
      <c r="I380" s="21">
        <v>210.72000000000003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</v>
      </c>
      <c r="P380" s="20"/>
      <c r="Q380" s="82">
        <f t="shared" si="8"/>
        <v>2.4210833804590185E-5</v>
      </c>
      <c r="R380" s="14">
        <v>0</v>
      </c>
      <c r="S380" s="15">
        <v>0</v>
      </c>
      <c r="T380" s="16">
        <v>0</v>
      </c>
    </row>
    <row r="381" spans="1:20" ht="16">
      <c r="A381" s="80" t="s">
        <v>589</v>
      </c>
      <c r="B381" s="81" t="s">
        <v>67</v>
      </c>
      <c r="C381" s="18"/>
      <c r="D381" s="21">
        <v>198.89000000000001</v>
      </c>
      <c r="E381" s="21">
        <v>198.89000000000001</v>
      </c>
      <c r="F381" s="21">
        <v>198.89000000000001</v>
      </c>
      <c r="G381" s="21">
        <v>198.89000000000001</v>
      </c>
      <c r="H381" s="21">
        <v>198.89000000000001</v>
      </c>
      <c r="I381" s="21">
        <v>198.9</v>
      </c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>
        <v>0</v>
      </c>
      <c r="P381" s="20"/>
      <c r="Q381" s="82">
        <f t="shared" si="8"/>
        <v>2.2852765963045687E-5</v>
      </c>
      <c r="R381" s="14">
        <v>6032.009999999982</v>
      </c>
      <c r="S381" s="15">
        <v>0.4999365963424775</v>
      </c>
      <c r="T381" s="16">
        <v>2.9242091577232103E-4</v>
      </c>
    </row>
    <row r="382" spans="1:20" ht="16" hidden="1">
      <c r="A382" s="80" t="s">
        <v>634</v>
      </c>
      <c r="B382" s="81" t="s">
        <v>62</v>
      </c>
      <c r="C382" s="18"/>
      <c r="D382" s="21">
        <v>182.19</v>
      </c>
      <c r="E382" s="21">
        <v>182.19</v>
      </c>
      <c r="F382" s="21">
        <v>182.18999999999994</v>
      </c>
      <c r="G382" s="21">
        <v>182.19</v>
      </c>
      <c r="H382" s="21">
        <v>182.19</v>
      </c>
      <c r="I382" s="21">
        <v>182.19</v>
      </c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>
        <v>0</v>
      </c>
      <c r="P382" s="20"/>
      <c r="Q382" s="82">
        <f t="shared" si="8"/>
        <v>2.0932857872334306E-5</v>
      </c>
      <c r="R382" s="14">
        <v>0</v>
      </c>
      <c r="S382" s="15">
        <v>0</v>
      </c>
      <c r="T382" s="16">
        <v>0</v>
      </c>
    </row>
    <row r="383" spans="1:20" ht="16" hidden="1">
      <c r="A383" s="80" t="s">
        <v>654</v>
      </c>
      <c r="B383" s="81" t="s">
        <v>62</v>
      </c>
      <c r="C383" s="18"/>
      <c r="D383" s="21">
        <v>176.60999999999999</v>
      </c>
      <c r="E383" s="21">
        <v>176.60999999999999</v>
      </c>
      <c r="F383" s="21">
        <v>176.60999999999999</v>
      </c>
      <c r="G383" s="21">
        <v>176.60999999999999</v>
      </c>
      <c r="H383" s="21">
        <v>176.60999999999999</v>
      </c>
      <c r="I383" s="21">
        <v>176.60999999999999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20"/>
      <c r="Q383" s="82">
        <f t="shared" si="8"/>
        <v>2.0291739551199088E-5</v>
      </c>
      <c r="R383" s="14">
        <v>0</v>
      </c>
      <c r="S383" s="15">
        <v>0</v>
      </c>
      <c r="T383" s="16">
        <v>0</v>
      </c>
    </row>
    <row r="384" spans="1:20" ht="16">
      <c r="A384" s="80" t="s">
        <v>753</v>
      </c>
      <c r="B384" s="81" t="s">
        <v>67</v>
      </c>
      <c r="C384" s="18"/>
      <c r="D384" s="21">
        <v>151.91000000000008</v>
      </c>
      <c r="E384" s="21">
        <v>151.91000000000008</v>
      </c>
      <c r="F384" s="21">
        <v>151.91000000000017</v>
      </c>
      <c r="G384" s="21">
        <v>151.91000000000008</v>
      </c>
      <c r="H384" s="21">
        <v>151.91000000000008</v>
      </c>
      <c r="I384" s="21">
        <v>151.91000000000008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</v>
      </c>
      <c r="P384" s="20"/>
      <c r="Q384" s="82">
        <f t="shared" si="8"/>
        <v>1.7453814366245714E-5</v>
      </c>
      <c r="R384" s="14">
        <v>0</v>
      </c>
      <c r="S384" s="15">
        <v>0</v>
      </c>
      <c r="T384" s="16">
        <v>0</v>
      </c>
    </row>
    <row r="385" spans="1:20" ht="16" hidden="1">
      <c r="A385" s="80" t="s">
        <v>620</v>
      </c>
      <c r="B385" s="81" t="s">
        <v>62</v>
      </c>
      <c r="C385" s="18"/>
      <c r="D385" s="21">
        <v>526.79000000000042</v>
      </c>
      <c r="E385" s="21">
        <v>526.79000000000042</v>
      </c>
      <c r="F385" s="21">
        <v>142.31</v>
      </c>
      <c r="G385" s="21">
        <v>142.31</v>
      </c>
      <c r="H385" s="21">
        <v>142.31</v>
      </c>
      <c r="I385" s="21">
        <v>142.32000000000002</v>
      </c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>
        <v>0</v>
      </c>
      <c r="P385" s="20"/>
      <c r="Q385" s="82">
        <f t="shared" si="8"/>
        <v>1.6351964061642345E-5</v>
      </c>
      <c r="R385" s="14">
        <v>0</v>
      </c>
      <c r="S385" s="15">
        <v>0</v>
      </c>
      <c r="T385" s="16">
        <v>0</v>
      </c>
    </row>
    <row r="386" spans="1:20" ht="16" hidden="1">
      <c r="A386" s="80" t="s">
        <v>992</v>
      </c>
      <c r="B386" s="81" t="s">
        <v>83</v>
      </c>
      <c r="C386" s="18"/>
      <c r="D386" s="21">
        <v>916.75985700000024</v>
      </c>
      <c r="E386" s="21">
        <v>119.489857</v>
      </c>
      <c r="F386" s="21">
        <v>121.25675700000002</v>
      </c>
      <c r="G386" s="21">
        <v>123.03792700000001</v>
      </c>
      <c r="H386" s="21">
        <v>123.03792700000001</v>
      </c>
      <c r="I386" s="21">
        <v>123.03758200000001</v>
      </c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>
        <v>0</v>
      </c>
      <c r="P386" s="20"/>
      <c r="Q386" s="82">
        <f t="shared" si="8"/>
        <v>1.4136496058848885E-5</v>
      </c>
      <c r="R386" s="14">
        <v>0</v>
      </c>
      <c r="S386" s="15">
        <v>0</v>
      </c>
      <c r="T386" s="16">
        <v>0</v>
      </c>
    </row>
    <row r="387" spans="1:20" ht="16" hidden="1">
      <c r="A387" s="80" t="s">
        <v>1079</v>
      </c>
      <c r="B387" s="81" t="s">
        <v>89</v>
      </c>
      <c r="C387" s="18"/>
      <c r="D387" s="21">
        <v>120.80000000000003</v>
      </c>
      <c r="E387" s="21">
        <v>120.80000000000003</v>
      </c>
      <c r="F387" s="21">
        <v>120.80000000000003</v>
      </c>
      <c r="G387" s="21">
        <v>120.80000000000003</v>
      </c>
      <c r="H387" s="21">
        <v>120.80000000000003</v>
      </c>
      <c r="I387" s="21">
        <v>120.80000000000003</v>
      </c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>
        <v>0</v>
      </c>
      <c r="P387" s="20"/>
      <c r="Q387" s="82">
        <f t="shared" si="8"/>
        <v>1.387940738228215E-5</v>
      </c>
      <c r="R387" s="14">
        <v>0</v>
      </c>
      <c r="S387" s="15">
        <v>0</v>
      </c>
      <c r="T387" s="16">
        <v>0</v>
      </c>
    </row>
    <row r="388" spans="1:20" ht="16" hidden="1">
      <c r="A388" s="80" t="s">
        <v>348</v>
      </c>
      <c r="B388" s="81" t="s">
        <v>78</v>
      </c>
      <c r="C388" s="18"/>
      <c r="D388" s="21">
        <v>94.329999999999956</v>
      </c>
      <c r="E388" s="21">
        <v>94.339999999999961</v>
      </c>
      <c r="F388" s="21">
        <v>94.319999999999951</v>
      </c>
      <c r="G388" s="21">
        <v>94.289999999999949</v>
      </c>
      <c r="H388" s="21">
        <v>94.299999999999969</v>
      </c>
      <c r="I388" s="21">
        <v>94.279999999999973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20"/>
      <c r="Q388" s="82">
        <f t="shared" si="8"/>
        <v>1.0832371920542719E-5</v>
      </c>
      <c r="R388" s="14">
        <v>0</v>
      </c>
      <c r="S388" s="15">
        <v>0</v>
      </c>
      <c r="T388" s="16">
        <v>0</v>
      </c>
    </row>
    <row r="389" spans="1:20" ht="16" hidden="1">
      <c r="A389" s="80" t="s">
        <v>1071</v>
      </c>
      <c r="B389" s="81" t="s">
        <v>60</v>
      </c>
      <c r="C389" s="18"/>
      <c r="D389" s="21">
        <v>0</v>
      </c>
      <c r="E389" s="21">
        <v>0</v>
      </c>
      <c r="F389" s="21">
        <v>0</v>
      </c>
      <c r="G389" s="21">
        <v>0</v>
      </c>
      <c r="H389" s="21">
        <v>0</v>
      </c>
      <c r="I389" s="21">
        <v>93.91</v>
      </c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>
        <v>0</v>
      </c>
      <c r="P389" s="20"/>
      <c r="Q389" s="82">
        <f t="shared" si="8"/>
        <v>1.0789860490646659E-5</v>
      </c>
      <c r="R389" s="14">
        <v>0</v>
      </c>
      <c r="S389" s="15">
        <v>0</v>
      </c>
      <c r="T389" s="16">
        <v>0</v>
      </c>
    </row>
    <row r="390" spans="1:20" ht="16">
      <c r="A390" s="80" t="s">
        <v>694</v>
      </c>
      <c r="B390" s="81" t="s">
        <v>67</v>
      </c>
      <c r="C390" s="18"/>
      <c r="D390" s="21">
        <v>93.15</v>
      </c>
      <c r="E390" s="21">
        <v>93.15</v>
      </c>
      <c r="F390" s="21">
        <v>93.15</v>
      </c>
      <c r="G390" s="21">
        <v>93.15</v>
      </c>
      <c r="H390" s="21">
        <v>93.15</v>
      </c>
      <c r="I390" s="21">
        <v>93.15</v>
      </c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>
        <v>0</v>
      </c>
      <c r="P390" s="20"/>
      <c r="Q390" s="82">
        <f t="shared" si="8"/>
        <v>1.0702539715725017E-5</v>
      </c>
      <c r="R390" s="14">
        <v>0</v>
      </c>
      <c r="S390" s="15">
        <v>0</v>
      </c>
      <c r="T390" s="16">
        <v>0</v>
      </c>
    </row>
    <row r="391" spans="1:20" ht="16" hidden="1">
      <c r="A391" s="80" t="s">
        <v>444</v>
      </c>
      <c r="B391" s="81" t="s">
        <v>83</v>
      </c>
      <c r="C391" s="18"/>
      <c r="D391" s="21">
        <v>91.251187000000002</v>
      </c>
      <c r="E391" s="21">
        <v>91.251187000000002</v>
      </c>
      <c r="F391" s="21">
        <v>91.251187000000002</v>
      </c>
      <c r="G391" s="21">
        <v>91.251187000000002</v>
      </c>
      <c r="H391" s="21">
        <v>91.251187000000002</v>
      </c>
      <c r="I391" s="21">
        <v>91.251187000000002</v>
      </c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>
        <v>0</v>
      </c>
      <c r="P391" s="20"/>
      <c r="Q391" s="82">
        <f t="shared" si="8"/>
        <v>1.0484374159683847E-5</v>
      </c>
      <c r="R391" s="14">
        <v>0</v>
      </c>
      <c r="S391" s="15">
        <v>0</v>
      </c>
      <c r="T391" s="16">
        <v>0</v>
      </c>
    </row>
    <row r="392" spans="1:20" ht="16" hidden="1">
      <c r="A392" s="80" t="s">
        <v>455</v>
      </c>
      <c r="B392" s="81" t="s">
        <v>76</v>
      </c>
      <c r="C392" s="18"/>
      <c r="D392" s="21">
        <v>91.2</v>
      </c>
      <c r="E392" s="21">
        <v>91.2</v>
      </c>
      <c r="F392" s="21">
        <v>91.2</v>
      </c>
      <c r="G392" s="21">
        <v>91.2</v>
      </c>
      <c r="H392" s="21">
        <v>91.2</v>
      </c>
      <c r="I392" s="21">
        <v>91.2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20"/>
      <c r="Q392" s="82">
        <f t="shared" si="8"/>
        <v>1.0478492990597118E-5</v>
      </c>
      <c r="R392" s="14">
        <v>759.30999999999767</v>
      </c>
      <c r="S392" s="15">
        <v>9.6853754924577755E-3</v>
      </c>
      <c r="T392" s="16">
        <v>1.2790193961776555E-3</v>
      </c>
    </row>
    <row r="393" spans="1:20" ht="16" hidden="1">
      <c r="A393" s="80" t="s">
        <v>1164</v>
      </c>
      <c r="B393" s="81" t="s">
        <v>85</v>
      </c>
      <c r="C393" s="18"/>
      <c r="D393" s="21">
        <v>59219.03</v>
      </c>
      <c r="E393" s="21">
        <v>90</v>
      </c>
      <c r="F393" s="21">
        <v>90</v>
      </c>
      <c r="G393" s="21">
        <v>90</v>
      </c>
      <c r="H393" s="21">
        <v>90</v>
      </c>
      <c r="I393" s="21">
        <v>89.99</v>
      </c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>
        <v>0</v>
      </c>
      <c r="P393" s="20"/>
      <c r="Q393" s="82">
        <f t="shared" si="8"/>
        <v>1.0339469125261343E-5</v>
      </c>
      <c r="R393" s="14">
        <v>1.0000000000000002E-2</v>
      </c>
      <c r="S393" s="15">
        <v>0.25000000000000011</v>
      </c>
      <c r="T393" s="16">
        <v>8.0790149548425646E-10</v>
      </c>
    </row>
    <row r="394" spans="1:20" ht="16" hidden="1">
      <c r="A394" s="80" t="s">
        <v>697</v>
      </c>
      <c r="B394" s="81" t="s">
        <v>60</v>
      </c>
      <c r="C394" s="18"/>
      <c r="D394" s="21">
        <v>82.949999999999989</v>
      </c>
      <c r="E394" s="21">
        <v>82.949999999999989</v>
      </c>
      <c r="F394" s="21">
        <v>82.949999999999989</v>
      </c>
      <c r="G394" s="21">
        <v>82.949999999999989</v>
      </c>
      <c r="H394" s="21">
        <v>82.949999999999989</v>
      </c>
      <c r="I394" s="21">
        <v>82.949999999999989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20"/>
      <c r="Q394" s="82">
        <f t="shared" si="8"/>
        <v>9.5306029996713899E-6</v>
      </c>
      <c r="R394" s="14">
        <v>0</v>
      </c>
      <c r="S394" s="15">
        <v>0</v>
      </c>
      <c r="T394" s="16">
        <v>8.0790149548425584E-10</v>
      </c>
    </row>
    <row r="395" spans="1:20" ht="16" hidden="1">
      <c r="A395" s="80" t="s">
        <v>370</v>
      </c>
      <c r="B395" s="81" t="s">
        <v>60</v>
      </c>
      <c r="C395" s="18"/>
      <c r="D395" s="21">
        <v>0</v>
      </c>
      <c r="E395" s="21">
        <v>0</v>
      </c>
      <c r="F395" s="21">
        <v>0</v>
      </c>
      <c r="G395" s="21">
        <v>69.989999999999995</v>
      </c>
      <c r="H395" s="21">
        <v>69.989999999999995</v>
      </c>
      <c r="I395" s="21">
        <v>69.989999999999995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>
        <v>0</v>
      </c>
      <c r="P395" s="20"/>
      <c r="Q395" s="82">
        <f t="shared" ref="Q395:Q458" si="9">IFERROR(I395/$I$4," ")</f>
        <v>8.0415539957444322E-6</v>
      </c>
      <c r="R395" s="14">
        <v>0</v>
      </c>
      <c r="S395" s="15">
        <v>0</v>
      </c>
      <c r="T395" s="16">
        <v>3.0700256828401765E-9</v>
      </c>
    </row>
    <row r="396" spans="1:20" ht="16" hidden="1">
      <c r="A396" s="80" t="s">
        <v>971</v>
      </c>
      <c r="B396" s="81" t="s">
        <v>76</v>
      </c>
      <c r="C396" s="18"/>
      <c r="D396" s="21">
        <v>3272.8599999999997</v>
      </c>
      <c r="E396" s="21">
        <v>6487.2900000000009</v>
      </c>
      <c r="F396" s="21">
        <v>9701.7199999999975</v>
      </c>
      <c r="G396" s="21">
        <v>12916.149999999998</v>
      </c>
      <c r="H396" s="21">
        <v>16130.579999999998</v>
      </c>
      <c r="I396" s="21">
        <v>62.54999999999999</v>
      </c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>
        <v>0</v>
      </c>
      <c r="P396" s="20"/>
      <c r="Q396" s="82">
        <f t="shared" si="9"/>
        <v>7.1867295675641404E-6</v>
      </c>
      <c r="R396" s="14">
        <v>1.0000000000000002E-2</v>
      </c>
      <c r="S396" s="15">
        <v>0.24999999999999978</v>
      </c>
      <c r="T396" s="16">
        <v>8.0790149548425719E-10</v>
      </c>
    </row>
    <row r="397" spans="1:20" ht="16" hidden="1">
      <c r="A397" s="80" t="s">
        <v>201</v>
      </c>
      <c r="B397" s="81" t="s">
        <v>162</v>
      </c>
      <c r="C397" s="18"/>
      <c r="D397" s="21">
        <v>155704.62000000002</v>
      </c>
      <c r="E397" s="21">
        <v>44.409999999999989</v>
      </c>
      <c r="F397" s="21">
        <v>44.419999999999995</v>
      </c>
      <c r="G397" s="21">
        <v>44.419999999999995</v>
      </c>
      <c r="H397" s="21">
        <v>166194.77000000008</v>
      </c>
      <c r="I397" s="21">
        <v>44.419999999999987</v>
      </c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>
        <v>0</v>
      </c>
      <c r="P397" s="20"/>
      <c r="Q397" s="82">
        <f t="shared" si="9"/>
        <v>5.1036695026570592E-6</v>
      </c>
      <c r="R397" s="14">
        <v>1.1882855810441129E-15</v>
      </c>
      <c r="S397" s="15">
        <v>-1.8513513513513513</v>
      </c>
      <c r="T397" s="16">
        <v>8.829359850107854E-24</v>
      </c>
    </row>
    <row r="398" spans="1:20" ht="16" hidden="1">
      <c r="A398" s="80" t="s">
        <v>1023</v>
      </c>
      <c r="B398" s="81" t="s">
        <v>89</v>
      </c>
      <c r="C398" s="18"/>
      <c r="D398" s="21">
        <v>41.13</v>
      </c>
      <c r="E398" s="21">
        <v>41.13</v>
      </c>
      <c r="F398" s="21">
        <v>41.13</v>
      </c>
      <c r="G398" s="21">
        <v>41.13</v>
      </c>
      <c r="H398" s="21">
        <v>41.13</v>
      </c>
      <c r="I398" s="21">
        <v>41.13</v>
      </c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>
        <v>0</v>
      </c>
      <c r="P398" s="20"/>
      <c r="Q398" s="82">
        <f t="shared" si="9"/>
        <v>4.7256624638515292E-6</v>
      </c>
      <c r="R398" s="14">
        <v>-89151.449999999968</v>
      </c>
      <c r="S398" s="15">
        <v>-0.49999963545207271</v>
      </c>
      <c r="T398" s="16">
        <v>1.4405138961356867E-3</v>
      </c>
    </row>
    <row r="399" spans="1:20" ht="16" hidden="1">
      <c r="A399" s="80" t="s">
        <v>547</v>
      </c>
      <c r="B399" s="81" t="s">
        <v>85</v>
      </c>
      <c r="C399" s="18"/>
      <c r="D399" s="21">
        <v>36.83</v>
      </c>
      <c r="E399" s="21">
        <v>36.83</v>
      </c>
      <c r="F399" s="21">
        <v>36.829999999999991</v>
      </c>
      <c r="G399" s="21">
        <v>36.83</v>
      </c>
      <c r="H399" s="21">
        <v>36.83</v>
      </c>
      <c r="I399" s="21">
        <v>36.83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20"/>
      <c r="Q399" s="82">
        <f t="shared" si="9"/>
        <v>4.2316107110053929E-6</v>
      </c>
      <c r="R399" s="14">
        <v>0</v>
      </c>
      <c r="S399" s="15">
        <v>0</v>
      </c>
      <c r="T399" s="16">
        <v>0</v>
      </c>
    </row>
    <row r="400" spans="1:20" ht="16">
      <c r="A400" s="80" t="s">
        <v>820</v>
      </c>
      <c r="B400" s="81" t="s">
        <v>67</v>
      </c>
      <c r="C400" s="18"/>
      <c r="D400" s="21">
        <v>31.77</v>
      </c>
      <c r="E400" s="21">
        <v>31.769999999999996</v>
      </c>
      <c r="F400" s="21">
        <v>31.769999999999996</v>
      </c>
      <c r="G400" s="21">
        <v>31.769999999999996</v>
      </c>
      <c r="H400" s="21">
        <v>31.769999999999996</v>
      </c>
      <c r="I400" s="21">
        <v>31.769999999999992</v>
      </c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>
        <v>0</v>
      </c>
      <c r="P400" s="20"/>
      <c r="Q400" s="82">
        <f t="shared" si="9"/>
        <v>3.6502381832376134E-6</v>
      </c>
      <c r="R400" s="14">
        <v>0</v>
      </c>
      <c r="S400" s="15">
        <v>0</v>
      </c>
      <c r="T400" s="16">
        <v>0</v>
      </c>
    </row>
    <row r="401" spans="1:20" ht="16">
      <c r="A401" s="80" t="s">
        <v>446</v>
      </c>
      <c r="B401" s="81" t="s">
        <v>67</v>
      </c>
      <c r="C401" s="18"/>
      <c r="D401" s="21">
        <v>29.469999999999981</v>
      </c>
      <c r="E401" s="21">
        <v>29.599999999999984</v>
      </c>
      <c r="F401" s="21">
        <v>29.72999999999999</v>
      </c>
      <c r="G401" s="21">
        <v>29.859999999999985</v>
      </c>
      <c r="H401" s="21">
        <v>29.989999999999988</v>
      </c>
      <c r="I401" s="21">
        <v>30.319999999999986</v>
      </c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>
        <v>0</v>
      </c>
      <c r="P401" s="20"/>
      <c r="Q401" s="82">
        <f t="shared" si="9"/>
        <v>3.4836393363476367E-6</v>
      </c>
      <c r="R401" s="14">
        <v>0</v>
      </c>
      <c r="S401" s="15">
        <v>0</v>
      </c>
      <c r="T401" s="16">
        <v>0</v>
      </c>
    </row>
    <row r="402" spans="1:20" ht="16" hidden="1">
      <c r="A402" s="80" t="s">
        <v>663</v>
      </c>
      <c r="B402" s="81" t="s">
        <v>76</v>
      </c>
      <c r="C402" s="18"/>
      <c r="D402" s="21">
        <v>0.11999999999999998</v>
      </c>
      <c r="E402" s="21">
        <v>0.11999999999999998</v>
      </c>
      <c r="F402" s="21">
        <v>0.11999999999999998</v>
      </c>
      <c r="G402" s="21">
        <v>30.110000000000003</v>
      </c>
      <c r="H402" s="21">
        <v>30.110000000000003</v>
      </c>
      <c r="I402" s="21">
        <v>30.12</v>
      </c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>
        <v>0</v>
      </c>
      <c r="P402" s="20"/>
      <c r="Q402" s="82">
        <f t="shared" si="9"/>
        <v>3.4606601850524691E-6</v>
      </c>
      <c r="R402" s="14">
        <v>0</v>
      </c>
      <c r="S402" s="15">
        <v>0</v>
      </c>
      <c r="T402" s="16">
        <v>0</v>
      </c>
    </row>
    <row r="403" spans="1:20" ht="16" hidden="1">
      <c r="A403" s="80" t="s">
        <v>251</v>
      </c>
      <c r="B403" s="81" t="s">
        <v>85</v>
      </c>
      <c r="C403" s="18"/>
      <c r="D403" s="21">
        <v>1.7347234759768071E-17</v>
      </c>
      <c r="E403" s="21">
        <v>2.4286128663675299E-17</v>
      </c>
      <c r="F403" s="21">
        <v>0</v>
      </c>
      <c r="G403" s="21">
        <v>2.4286128663675299E-17</v>
      </c>
      <c r="H403" s="21">
        <v>30</v>
      </c>
      <c r="I403" s="21">
        <v>30.01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0</v>
      </c>
      <c r="P403" s="20"/>
      <c r="Q403" s="82">
        <f t="shared" si="9"/>
        <v>3.4480216518401264E-6</v>
      </c>
      <c r="R403" s="14">
        <v>0</v>
      </c>
      <c r="S403" s="15">
        <v>0</v>
      </c>
      <c r="T403" s="16">
        <v>0</v>
      </c>
    </row>
    <row r="404" spans="1:20" ht="16" hidden="1">
      <c r="A404" s="80" t="s">
        <v>1196</v>
      </c>
      <c r="B404" s="81" t="s">
        <v>62</v>
      </c>
      <c r="C404" s="18"/>
      <c r="D404" s="21">
        <v>29.739999999999984</v>
      </c>
      <c r="E404" s="21">
        <v>29.74</v>
      </c>
      <c r="F404" s="21">
        <v>29.739999999999995</v>
      </c>
      <c r="G404" s="21">
        <v>29.739999999999995</v>
      </c>
      <c r="H404" s="21">
        <v>29.739999999999991</v>
      </c>
      <c r="I404" s="21">
        <v>29.739999999999991</v>
      </c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>
        <v>0</v>
      </c>
      <c r="P404" s="20"/>
      <c r="Q404" s="82">
        <f t="shared" si="9"/>
        <v>3.4169997975916467E-6</v>
      </c>
      <c r="R404" s="14">
        <v>0</v>
      </c>
      <c r="S404" s="15">
        <v>0</v>
      </c>
      <c r="T404" s="16">
        <v>1.1309005133788623E-6</v>
      </c>
    </row>
    <row r="405" spans="1:20" ht="16" hidden="1">
      <c r="A405" s="80" t="s">
        <v>353</v>
      </c>
      <c r="B405" s="81" t="s">
        <v>76</v>
      </c>
      <c r="C405" s="18"/>
      <c r="D405" s="21">
        <v>28.49</v>
      </c>
      <c r="E405" s="21">
        <v>8285.98</v>
      </c>
      <c r="F405" s="21">
        <v>28.489999999999995</v>
      </c>
      <c r="G405" s="21">
        <v>28.489999999999995</v>
      </c>
      <c r="H405" s="21">
        <v>28.489999999999995</v>
      </c>
      <c r="I405" s="21">
        <v>28.49</v>
      </c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>
        <v>0</v>
      </c>
      <c r="P405" s="20"/>
      <c r="Q405" s="82">
        <f t="shared" si="9"/>
        <v>3.2733801019968405E-6</v>
      </c>
      <c r="R405" s="14">
        <v>0</v>
      </c>
      <c r="S405" s="15">
        <v>0</v>
      </c>
      <c r="T405" s="16">
        <v>0</v>
      </c>
    </row>
    <row r="406" spans="1:20" ht="16" hidden="1">
      <c r="A406" s="80" t="s">
        <v>208</v>
      </c>
      <c r="B406" s="81" t="s">
        <v>76</v>
      </c>
      <c r="C406" s="18"/>
      <c r="D406" s="21">
        <v>22.72</v>
      </c>
      <c r="E406" s="21">
        <v>22.719999999999995</v>
      </c>
      <c r="F406" s="21">
        <v>22.720000000000002</v>
      </c>
      <c r="G406" s="21">
        <v>5755.2300000000023</v>
      </c>
      <c r="H406" s="21">
        <v>22.72</v>
      </c>
      <c r="I406" s="21">
        <v>22.720000000000002</v>
      </c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>
        <v>0</v>
      </c>
      <c r="P406" s="20"/>
      <c r="Q406" s="82">
        <f t="shared" si="9"/>
        <v>2.6104315871312121E-6</v>
      </c>
      <c r="R406" s="14">
        <v>0</v>
      </c>
      <c r="S406" s="15">
        <v>0</v>
      </c>
      <c r="T406" s="16">
        <v>0</v>
      </c>
    </row>
    <row r="407" spans="1:20" ht="16" hidden="1">
      <c r="A407" s="80" t="s">
        <v>656</v>
      </c>
      <c r="B407" s="81" t="s">
        <v>85</v>
      </c>
      <c r="C407" s="18"/>
      <c r="D407" s="21">
        <v>18.190000000000001</v>
      </c>
      <c r="E407" s="21">
        <v>19.05</v>
      </c>
      <c r="F407" s="21">
        <v>19.910000000000007</v>
      </c>
      <c r="G407" s="21">
        <v>20.769999999999996</v>
      </c>
      <c r="H407" s="21">
        <v>21.63</v>
      </c>
      <c r="I407" s="21">
        <v>22.490000000000006</v>
      </c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>
        <v>0</v>
      </c>
      <c r="P407" s="20"/>
      <c r="Q407" s="82">
        <f t="shared" si="9"/>
        <v>2.584005563141768E-6</v>
      </c>
      <c r="R407" s="14">
        <v>0</v>
      </c>
      <c r="S407" s="15">
        <v>0</v>
      </c>
      <c r="T407" s="16">
        <v>0</v>
      </c>
    </row>
    <row r="408" spans="1:20" ht="16" hidden="1">
      <c r="A408" s="80" t="s">
        <v>1204</v>
      </c>
      <c r="B408" s="81" t="s">
        <v>62</v>
      </c>
      <c r="C408" s="18"/>
      <c r="D408" s="21">
        <v>7.0000000000000007E-2</v>
      </c>
      <c r="E408" s="21">
        <v>20.080000000000002</v>
      </c>
      <c r="F408" s="21">
        <v>20.080000000000002</v>
      </c>
      <c r="G408" s="21">
        <v>20.080000000000002</v>
      </c>
      <c r="H408" s="21">
        <v>20.080000000000002</v>
      </c>
      <c r="I408" s="21">
        <v>20.080000000000002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0</v>
      </c>
      <c r="P408" s="20"/>
      <c r="Q408" s="82">
        <f t="shared" si="9"/>
        <v>2.3071067900349797E-6</v>
      </c>
      <c r="R408" s="14">
        <v>0</v>
      </c>
      <c r="S408" s="15">
        <v>0</v>
      </c>
      <c r="T408" s="16">
        <v>0</v>
      </c>
    </row>
    <row r="409" spans="1:20" ht="16" hidden="1">
      <c r="A409" s="80" t="s">
        <v>1215</v>
      </c>
      <c r="B409" s="81" t="s">
        <v>85</v>
      </c>
      <c r="C409" s="18"/>
      <c r="D409" s="21">
        <v>20</v>
      </c>
      <c r="E409" s="21">
        <v>20</v>
      </c>
      <c r="F409" s="21">
        <v>20</v>
      </c>
      <c r="G409" s="21">
        <v>20</v>
      </c>
      <c r="H409" s="21">
        <v>20</v>
      </c>
      <c r="I409" s="21">
        <v>20</v>
      </c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>
        <v>0</v>
      </c>
      <c r="P409" s="20"/>
      <c r="Q409" s="82">
        <f t="shared" si="9"/>
        <v>2.2979151295169118E-6</v>
      </c>
      <c r="R409" s="14">
        <v>0</v>
      </c>
      <c r="S409" s="15">
        <v>0</v>
      </c>
      <c r="T409" s="16">
        <v>0</v>
      </c>
    </row>
    <row r="410" spans="1:20" ht="16" hidden="1">
      <c r="A410" s="80" t="s">
        <v>836</v>
      </c>
      <c r="B410" s="81" t="s">
        <v>66</v>
      </c>
      <c r="C410" s="18"/>
      <c r="D410" s="21">
        <v>19.790000000000003</v>
      </c>
      <c r="E410" s="21">
        <v>19.790000000000003</v>
      </c>
      <c r="F410" s="21">
        <v>19.790000000000003</v>
      </c>
      <c r="G410" s="21">
        <v>19.790000000000003</v>
      </c>
      <c r="H410" s="21">
        <v>19.790000000000003</v>
      </c>
      <c r="I410" s="21">
        <v>19.790000000000003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0</v>
      </c>
      <c r="P410" s="20"/>
      <c r="Q410" s="82">
        <f t="shared" si="9"/>
        <v>2.2737870206569847E-6</v>
      </c>
      <c r="R410" s="14">
        <v>0</v>
      </c>
      <c r="S410" s="15">
        <v>0</v>
      </c>
      <c r="T410" s="16">
        <v>0</v>
      </c>
    </row>
    <row r="411" spans="1:20" ht="16" hidden="1">
      <c r="A411" s="80" t="s">
        <v>1141</v>
      </c>
      <c r="B411" s="81" t="s">
        <v>62</v>
      </c>
      <c r="C411" s="18"/>
      <c r="D411" s="21">
        <v>18.899999999999999</v>
      </c>
      <c r="E411" s="21">
        <v>18.899999999999999</v>
      </c>
      <c r="F411" s="21">
        <v>18.899999999999999</v>
      </c>
      <c r="G411" s="21">
        <v>18.900000000000002</v>
      </c>
      <c r="H411" s="21">
        <v>18.899999999999999</v>
      </c>
      <c r="I411" s="21">
        <v>18.900000000000002</v>
      </c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>
        <v>0</v>
      </c>
      <c r="P411" s="20"/>
      <c r="Q411" s="82">
        <f t="shared" si="9"/>
        <v>2.1715297973934818E-6</v>
      </c>
      <c r="R411" s="14">
        <v>0</v>
      </c>
      <c r="S411" s="15">
        <v>0</v>
      </c>
      <c r="T411" s="16">
        <v>1.6158029909685129E-10</v>
      </c>
    </row>
    <row r="412" spans="1:20" ht="16">
      <c r="A412" s="80" t="s">
        <v>121</v>
      </c>
      <c r="B412" s="81" t="s">
        <v>67</v>
      </c>
      <c r="C412" s="18"/>
      <c r="D412" s="21">
        <v>18.260000000000002</v>
      </c>
      <c r="E412" s="21">
        <v>18.260000000000002</v>
      </c>
      <c r="F412" s="21">
        <v>18.260000000000002</v>
      </c>
      <c r="G412" s="21">
        <v>18.260000000000002</v>
      </c>
      <c r="H412" s="21">
        <v>18.260000000000002</v>
      </c>
      <c r="I412" s="21">
        <v>18.260000000000002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>
        <v>0</v>
      </c>
      <c r="P412" s="20"/>
      <c r="Q412" s="82">
        <f t="shared" si="9"/>
        <v>2.0979965132489405E-6</v>
      </c>
      <c r="R412" s="14">
        <v>0</v>
      </c>
      <c r="S412" s="15">
        <v>0</v>
      </c>
      <c r="T412" s="16">
        <v>0</v>
      </c>
    </row>
    <row r="413" spans="1:20" ht="16" hidden="1">
      <c r="A413" s="80" t="s">
        <v>201</v>
      </c>
      <c r="B413" s="81" t="s">
        <v>76</v>
      </c>
      <c r="C413" s="18"/>
      <c r="D413" s="21">
        <v>17.500000000000004</v>
      </c>
      <c r="E413" s="21">
        <v>34618.169999999991</v>
      </c>
      <c r="F413" s="21">
        <v>17.499999999999996</v>
      </c>
      <c r="G413" s="21">
        <v>17.5</v>
      </c>
      <c r="H413" s="21">
        <v>17.499999999999996</v>
      </c>
      <c r="I413" s="21">
        <v>17.500000000000004</v>
      </c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>
        <v>0</v>
      </c>
      <c r="P413" s="20"/>
      <c r="Q413" s="82">
        <f t="shared" si="9"/>
        <v>2.0106757383272981E-6</v>
      </c>
      <c r="R413" s="14">
        <v>0</v>
      </c>
      <c r="S413" s="15">
        <v>0</v>
      </c>
      <c r="T413" s="16">
        <v>-1.486538751691032E-8</v>
      </c>
    </row>
    <row r="414" spans="1:20" ht="16">
      <c r="A414" s="80" t="s">
        <v>939</v>
      </c>
      <c r="B414" s="81" t="s">
        <v>67</v>
      </c>
      <c r="C414" s="18"/>
      <c r="D414" s="21">
        <v>17.329999999999998</v>
      </c>
      <c r="E414" s="21">
        <v>17.329999999999991</v>
      </c>
      <c r="F414" s="21">
        <v>17.329999999999998</v>
      </c>
      <c r="G414" s="21">
        <v>17.329999999999991</v>
      </c>
      <c r="H414" s="21">
        <v>17.329999999999995</v>
      </c>
      <c r="I414" s="21">
        <v>17.329999999999995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0</v>
      </c>
      <c r="P414" s="20"/>
      <c r="Q414" s="82">
        <f t="shared" si="9"/>
        <v>1.9911434597264033E-6</v>
      </c>
      <c r="R414" s="14">
        <v>0</v>
      </c>
      <c r="S414" s="15">
        <v>0</v>
      </c>
      <c r="T414" s="16">
        <v>-1.7773832900653641E-9</v>
      </c>
    </row>
    <row r="415" spans="1:20" ht="16" hidden="1">
      <c r="A415" s="80" t="s">
        <v>289</v>
      </c>
      <c r="B415" s="81" t="s">
        <v>62</v>
      </c>
      <c r="C415" s="18"/>
      <c r="D415" s="21">
        <v>16.329999999999995</v>
      </c>
      <c r="E415" s="21">
        <v>16.329999999999995</v>
      </c>
      <c r="F415" s="21">
        <v>16.329999999999995</v>
      </c>
      <c r="G415" s="21">
        <v>16.329999999999995</v>
      </c>
      <c r="H415" s="21">
        <v>16.329999999999995</v>
      </c>
      <c r="I415" s="21">
        <v>16.329999999999995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</v>
      </c>
      <c r="P415" s="20"/>
      <c r="Q415" s="82">
        <f t="shared" si="9"/>
        <v>1.8762477032505579E-6</v>
      </c>
      <c r="R415" s="14">
        <v>0</v>
      </c>
      <c r="S415" s="15">
        <v>0</v>
      </c>
      <c r="T415" s="16">
        <v>2.8100510606082958E-4</v>
      </c>
    </row>
    <row r="416" spans="1:20" ht="16" hidden="1">
      <c r="A416" s="80" t="s">
        <v>260</v>
      </c>
      <c r="B416" s="81" t="s">
        <v>85</v>
      </c>
      <c r="C416" s="18"/>
      <c r="D416" s="21">
        <v>15861</v>
      </c>
      <c r="E416" s="21">
        <v>15.96</v>
      </c>
      <c r="F416" s="21">
        <v>15.96</v>
      </c>
      <c r="G416" s="21">
        <v>15.96</v>
      </c>
      <c r="H416" s="21">
        <v>15.96</v>
      </c>
      <c r="I416" s="21">
        <v>15.96</v>
      </c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>
        <v>0</v>
      </c>
      <c r="P416" s="20"/>
      <c r="Q416" s="82">
        <f t="shared" si="9"/>
        <v>1.8337362733544957E-6</v>
      </c>
      <c r="R416" s="14">
        <v>0</v>
      </c>
      <c r="S416" s="15">
        <v>0</v>
      </c>
      <c r="T416" s="16">
        <v>2.4884715256412561E-3</v>
      </c>
    </row>
    <row r="417" spans="1:20" ht="16" hidden="1">
      <c r="A417" s="80" t="s">
        <v>492</v>
      </c>
      <c r="B417" s="81" t="s">
        <v>162</v>
      </c>
      <c r="C417" s="18"/>
      <c r="D417" s="21">
        <v>15.330000000000002</v>
      </c>
      <c r="E417" s="21">
        <v>15.330000000000002</v>
      </c>
      <c r="F417" s="21">
        <v>15.330000000000002</v>
      </c>
      <c r="G417" s="21">
        <v>15.330000000000002</v>
      </c>
      <c r="H417" s="21">
        <v>15.330000000000002</v>
      </c>
      <c r="I417" s="21">
        <v>15.330000000000002</v>
      </c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>
        <v>0</v>
      </c>
      <c r="P417" s="20"/>
      <c r="Q417" s="82">
        <f t="shared" si="9"/>
        <v>1.761351946774713E-6</v>
      </c>
      <c r="R417" s="14">
        <v>0</v>
      </c>
      <c r="S417" s="15">
        <v>0</v>
      </c>
      <c r="T417" s="16">
        <v>-5.6059427619732405E-26</v>
      </c>
    </row>
    <row r="418" spans="1:20" ht="16" hidden="1">
      <c r="A418" s="80" t="s">
        <v>554</v>
      </c>
      <c r="B418" s="81" t="s">
        <v>62</v>
      </c>
      <c r="C418" s="18"/>
      <c r="D418" s="21">
        <v>200.6</v>
      </c>
      <c r="E418" s="21">
        <v>14.840000000000003</v>
      </c>
      <c r="F418" s="21">
        <v>14.840000000000005</v>
      </c>
      <c r="G418" s="21">
        <v>14.840000000000003</v>
      </c>
      <c r="H418" s="21">
        <v>14.840000000000003</v>
      </c>
      <c r="I418" s="21">
        <v>14.840000000000003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</v>
      </c>
      <c r="P418" s="20"/>
      <c r="Q418" s="82">
        <f t="shared" si="9"/>
        <v>1.7050530261015489E-6</v>
      </c>
      <c r="R418" s="14">
        <v>0</v>
      </c>
      <c r="S418" s="15">
        <v>0</v>
      </c>
      <c r="T418" s="16">
        <v>6.9479528611646059E-9</v>
      </c>
    </row>
    <row r="419" spans="1:20" ht="16" hidden="1">
      <c r="A419" s="80" t="s">
        <v>124</v>
      </c>
      <c r="B419" s="81" t="s">
        <v>78</v>
      </c>
      <c r="C419" s="18"/>
      <c r="D419" s="21">
        <v>1287103.4099999999</v>
      </c>
      <c r="E419" s="21">
        <v>35756.969999999994</v>
      </c>
      <c r="F419" s="21">
        <v>39548.949999999997</v>
      </c>
      <c r="G419" s="21">
        <v>188873.49</v>
      </c>
      <c r="H419" s="21">
        <v>0.39999999999999925</v>
      </c>
      <c r="I419" s="21">
        <v>13.6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</v>
      </c>
      <c r="P419" s="20"/>
      <c r="Q419" s="82">
        <f t="shared" si="9"/>
        <v>1.5625822880715E-6</v>
      </c>
      <c r="R419" s="14">
        <v>0</v>
      </c>
      <c r="S419" s="15">
        <v>0</v>
      </c>
      <c r="T419" s="16">
        <v>2.9084453837433232E-4</v>
      </c>
    </row>
    <row r="420" spans="1:20" ht="16" hidden="1">
      <c r="A420" s="80" t="s">
        <v>1028</v>
      </c>
      <c r="B420" s="81" t="s">
        <v>62</v>
      </c>
      <c r="C420" s="18"/>
      <c r="D420" s="21">
        <v>21768.789999999986</v>
      </c>
      <c r="E420" s="21">
        <v>10175.770000000006</v>
      </c>
      <c r="F420" s="21">
        <v>10446.130000000006</v>
      </c>
      <c r="G420" s="21">
        <v>10175.460000000006</v>
      </c>
      <c r="H420" s="21">
        <v>10174.310000000005</v>
      </c>
      <c r="I420" s="21">
        <v>12.279999999999996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0</v>
      </c>
      <c r="P420" s="20"/>
      <c r="Q420" s="82">
        <f t="shared" si="9"/>
        <v>1.4109198895233833E-6</v>
      </c>
      <c r="R420" s="14">
        <v>0</v>
      </c>
      <c r="S420" s="15">
        <v>0</v>
      </c>
      <c r="T420" s="16">
        <v>0</v>
      </c>
    </row>
    <row r="421" spans="1:20" ht="16" hidden="1">
      <c r="A421" s="80" t="s">
        <v>897</v>
      </c>
      <c r="B421" s="81" t="s">
        <v>66</v>
      </c>
      <c r="C421" s="18"/>
      <c r="D421" s="21">
        <v>12.27</v>
      </c>
      <c r="E421" s="21">
        <v>12.27</v>
      </c>
      <c r="F421" s="21">
        <v>12.27</v>
      </c>
      <c r="G421" s="21">
        <v>12.27</v>
      </c>
      <c r="H421" s="21">
        <v>12.27</v>
      </c>
      <c r="I421" s="21">
        <v>12.27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0</v>
      </c>
      <c r="P421" s="20"/>
      <c r="Q421" s="82">
        <f t="shared" si="9"/>
        <v>1.4097709319586252E-6</v>
      </c>
      <c r="R421" s="14">
        <v>0</v>
      </c>
      <c r="S421" s="15">
        <v>0</v>
      </c>
      <c r="T421" s="16">
        <v>3.2316059819370243E-10</v>
      </c>
    </row>
    <row r="422" spans="1:20" ht="16">
      <c r="A422" s="80" t="s">
        <v>177</v>
      </c>
      <c r="B422" s="81" t="s">
        <v>67</v>
      </c>
      <c r="C422" s="18"/>
      <c r="D422" s="21">
        <v>12.180000000000001</v>
      </c>
      <c r="E422" s="21">
        <v>12.180000000000001</v>
      </c>
      <c r="F422" s="21">
        <v>12.180000000000001</v>
      </c>
      <c r="G422" s="21">
        <v>12.180000000000001</v>
      </c>
      <c r="H422" s="21">
        <v>12.180000000000001</v>
      </c>
      <c r="I422" s="21">
        <v>12.180000000000001</v>
      </c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>
        <v>0</v>
      </c>
      <c r="P422" s="20"/>
      <c r="Q422" s="82">
        <f t="shared" si="9"/>
        <v>1.3994303138757995E-6</v>
      </c>
      <c r="R422" s="14">
        <v>0</v>
      </c>
      <c r="S422" s="15">
        <v>0</v>
      </c>
      <c r="T422" s="16">
        <v>6.2845839737406877E-3</v>
      </c>
    </row>
    <row r="423" spans="1:20" ht="16" hidden="1">
      <c r="A423" s="80" t="s">
        <v>1162</v>
      </c>
      <c r="B423" s="81" t="s">
        <v>83</v>
      </c>
      <c r="C423" s="18"/>
      <c r="D423" s="21">
        <v>12.006975999999996</v>
      </c>
      <c r="E423" s="21">
        <v>12.006975999999996</v>
      </c>
      <c r="F423" s="21">
        <v>12.006975999999996</v>
      </c>
      <c r="G423" s="21">
        <v>12.006975999999998</v>
      </c>
      <c r="H423" s="21">
        <v>12.006975999999996</v>
      </c>
      <c r="I423" s="21">
        <v>12.006975999999996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0</v>
      </c>
      <c r="P423" s="20"/>
      <c r="Q423" s="82">
        <f t="shared" si="9"/>
        <v>1.3795505905073221E-6</v>
      </c>
      <c r="R423" s="14">
        <v>0</v>
      </c>
      <c r="S423" s="15">
        <v>0</v>
      </c>
      <c r="T423" s="16">
        <v>4.6699183464975176E-3</v>
      </c>
    </row>
    <row r="424" spans="1:20" ht="16" hidden="1">
      <c r="A424" s="80" t="s">
        <v>327</v>
      </c>
      <c r="B424" s="81" t="s">
        <v>83</v>
      </c>
      <c r="C424" s="18"/>
      <c r="D424" s="21">
        <v>11.570000000000002</v>
      </c>
      <c r="E424" s="21">
        <v>20032.310000000005</v>
      </c>
      <c r="F424" s="21">
        <v>11.560000000000002</v>
      </c>
      <c r="G424" s="21">
        <v>11.580000000000002</v>
      </c>
      <c r="H424" s="21">
        <v>34661.05000000001</v>
      </c>
      <c r="I424" s="21">
        <v>11.600000000000001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0</v>
      </c>
      <c r="P424" s="20"/>
      <c r="Q424" s="82">
        <f t="shared" si="9"/>
        <v>1.3327907751198091E-6</v>
      </c>
      <c r="R424" s="14">
        <v>0</v>
      </c>
      <c r="S424" s="15">
        <v>0</v>
      </c>
      <c r="T424" s="16">
        <v>0</v>
      </c>
    </row>
    <row r="425" spans="1:20" ht="16" hidden="1">
      <c r="A425" s="80" t="s">
        <v>956</v>
      </c>
      <c r="B425" s="81" t="s">
        <v>85</v>
      </c>
      <c r="C425" s="18"/>
      <c r="D425" s="21">
        <v>11.35</v>
      </c>
      <c r="E425" s="21">
        <v>11.35</v>
      </c>
      <c r="F425" s="21">
        <v>11.35</v>
      </c>
      <c r="G425" s="21">
        <v>11.35</v>
      </c>
      <c r="H425" s="21">
        <v>11.349999999999998</v>
      </c>
      <c r="I425" s="21">
        <v>11.35</v>
      </c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>
        <v>0</v>
      </c>
      <c r="P425" s="20"/>
      <c r="Q425" s="82">
        <f t="shared" si="9"/>
        <v>1.3040668360008474E-6</v>
      </c>
      <c r="R425" s="14">
        <v>0</v>
      </c>
      <c r="S425" s="15">
        <v>0</v>
      </c>
      <c r="T425" s="16">
        <v>1.6158029909685129E-10</v>
      </c>
    </row>
    <row r="426" spans="1:20" ht="16">
      <c r="A426" s="80" t="s">
        <v>166</v>
      </c>
      <c r="B426" s="81" t="s">
        <v>67</v>
      </c>
      <c r="C426" s="18"/>
      <c r="D426" s="21">
        <v>9.1699999999999982</v>
      </c>
      <c r="E426" s="21">
        <v>9.5299999999999976</v>
      </c>
      <c r="F426" s="21">
        <v>9.89</v>
      </c>
      <c r="G426" s="21">
        <v>10.249999999999998</v>
      </c>
      <c r="H426" s="21">
        <v>10.61</v>
      </c>
      <c r="I426" s="21">
        <v>10.969999999999995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0</v>
      </c>
      <c r="P426" s="20"/>
      <c r="Q426" s="82">
        <f t="shared" si="9"/>
        <v>1.2604064485400256E-6</v>
      </c>
      <c r="R426" s="14">
        <v>0</v>
      </c>
      <c r="S426" s="15">
        <v>0</v>
      </c>
      <c r="T426" s="16">
        <v>0</v>
      </c>
    </row>
    <row r="427" spans="1:20" ht="16">
      <c r="A427" s="80" t="s">
        <v>657</v>
      </c>
      <c r="B427" s="81" t="s">
        <v>67</v>
      </c>
      <c r="C427" s="18"/>
      <c r="D427" s="21">
        <v>10.919999999999995</v>
      </c>
      <c r="E427" s="21">
        <v>10.93</v>
      </c>
      <c r="F427" s="21">
        <v>10.939999999999998</v>
      </c>
      <c r="G427" s="21">
        <v>10.949999999999992</v>
      </c>
      <c r="H427" s="21">
        <v>10.959999999999994</v>
      </c>
      <c r="I427" s="21">
        <v>10.959999999999996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</v>
      </c>
      <c r="P427" s="20"/>
      <c r="Q427" s="82">
        <f t="shared" si="9"/>
        <v>1.2592574909752671E-6</v>
      </c>
      <c r="R427" s="14">
        <v>0</v>
      </c>
      <c r="S427" s="15">
        <v>0</v>
      </c>
      <c r="T427" s="16">
        <v>0</v>
      </c>
    </row>
    <row r="428" spans="1:20" ht="16" hidden="1">
      <c r="A428" s="80" t="s">
        <v>152</v>
      </c>
      <c r="B428" s="81" t="s">
        <v>78</v>
      </c>
      <c r="C428" s="18"/>
      <c r="D428" s="21">
        <v>10.16</v>
      </c>
      <c r="E428" s="21">
        <v>10.16</v>
      </c>
      <c r="F428" s="21">
        <v>10.16</v>
      </c>
      <c r="G428" s="21">
        <v>10.16</v>
      </c>
      <c r="H428" s="21">
        <v>10.16</v>
      </c>
      <c r="I428" s="21">
        <v>10.219999999999999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</v>
      </c>
      <c r="P428" s="20"/>
      <c r="Q428" s="82">
        <f t="shared" si="9"/>
        <v>1.1742346311831417E-6</v>
      </c>
      <c r="R428" s="14">
        <v>0</v>
      </c>
      <c r="S428" s="15">
        <v>0</v>
      </c>
      <c r="T428" s="16">
        <v>0</v>
      </c>
    </row>
    <row r="429" spans="1:20" ht="16">
      <c r="A429" s="80" t="s">
        <v>318</v>
      </c>
      <c r="B429" s="81" t="s">
        <v>67</v>
      </c>
      <c r="C429" s="18"/>
      <c r="D429" s="21">
        <v>10.02</v>
      </c>
      <c r="E429" s="21">
        <v>10.02</v>
      </c>
      <c r="F429" s="21">
        <v>10.02</v>
      </c>
      <c r="G429" s="21">
        <v>10.02</v>
      </c>
      <c r="H429" s="21">
        <v>10.02</v>
      </c>
      <c r="I429" s="21">
        <v>10.02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</v>
      </c>
      <c r="P429" s="20"/>
      <c r="Q429" s="82">
        <f t="shared" si="9"/>
        <v>1.1512554798879727E-6</v>
      </c>
      <c r="R429" s="14">
        <v>-46074.590000000004</v>
      </c>
      <c r="S429" s="15">
        <v>-1.0000008681582349</v>
      </c>
      <c r="T429" s="16">
        <v>-6.4632119638740517E-10</v>
      </c>
    </row>
    <row r="430" spans="1:20" ht="16">
      <c r="A430" s="80" t="s">
        <v>123</v>
      </c>
      <c r="B430" s="81" t="s">
        <v>67</v>
      </c>
      <c r="C430" s="18"/>
      <c r="D430" s="21">
        <v>10</v>
      </c>
      <c r="E430" s="21">
        <v>10</v>
      </c>
      <c r="F430" s="21">
        <v>10</v>
      </c>
      <c r="G430" s="21">
        <v>10</v>
      </c>
      <c r="H430" s="21">
        <v>10</v>
      </c>
      <c r="I430" s="21">
        <v>10</v>
      </c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>
        <v>0</v>
      </c>
      <c r="P430" s="20"/>
      <c r="Q430" s="82">
        <f t="shared" si="9"/>
        <v>1.1489575647584559E-6</v>
      </c>
      <c r="R430" s="14">
        <v>0</v>
      </c>
      <c r="S430" s="15">
        <v>0</v>
      </c>
      <c r="T430" s="16">
        <v>0</v>
      </c>
    </row>
    <row r="431" spans="1:20" ht="16" hidden="1">
      <c r="A431" s="80" t="s">
        <v>240</v>
      </c>
      <c r="B431" s="81" t="s">
        <v>60</v>
      </c>
      <c r="C431" s="18"/>
      <c r="D431" s="21">
        <v>10</v>
      </c>
      <c r="E431" s="21">
        <v>10</v>
      </c>
      <c r="F431" s="21">
        <v>10</v>
      </c>
      <c r="G431" s="21">
        <v>10</v>
      </c>
      <c r="H431" s="21">
        <v>10</v>
      </c>
      <c r="I431" s="21">
        <v>10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>
        <v>0</v>
      </c>
      <c r="P431" s="20"/>
      <c r="Q431" s="82">
        <f t="shared" si="9"/>
        <v>1.1489575647584559E-6</v>
      </c>
      <c r="R431" s="14">
        <v>0</v>
      </c>
      <c r="S431" s="15">
        <v>0</v>
      </c>
      <c r="T431" s="16">
        <v>3.640074999582799E-3</v>
      </c>
    </row>
    <row r="432" spans="1:20" ht="16" hidden="1">
      <c r="A432" s="80" t="s">
        <v>479</v>
      </c>
      <c r="B432" s="81" t="s">
        <v>145</v>
      </c>
      <c r="C432" s="18"/>
      <c r="D432" s="21">
        <v>38010</v>
      </c>
      <c r="E432" s="21">
        <v>38010</v>
      </c>
      <c r="F432" s="21">
        <v>44090</v>
      </c>
      <c r="G432" s="21">
        <v>10</v>
      </c>
      <c r="H432" s="21">
        <v>10</v>
      </c>
      <c r="I432" s="21">
        <v>10</v>
      </c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>
        <v>0</v>
      </c>
      <c r="P432" s="20"/>
      <c r="Q432" s="82">
        <f t="shared" si="9"/>
        <v>1.1489575647584559E-6</v>
      </c>
      <c r="R432" s="14">
        <v>0</v>
      </c>
      <c r="S432" s="15">
        <v>0</v>
      </c>
      <c r="T432" s="16">
        <v>-1.6158029909685124E-10</v>
      </c>
    </row>
    <row r="433" spans="1:20" ht="16" hidden="1">
      <c r="A433" s="80" t="s">
        <v>631</v>
      </c>
      <c r="B433" s="81" t="s">
        <v>60</v>
      </c>
      <c r="C433" s="18"/>
      <c r="D433" s="21">
        <v>10</v>
      </c>
      <c r="E433" s="21">
        <v>10</v>
      </c>
      <c r="F433" s="21">
        <v>10</v>
      </c>
      <c r="G433" s="21">
        <v>10</v>
      </c>
      <c r="H433" s="21">
        <v>10</v>
      </c>
      <c r="I433" s="21">
        <v>10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0</v>
      </c>
      <c r="P433" s="20"/>
      <c r="Q433" s="82">
        <f t="shared" si="9"/>
        <v>1.1489575647584559E-6</v>
      </c>
      <c r="R433" s="14">
        <v>0</v>
      </c>
      <c r="S433" s="15">
        <v>0</v>
      </c>
      <c r="T433" s="16">
        <v>0</v>
      </c>
    </row>
    <row r="434" spans="1:20" ht="16" hidden="1">
      <c r="A434" s="80" t="s">
        <v>733</v>
      </c>
      <c r="B434" s="81" t="s">
        <v>85</v>
      </c>
      <c r="C434" s="18"/>
      <c r="D434" s="21">
        <v>10</v>
      </c>
      <c r="E434" s="21">
        <v>10</v>
      </c>
      <c r="F434" s="21">
        <v>10</v>
      </c>
      <c r="G434" s="21">
        <v>10</v>
      </c>
      <c r="H434" s="21">
        <v>10</v>
      </c>
      <c r="I434" s="21">
        <v>10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</v>
      </c>
      <c r="P434" s="20"/>
      <c r="Q434" s="82">
        <f t="shared" si="9"/>
        <v>1.1489575647584559E-6</v>
      </c>
      <c r="R434" s="14">
        <v>0.22999999999592546</v>
      </c>
      <c r="S434" s="15">
        <v>3.4886246566878657E-6</v>
      </c>
      <c r="T434" s="16">
        <v>1.0652793607293502E-3</v>
      </c>
    </row>
    <row r="435" spans="1:20" ht="16">
      <c r="A435" s="80" t="s">
        <v>746</v>
      </c>
      <c r="B435" s="81" t="s">
        <v>67</v>
      </c>
      <c r="C435" s="18"/>
      <c r="D435" s="21">
        <v>9.9904999999999973</v>
      </c>
      <c r="E435" s="21">
        <v>9.990499999999999</v>
      </c>
      <c r="F435" s="21">
        <v>9.990499999999999</v>
      </c>
      <c r="G435" s="21">
        <v>9.990499999999999</v>
      </c>
      <c r="H435" s="21">
        <v>9.9905000000000008</v>
      </c>
      <c r="I435" s="21">
        <v>9.990499999999999</v>
      </c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>
        <v>0</v>
      </c>
      <c r="P435" s="20"/>
      <c r="Q435" s="82">
        <f t="shared" si="9"/>
        <v>1.1478660550719352E-6</v>
      </c>
      <c r="R435" s="14">
        <v>-17300</v>
      </c>
      <c r="S435" s="15">
        <v>-1</v>
      </c>
      <c r="T435" s="16">
        <v>0</v>
      </c>
    </row>
    <row r="436" spans="1:20" ht="16" hidden="1">
      <c r="A436" s="80" t="s">
        <v>835</v>
      </c>
      <c r="B436" s="81" t="s">
        <v>62</v>
      </c>
      <c r="C436" s="18"/>
      <c r="D436" s="21">
        <v>45359.43</v>
      </c>
      <c r="E436" s="21">
        <v>45359.43</v>
      </c>
      <c r="F436" s="21">
        <v>9.7899999999999991</v>
      </c>
      <c r="G436" s="21">
        <v>9.7899999999999991</v>
      </c>
      <c r="H436" s="21">
        <v>9.7899999999999991</v>
      </c>
      <c r="I436" s="21">
        <v>9.7899999999999991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</v>
      </c>
      <c r="P436" s="20"/>
      <c r="Q436" s="82">
        <f t="shared" si="9"/>
        <v>1.1248294558985281E-6</v>
      </c>
      <c r="R436" s="14">
        <v>9.9999999999999811E-3</v>
      </c>
      <c r="S436" s="15">
        <v>6.2499999999999882E-2</v>
      </c>
      <c r="T436" s="16">
        <v>2.7468650846464717E-9</v>
      </c>
    </row>
    <row r="437" spans="1:20" ht="16" hidden="1">
      <c r="A437" s="80" t="s">
        <v>1099</v>
      </c>
      <c r="B437" s="81" t="s">
        <v>83</v>
      </c>
      <c r="C437" s="18"/>
      <c r="D437" s="21">
        <v>9.6081219999999998</v>
      </c>
      <c r="E437" s="21">
        <v>9.6081219999999998</v>
      </c>
      <c r="F437" s="21">
        <v>9.6081219999999998</v>
      </c>
      <c r="G437" s="21">
        <v>9.6081219999999998</v>
      </c>
      <c r="H437" s="21">
        <v>9.6081219999999998</v>
      </c>
      <c r="I437" s="21">
        <v>9.6081219999999998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</v>
      </c>
      <c r="P437" s="20"/>
      <c r="Q437" s="82">
        <f t="shared" si="9"/>
        <v>1.1039324455022145E-6</v>
      </c>
      <c r="R437" s="14">
        <v>2.7755575615628914E-17</v>
      </c>
      <c r="S437" s="15">
        <v>1.3877787807814459E-15</v>
      </c>
      <c r="T437" s="16">
        <v>3.23160598193703E-10</v>
      </c>
    </row>
    <row r="438" spans="1:20" ht="16" hidden="1">
      <c r="A438" s="80" t="s">
        <v>700</v>
      </c>
      <c r="B438" s="81" t="s">
        <v>60</v>
      </c>
      <c r="C438" s="18"/>
      <c r="D438" s="21">
        <v>9.57</v>
      </c>
      <c r="E438" s="21">
        <v>9.57</v>
      </c>
      <c r="F438" s="21">
        <v>9.57</v>
      </c>
      <c r="G438" s="21">
        <v>9.57</v>
      </c>
      <c r="H438" s="21">
        <v>9.57</v>
      </c>
      <c r="I438" s="21">
        <v>9.57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20"/>
      <c r="Q438" s="82">
        <f t="shared" si="9"/>
        <v>1.0995523894738423E-6</v>
      </c>
      <c r="R438" s="14">
        <v>9.9999999999997868E-3</v>
      </c>
      <c r="S438" s="15">
        <v>3.1152647975077209E-3</v>
      </c>
      <c r="T438" s="16">
        <v>5.2028856309186126E-8</v>
      </c>
    </row>
    <row r="439" spans="1:20" ht="16">
      <c r="A439" s="80" t="s">
        <v>1110</v>
      </c>
      <c r="B439" s="81" t="s">
        <v>67</v>
      </c>
      <c r="C439" s="18"/>
      <c r="D439" s="21">
        <v>9.56</v>
      </c>
      <c r="E439" s="21">
        <v>9.56</v>
      </c>
      <c r="F439" s="21">
        <v>9.56</v>
      </c>
      <c r="G439" s="21">
        <v>9.56</v>
      </c>
      <c r="H439" s="21">
        <v>9.56</v>
      </c>
      <c r="I439" s="21">
        <v>9.56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</v>
      </c>
      <c r="P439" s="20"/>
      <c r="Q439" s="82">
        <f t="shared" si="9"/>
        <v>1.0984034319090838E-6</v>
      </c>
      <c r="R439" s="14">
        <v>9995.4000000000015</v>
      </c>
      <c r="S439" s="15">
        <v>-0.74790117175224113</v>
      </c>
      <c r="T439" s="16">
        <v>-5.4439634371711091E-5</v>
      </c>
    </row>
    <row r="440" spans="1:20" ht="16" hidden="1">
      <c r="A440" s="80" t="s">
        <v>466</v>
      </c>
      <c r="B440" s="81" t="s">
        <v>60</v>
      </c>
      <c r="C440" s="18"/>
      <c r="D440" s="21">
        <v>9.4699999999999971</v>
      </c>
      <c r="E440" s="21">
        <v>9.4799999999999986</v>
      </c>
      <c r="F440" s="21">
        <v>9.4899999999999984</v>
      </c>
      <c r="G440" s="21">
        <v>9.4999999999999982</v>
      </c>
      <c r="H440" s="21">
        <v>9.5099999999999945</v>
      </c>
      <c r="I440" s="21">
        <v>9.5199999999999942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</v>
      </c>
      <c r="P440" s="20"/>
      <c r="Q440" s="82">
        <f t="shared" si="9"/>
        <v>1.0938076016500492E-6</v>
      </c>
      <c r="R440" s="14">
        <v>0</v>
      </c>
      <c r="S440" s="15">
        <v>0</v>
      </c>
      <c r="T440" s="16">
        <v>0</v>
      </c>
    </row>
    <row r="441" spans="1:20" ht="16" hidden="1">
      <c r="A441" s="80" t="s">
        <v>997</v>
      </c>
      <c r="B441" s="81" t="s">
        <v>76</v>
      </c>
      <c r="C441" s="18"/>
      <c r="D441" s="21">
        <v>7.61</v>
      </c>
      <c r="E441" s="21">
        <v>7.6100000000000012</v>
      </c>
      <c r="F441" s="21">
        <v>7.61</v>
      </c>
      <c r="G441" s="21">
        <v>7.61</v>
      </c>
      <c r="H441" s="21">
        <v>7.6100000000000012</v>
      </c>
      <c r="I441" s="21">
        <v>7.6100000000000012</v>
      </c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>
        <v>0</v>
      </c>
      <c r="P441" s="20"/>
      <c r="Q441" s="82">
        <f t="shared" si="9"/>
        <v>8.7435670678118505E-7</v>
      </c>
      <c r="R441" s="14">
        <v>0.01</v>
      </c>
      <c r="S441" s="15">
        <v>0</v>
      </c>
      <c r="T441" s="16">
        <v>1.6158029909685129E-10</v>
      </c>
    </row>
    <row r="442" spans="1:20" ht="16" hidden="1">
      <c r="A442" s="80" t="s">
        <v>1022</v>
      </c>
      <c r="B442" s="81" t="s">
        <v>62</v>
      </c>
      <c r="C442" s="18"/>
      <c r="D442" s="21">
        <v>336.17999999999961</v>
      </c>
      <c r="E442" s="21">
        <v>7.2799999999999994</v>
      </c>
      <c r="F442" s="21">
        <v>7.2799999999999994</v>
      </c>
      <c r="G442" s="21">
        <v>7.2799999999999994</v>
      </c>
      <c r="H442" s="21">
        <v>7.2799999999999994</v>
      </c>
      <c r="I442" s="21">
        <v>7.2799999999999994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0</v>
      </c>
      <c r="P442" s="20"/>
      <c r="Q442" s="82">
        <f t="shared" si="9"/>
        <v>8.3644110714415578E-7</v>
      </c>
      <c r="R442" s="14">
        <v>-10918.869999999995</v>
      </c>
      <c r="S442" s="15">
        <v>-0.52032404484208761</v>
      </c>
      <c r="T442" s="16">
        <v>1.6264479010730137E-4</v>
      </c>
    </row>
    <row r="443" spans="1:20" ht="16">
      <c r="A443" s="80" t="s">
        <v>856</v>
      </c>
      <c r="B443" s="81" t="s">
        <v>67</v>
      </c>
      <c r="C443" s="18"/>
      <c r="D443" s="21">
        <v>7.47</v>
      </c>
      <c r="E443" s="21">
        <v>7.47</v>
      </c>
      <c r="F443" s="21">
        <v>7.4700000000000006</v>
      </c>
      <c r="G443" s="21">
        <v>7.47</v>
      </c>
      <c r="H443" s="21">
        <v>7.4700000000000006</v>
      </c>
      <c r="I443" s="21">
        <v>7.18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</v>
      </c>
      <c r="P443" s="20"/>
      <c r="Q443" s="82">
        <f t="shared" si="9"/>
        <v>8.2495153149657125E-7</v>
      </c>
      <c r="R443" s="14">
        <v>-6280</v>
      </c>
      <c r="S443" s="15">
        <v>-3.4639606882382434E-2</v>
      </c>
      <c r="T443" s="16">
        <v>2.8279034215343102E-3</v>
      </c>
    </row>
    <row r="444" spans="1:20" ht="16">
      <c r="A444" s="80" t="s">
        <v>168</v>
      </c>
      <c r="B444" s="81" t="s">
        <v>67</v>
      </c>
      <c r="C444" s="18"/>
      <c r="D444" s="21">
        <v>12059.8</v>
      </c>
      <c r="E444" s="21">
        <v>12059.8</v>
      </c>
      <c r="F444" s="21">
        <v>7</v>
      </c>
      <c r="G444" s="21">
        <v>7</v>
      </c>
      <c r="H444" s="21">
        <v>7</v>
      </c>
      <c r="I444" s="21">
        <v>7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</v>
      </c>
      <c r="P444" s="20"/>
      <c r="Q444" s="82">
        <f t="shared" si="9"/>
        <v>8.0427029533091915E-7</v>
      </c>
      <c r="R444" s="14">
        <v>-42522.3</v>
      </c>
      <c r="S444" s="15">
        <v>-0.99999976482933306</v>
      </c>
      <c r="T444" s="16">
        <v>1.6158029909683987E-10</v>
      </c>
    </row>
    <row r="445" spans="1:20" ht="16" hidden="1">
      <c r="A445" s="80" t="s">
        <v>224</v>
      </c>
      <c r="B445" s="81" t="s">
        <v>66</v>
      </c>
      <c r="C445" s="18"/>
      <c r="D445" s="21">
        <v>6.419999999999999</v>
      </c>
      <c r="E445" s="21">
        <v>6.419999999999999</v>
      </c>
      <c r="F445" s="21">
        <v>6.419999999999999</v>
      </c>
      <c r="G445" s="21">
        <v>6.419999999999999</v>
      </c>
      <c r="H445" s="21">
        <v>6.419999999999999</v>
      </c>
      <c r="I445" s="21">
        <v>6.419999999999999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</v>
      </c>
      <c r="P445" s="20"/>
      <c r="Q445" s="82">
        <f t="shared" si="9"/>
        <v>7.376307565749286E-7</v>
      </c>
      <c r="R445" s="14">
        <v>0</v>
      </c>
      <c r="S445" s="15">
        <v>0</v>
      </c>
      <c r="T445" s="16">
        <v>0</v>
      </c>
    </row>
    <row r="446" spans="1:20" ht="16">
      <c r="A446" s="80" t="s">
        <v>312</v>
      </c>
      <c r="B446" s="81" t="s">
        <v>67</v>
      </c>
      <c r="C446" s="18"/>
      <c r="D446" s="21">
        <v>6.3699999999999912</v>
      </c>
      <c r="E446" s="21">
        <v>6.3699999999999957</v>
      </c>
      <c r="F446" s="21">
        <v>6.3699999999999957</v>
      </c>
      <c r="G446" s="21">
        <v>6.3699999999999983</v>
      </c>
      <c r="H446" s="21">
        <v>6.3699999999999948</v>
      </c>
      <c r="I446" s="21">
        <v>6.3699999999999939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</v>
      </c>
      <c r="P446" s="20"/>
      <c r="Q446" s="82">
        <f t="shared" si="9"/>
        <v>7.3188596875113565E-7</v>
      </c>
      <c r="R446" s="14">
        <v>0</v>
      </c>
      <c r="S446" s="15">
        <v>0</v>
      </c>
      <c r="T446" s="16">
        <v>0</v>
      </c>
    </row>
    <row r="447" spans="1:20" ht="16" hidden="1">
      <c r="A447" s="80" t="s">
        <v>466</v>
      </c>
      <c r="B447" s="81" t="s">
        <v>78</v>
      </c>
      <c r="C447" s="18"/>
      <c r="D447" s="21">
        <v>14723.850000000002</v>
      </c>
      <c r="E447" s="21">
        <v>14723.840000000002</v>
      </c>
      <c r="F447" s="21">
        <v>14723.840000000002</v>
      </c>
      <c r="G447" s="21">
        <v>14723.840000000002</v>
      </c>
      <c r="H447" s="21">
        <v>14723.840000000002</v>
      </c>
      <c r="I447" s="21">
        <v>5.9499999999999984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</v>
      </c>
      <c r="P447" s="20"/>
      <c r="Q447" s="82">
        <f t="shared" si="9"/>
        <v>6.8362975103128107E-7</v>
      </c>
      <c r="R447" s="14">
        <v>0</v>
      </c>
      <c r="S447" s="15">
        <v>0</v>
      </c>
      <c r="T447" s="16">
        <v>6.4632119638740517E-10</v>
      </c>
    </row>
    <row r="448" spans="1:20" ht="16" hidden="1">
      <c r="A448" s="80" t="s">
        <v>1222</v>
      </c>
      <c r="B448" s="81" t="s">
        <v>66</v>
      </c>
      <c r="C448" s="18"/>
      <c r="D448" s="21">
        <v>512.56000000000017</v>
      </c>
      <c r="E448" s="21">
        <v>5.7500000000000009</v>
      </c>
      <c r="F448" s="21">
        <v>5.7500000000000018</v>
      </c>
      <c r="G448" s="21">
        <v>5.7500000000000009</v>
      </c>
      <c r="H448" s="21">
        <v>5.7500000000000009</v>
      </c>
      <c r="I448" s="21">
        <v>5.7500000000000009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</v>
      </c>
      <c r="P448" s="20"/>
      <c r="Q448" s="82">
        <f t="shared" si="9"/>
        <v>6.6065059973611221E-7</v>
      </c>
      <c r="R448" s="14">
        <v>327789.52</v>
      </c>
      <c r="S448" s="15">
        <v>32778952</v>
      </c>
      <c r="T448" s="16">
        <v>5.2964330298216318E-3</v>
      </c>
    </row>
    <row r="449" spans="1:20" ht="16" hidden="1">
      <c r="A449" s="80" t="s">
        <v>194</v>
      </c>
      <c r="B449" s="81" t="s">
        <v>66</v>
      </c>
      <c r="C449" s="18"/>
      <c r="D449" s="21">
        <v>18392.029999999988</v>
      </c>
      <c r="E449" s="21">
        <v>33026.719999999979</v>
      </c>
      <c r="F449" s="21">
        <v>13925.240000000003</v>
      </c>
      <c r="G449" s="21">
        <v>13925.240000000003</v>
      </c>
      <c r="H449" s="21">
        <v>13925.240000000003</v>
      </c>
      <c r="I449" s="21">
        <v>5.24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</v>
      </c>
      <c r="P449" s="20"/>
      <c r="Q449" s="82">
        <f t="shared" si="9"/>
        <v>6.0205376393343085E-7</v>
      </c>
      <c r="R449" s="14">
        <v>1.0000000000000009E-2</v>
      </c>
      <c r="S449" s="15">
        <v>0.12500000000000014</v>
      </c>
      <c r="T449" s="16">
        <v>1.4542226918716617E-9</v>
      </c>
    </row>
    <row r="450" spans="1:20" ht="16" hidden="1">
      <c r="A450" s="80" t="s">
        <v>229</v>
      </c>
      <c r="B450" s="81" t="s">
        <v>85</v>
      </c>
      <c r="C450" s="18"/>
      <c r="D450" s="21">
        <v>5.1199999999999992</v>
      </c>
      <c r="E450" s="21">
        <v>5.1199999999999992</v>
      </c>
      <c r="F450" s="21">
        <v>5.1199999999999992</v>
      </c>
      <c r="G450" s="21">
        <v>5.1199999999999992</v>
      </c>
      <c r="H450" s="21">
        <v>5.12</v>
      </c>
      <c r="I450" s="21">
        <v>5.12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20"/>
      <c r="Q450" s="82">
        <f t="shared" si="9"/>
        <v>5.8826627315632945E-7</v>
      </c>
      <c r="R450" s="14">
        <v>91764.059999999939</v>
      </c>
      <c r="S450" s="15">
        <v>269894.29411764687</v>
      </c>
      <c r="T450" s="16">
        <v>1.4827319198443092E-3</v>
      </c>
    </row>
    <row r="451" spans="1:20" ht="16" hidden="1">
      <c r="A451" s="80" t="s">
        <v>672</v>
      </c>
      <c r="B451" s="81" t="s">
        <v>60</v>
      </c>
      <c r="C451" s="18"/>
      <c r="D451" s="21">
        <v>337.70000000000005</v>
      </c>
      <c r="E451" s="21">
        <v>337.70000000000005</v>
      </c>
      <c r="F451" s="21">
        <v>337.70000000000005</v>
      </c>
      <c r="G451" s="21">
        <v>337.70000000000005</v>
      </c>
      <c r="H451" s="21">
        <v>5.0600000000000005</v>
      </c>
      <c r="I451" s="21">
        <v>5.0600000000000005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</v>
      </c>
      <c r="P451" s="20"/>
      <c r="Q451" s="82">
        <f t="shared" si="9"/>
        <v>5.8137252776777875E-7</v>
      </c>
      <c r="R451" s="14">
        <v>0</v>
      </c>
      <c r="S451" s="15">
        <v>0</v>
      </c>
      <c r="T451" s="16">
        <v>0</v>
      </c>
    </row>
    <row r="452" spans="1:20" ht="16" hidden="1">
      <c r="A452" s="80" t="s">
        <v>730</v>
      </c>
      <c r="B452" s="81" t="s">
        <v>78</v>
      </c>
      <c r="C452" s="18"/>
      <c r="D452" s="21">
        <v>4.83</v>
      </c>
      <c r="E452" s="21">
        <v>4.83</v>
      </c>
      <c r="F452" s="21">
        <v>4.83</v>
      </c>
      <c r="G452" s="21">
        <v>4.83</v>
      </c>
      <c r="H452" s="21">
        <v>4.83</v>
      </c>
      <c r="I452" s="21">
        <v>4.83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</v>
      </c>
      <c r="P452" s="20"/>
      <c r="Q452" s="82">
        <f t="shared" si="9"/>
        <v>5.5494650377833423E-7</v>
      </c>
      <c r="R452" s="14">
        <v>0</v>
      </c>
      <c r="S452" s="15">
        <v>0</v>
      </c>
      <c r="T452" s="16">
        <v>0</v>
      </c>
    </row>
    <row r="453" spans="1:20" ht="16" hidden="1">
      <c r="A453" s="80" t="s">
        <v>103</v>
      </c>
      <c r="B453" s="81" t="s">
        <v>62</v>
      </c>
      <c r="C453" s="18"/>
      <c r="D453" s="21">
        <v>4.8099999999999996</v>
      </c>
      <c r="E453" s="21">
        <v>4.8099999999999996</v>
      </c>
      <c r="F453" s="21">
        <v>4.8099999999999996</v>
      </c>
      <c r="G453" s="21">
        <v>4.8099999999999996</v>
      </c>
      <c r="H453" s="21">
        <v>4.8099999999999996</v>
      </c>
      <c r="I453" s="21">
        <v>4.8099999999999996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</v>
      </c>
      <c r="P453" s="20"/>
      <c r="Q453" s="82">
        <f t="shared" si="9"/>
        <v>5.5264858864881726E-7</v>
      </c>
      <c r="R453" s="14">
        <v>0</v>
      </c>
      <c r="S453" s="15">
        <v>0</v>
      </c>
      <c r="T453" s="16">
        <v>0</v>
      </c>
    </row>
    <row r="454" spans="1:20" ht="16" hidden="1">
      <c r="A454" s="80" t="s">
        <v>466</v>
      </c>
      <c r="B454" s="81" t="s">
        <v>66</v>
      </c>
      <c r="C454" s="18"/>
      <c r="D454" s="21">
        <v>4.2000000000000011</v>
      </c>
      <c r="E454" s="21">
        <v>4.2000000000000011</v>
      </c>
      <c r="F454" s="21">
        <v>4.2000000000000011</v>
      </c>
      <c r="G454" s="21">
        <v>4.2000000000000011</v>
      </c>
      <c r="H454" s="21">
        <v>4.2000000000000011</v>
      </c>
      <c r="I454" s="21">
        <v>4.2000000000000011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</v>
      </c>
      <c r="P454" s="20"/>
      <c r="Q454" s="82">
        <f t="shared" si="9"/>
        <v>4.8256217719855157E-7</v>
      </c>
      <c r="R454" s="14">
        <v>0</v>
      </c>
      <c r="S454" s="15">
        <v>0</v>
      </c>
      <c r="T454" s="16">
        <v>-1.5026967816007172E-8</v>
      </c>
    </row>
    <row r="455" spans="1:20" ht="16">
      <c r="A455" s="80" t="s">
        <v>733</v>
      </c>
      <c r="B455" s="81" t="s">
        <v>67</v>
      </c>
      <c r="C455" s="18"/>
      <c r="D455" s="21">
        <v>4</v>
      </c>
      <c r="E455" s="21">
        <v>4</v>
      </c>
      <c r="F455" s="21">
        <v>4</v>
      </c>
      <c r="G455" s="21">
        <v>4</v>
      </c>
      <c r="H455" s="21">
        <v>4</v>
      </c>
      <c r="I455" s="21">
        <v>4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</v>
      </c>
      <c r="P455" s="20"/>
      <c r="Q455" s="82">
        <f t="shared" si="9"/>
        <v>4.5958302590338235E-7</v>
      </c>
      <c r="R455" s="14">
        <v>0</v>
      </c>
      <c r="S455" s="15">
        <v>0</v>
      </c>
      <c r="T455" s="16">
        <v>6.4632119638740517E-10</v>
      </c>
    </row>
    <row r="456" spans="1:20" ht="16" hidden="1">
      <c r="A456" s="80" t="s">
        <v>1196</v>
      </c>
      <c r="B456" s="81" t="s">
        <v>66</v>
      </c>
      <c r="C456" s="18"/>
      <c r="D456" s="21">
        <v>3.89</v>
      </c>
      <c r="E456" s="21">
        <v>3.89</v>
      </c>
      <c r="F456" s="21">
        <v>3.89</v>
      </c>
      <c r="G456" s="21">
        <v>3.89</v>
      </c>
      <c r="H456" s="21">
        <v>3.89</v>
      </c>
      <c r="I456" s="21">
        <v>3.89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</v>
      </c>
      <c r="P456" s="20"/>
      <c r="Q456" s="82">
        <f t="shared" si="9"/>
        <v>4.4694449269103933E-7</v>
      </c>
      <c r="R456" s="14">
        <v>17280</v>
      </c>
      <c r="S456" s="15">
        <v>2</v>
      </c>
      <c r="T456" s="16">
        <v>4.1881613525903858E-4</v>
      </c>
    </row>
    <row r="457" spans="1:20" ht="16">
      <c r="A457" s="80" t="s">
        <v>200</v>
      </c>
      <c r="B457" s="81" t="s">
        <v>67</v>
      </c>
      <c r="C457" s="18"/>
      <c r="D457" s="21">
        <v>3.5600000000000005</v>
      </c>
      <c r="E457" s="21">
        <v>3.5600000000000005</v>
      </c>
      <c r="F457" s="21">
        <v>3.5600000000000009</v>
      </c>
      <c r="G457" s="21">
        <v>3.5600000000000005</v>
      </c>
      <c r="H457" s="21">
        <v>3.5600000000000009</v>
      </c>
      <c r="I457" s="21">
        <v>3.5600000000000009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</v>
      </c>
      <c r="P457" s="20"/>
      <c r="Q457" s="82">
        <f t="shared" si="9"/>
        <v>4.0902889305401038E-7</v>
      </c>
      <c r="R457" s="14">
        <v>0</v>
      </c>
      <c r="S457" s="15">
        <v>0</v>
      </c>
      <c r="T457" s="16">
        <v>-1.6158029909685129E-10</v>
      </c>
    </row>
    <row r="458" spans="1:20" ht="16" hidden="1">
      <c r="A458" s="80" t="s">
        <v>522</v>
      </c>
      <c r="B458" s="81" t="s">
        <v>60</v>
      </c>
      <c r="C458" s="18"/>
      <c r="D458" s="21">
        <v>3.49</v>
      </c>
      <c r="E458" s="21">
        <v>3.49</v>
      </c>
      <c r="F458" s="21">
        <v>3.49</v>
      </c>
      <c r="G458" s="21">
        <v>3.49</v>
      </c>
      <c r="H458" s="21">
        <v>3.49</v>
      </c>
      <c r="I458" s="21">
        <v>3.49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</v>
      </c>
      <c r="P458" s="20"/>
      <c r="Q458" s="82">
        <f t="shared" si="9"/>
        <v>4.0098619010070114E-7</v>
      </c>
      <c r="R458" s="14">
        <v>0</v>
      </c>
      <c r="S458" s="15">
        <v>0</v>
      </c>
      <c r="T458" s="16">
        <v>0</v>
      </c>
    </row>
    <row r="459" spans="1:20" ht="16">
      <c r="A459" s="80" t="s">
        <v>806</v>
      </c>
      <c r="B459" s="81" t="s">
        <v>67</v>
      </c>
      <c r="C459" s="18"/>
      <c r="D459" s="21">
        <v>0.96</v>
      </c>
      <c r="E459" s="21">
        <v>1.44</v>
      </c>
      <c r="F459" s="21">
        <v>1.92</v>
      </c>
      <c r="G459" s="21">
        <v>2.4</v>
      </c>
      <c r="H459" s="21">
        <v>2.88</v>
      </c>
      <c r="I459" s="21">
        <v>3.36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0</v>
      </c>
      <c r="P459" s="20"/>
      <c r="Q459" s="82">
        <f t="shared" ref="Q459:Q522" si="10">IFERROR(I459/$I$4," ")</f>
        <v>3.8604974175884115E-7</v>
      </c>
      <c r="R459" s="14">
        <v>0</v>
      </c>
      <c r="S459" s="15">
        <v>0</v>
      </c>
      <c r="T459" s="16">
        <v>0</v>
      </c>
    </row>
    <row r="460" spans="1:20" ht="16">
      <c r="A460" s="80" t="s">
        <v>868</v>
      </c>
      <c r="B460" s="81" t="s">
        <v>67</v>
      </c>
      <c r="C460" s="18"/>
      <c r="D460" s="21">
        <v>3.2600000000000002</v>
      </c>
      <c r="E460" s="21">
        <v>3.2600000000000002</v>
      </c>
      <c r="F460" s="21">
        <v>3.28</v>
      </c>
      <c r="G460" s="21">
        <v>3.28</v>
      </c>
      <c r="H460" s="21">
        <v>3.28</v>
      </c>
      <c r="I460" s="21">
        <v>3.28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</v>
      </c>
      <c r="P460" s="20"/>
      <c r="Q460" s="82">
        <f t="shared" si="10"/>
        <v>3.7685808124077348E-7</v>
      </c>
      <c r="R460" s="14">
        <v>0</v>
      </c>
      <c r="S460" s="15">
        <v>0</v>
      </c>
      <c r="T460" s="16">
        <v>0</v>
      </c>
    </row>
    <row r="461" spans="1:20" ht="16" hidden="1">
      <c r="A461" s="80" t="s">
        <v>393</v>
      </c>
      <c r="B461" s="81" t="s">
        <v>85</v>
      </c>
      <c r="C461" s="18"/>
      <c r="D461" s="21">
        <v>3.2000000000000011</v>
      </c>
      <c r="E461" s="21">
        <v>3.2000000000000011</v>
      </c>
      <c r="F461" s="21">
        <v>3.2000000000000011</v>
      </c>
      <c r="G461" s="21">
        <v>3.2000000000000011</v>
      </c>
      <c r="H461" s="21">
        <v>3.2100000000000009</v>
      </c>
      <c r="I461" s="21">
        <v>3.2200000000000006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</v>
      </c>
      <c r="P461" s="20"/>
      <c r="Q461" s="82">
        <f t="shared" si="10"/>
        <v>3.6996433585222284E-7</v>
      </c>
      <c r="R461" s="14">
        <v>0</v>
      </c>
      <c r="S461" s="15">
        <v>0</v>
      </c>
      <c r="T461" s="16">
        <v>1.1310620936779592E-9</v>
      </c>
    </row>
    <row r="462" spans="1:20" ht="16" hidden="1">
      <c r="A462" s="80" t="s">
        <v>239</v>
      </c>
      <c r="B462" s="81" t="s">
        <v>78</v>
      </c>
      <c r="C462" s="18"/>
      <c r="D462" s="21">
        <v>127106.74</v>
      </c>
      <c r="E462" s="21">
        <v>191843.3</v>
      </c>
      <c r="F462" s="21">
        <v>8932.2599999999966</v>
      </c>
      <c r="G462" s="21">
        <v>3.08</v>
      </c>
      <c r="H462" s="21">
        <v>3.08</v>
      </c>
      <c r="I462" s="21">
        <v>3.08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0</v>
      </c>
      <c r="P462" s="20"/>
      <c r="Q462" s="82">
        <f t="shared" si="10"/>
        <v>3.5387892994560442E-7</v>
      </c>
      <c r="R462" s="14">
        <v>9.9999999999999811E-3</v>
      </c>
      <c r="S462" s="15">
        <v>0.14285714285714254</v>
      </c>
      <c r="T462" s="16">
        <v>1.2926423927748103E-9</v>
      </c>
    </row>
    <row r="463" spans="1:20" ht="16" hidden="1">
      <c r="A463" s="80" t="s">
        <v>966</v>
      </c>
      <c r="B463" s="81" t="s">
        <v>60</v>
      </c>
      <c r="C463" s="18"/>
      <c r="D463" s="21">
        <v>8044.3099999999995</v>
      </c>
      <c r="E463" s="21">
        <v>3.0100000000000007</v>
      </c>
      <c r="F463" s="21">
        <v>3.0100000000000007</v>
      </c>
      <c r="G463" s="21">
        <v>3.0300000000000002</v>
      </c>
      <c r="H463" s="21">
        <v>3.0300000000000002</v>
      </c>
      <c r="I463" s="21">
        <v>3.04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20"/>
      <c r="Q463" s="82">
        <f t="shared" si="10"/>
        <v>3.4928309968657058E-7</v>
      </c>
      <c r="R463" s="14">
        <v>0</v>
      </c>
      <c r="S463" s="15">
        <v>0</v>
      </c>
      <c r="T463" s="16">
        <v>-1.3960537841967953E-7</v>
      </c>
    </row>
    <row r="464" spans="1:20" ht="16" hidden="1">
      <c r="A464" s="80" t="s">
        <v>1078</v>
      </c>
      <c r="B464" s="81" t="s">
        <v>85</v>
      </c>
      <c r="C464" s="18"/>
      <c r="D464" s="21">
        <v>2.97</v>
      </c>
      <c r="E464" s="21">
        <v>2.97</v>
      </c>
      <c r="F464" s="21">
        <v>2.9699999999999998</v>
      </c>
      <c r="G464" s="21">
        <v>2.97</v>
      </c>
      <c r="H464" s="21">
        <v>2.97</v>
      </c>
      <c r="I464" s="21">
        <v>2.97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</v>
      </c>
      <c r="P464" s="20"/>
      <c r="Q464" s="82">
        <f t="shared" si="10"/>
        <v>3.412403967332614E-7</v>
      </c>
      <c r="R464" s="14">
        <v>0</v>
      </c>
      <c r="S464" s="15">
        <v>0</v>
      </c>
      <c r="T464" s="16">
        <v>0</v>
      </c>
    </row>
    <row r="465" spans="1:20" ht="16" hidden="1">
      <c r="A465" s="80" t="s">
        <v>760</v>
      </c>
      <c r="B465" s="81" t="s">
        <v>78</v>
      </c>
      <c r="C465" s="18"/>
      <c r="D465" s="21">
        <v>632.78999999999985</v>
      </c>
      <c r="E465" s="21">
        <v>2.7500000000000004</v>
      </c>
      <c r="F465" s="21">
        <v>2.7500000000000009</v>
      </c>
      <c r="G465" s="21">
        <v>2.7500000000000009</v>
      </c>
      <c r="H465" s="21">
        <v>2.7500000000000009</v>
      </c>
      <c r="I465" s="21">
        <v>2.7500000000000009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</v>
      </c>
      <c r="P465" s="20"/>
      <c r="Q465" s="82">
        <f t="shared" si="10"/>
        <v>3.1596333030857547E-7</v>
      </c>
      <c r="R465" s="14">
        <v>0</v>
      </c>
      <c r="S465" s="15">
        <v>0</v>
      </c>
      <c r="T465" s="16">
        <v>0</v>
      </c>
    </row>
    <row r="466" spans="1:20" ht="16" hidden="1">
      <c r="A466" s="80" t="s">
        <v>365</v>
      </c>
      <c r="B466" s="81" t="s">
        <v>145</v>
      </c>
      <c r="C466" s="18"/>
      <c r="D466" s="21">
        <v>0</v>
      </c>
      <c r="E466" s="21">
        <v>2.6699999999999977</v>
      </c>
      <c r="F466" s="21">
        <v>2.67</v>
      </c>
      <c r="G466" s="21">
        <v>2.6699999999999995</v>
      </c>
      <c r="H466" s="21">
        <v>2.669999999999999</v>
      </c>
      <c r="I466" s="21">
        <v>2.669999999999999</v>
      </c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>
        <v>0</v>
      </c>
      <c r="P466" s="20"/>
      <c r="Q466" s="82">
        <f t="shared" si="10"/>
        <v>3.0677166979050759E-7</v>
      </c>
      <c r="R466" s="14">
        <v>0</v>
      </c>
      <c r="S466" s="15">
        <v>0</v>
      </c>
      <c r="T466" s="16">
        <v>0</v>
      </c>
    </row>
    <row r="467" spans="1:20" ht="16" hidden="1">
      <c r="A467" s="80" t="s">
        <v>653</v>
      </c>
      <c r="B467" s="81" t="s">
        <v>85</v>
      </c>
      <c r="C467" s="18"/>
      <c r="D467" s="21">
        <v>0.56000000000000005</v>
      </c>
      <c r="E467" s="21">
        <v>1.05</v>
      </c>
      <c r="F467" s="21">
        <v>1.54</v>
      </c>
      <c r="G467" s="21">
        <v>1.54</v>
      </c>
      <c r="H467" s="21">
        <v>2.0299999999999998</v>
      </c>
      <c r="I467" s="21">
        <v>2.52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</v>
      </c>
      <c r="P467" s="20"/>
      <c r="Q467" s="82">
        <f t="shared" si="10"/>
        <v>2.8953730631913089E-7</v>
      </c>
      <c r="R467" s="14">
        <v>0</v>
      </c>
      <c r="S467" s="15">
        <v>0</v>
      </c>
      <c r="T467" s="16">
        <v>0</v>
      </c>
    </row>
    <row r="468" spans="1:20" ht="16">
      <c r="A468" s="80" t="s">
        <v>1039</v>
      </c>
      <c r="B468" s="81" t="s">
        <v>67</v>
      </c>
      <c r="C468" s="18"/>
      <c r="D468" s="21">
        <v>2.4699999999999989</v>
      </c>
      <c r="E468" s="21">
        <v>2.4699999999999984</v>
      </c>
      <c r="F468" s="21">
        <v>2.4699999999999984</v>
      </c>
      <c r="G468" s="21">
        <v>2.469999999999998</v>
      </c>
      <c r="H468" s="21">
        <v>2.4699999999999993</v>
      </c>
      <c r="I468" s="21">
        <v>2.4699999999999989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</v>
      </c>
      <c r="P468" s="20"/>
      <c r="Q468" s="82">
        <f t="shared" si="10"/>
        <v>2.8379251849533847E-7</v>
      </c>
      <c r="R468" s="14">
        <v>0</v>
      </c>
      <c r="S468" s="15">
        <v>0</v>
      </c>
      <c r="T468" s="16">
        <v>0</v>
      </c>
    </row>
    <row r="469" spans="1:20" ht="16" hidden="1">
      <c r="A469" s="80" t="s">
        <v>1131</v>
      </c>
      <c r="B469" s="81" t="s">
        <v>60</v>
      </c>
      <c r="C469" s="18"/>
      <c r="D469" s="21">
        <v>258.05000000000007</v>
      </c>
      <c r="E469" s="21">
        <v>258.05000000000007</v>
      </c>
      <c r="F469" s="21">
        <v>258.05000000000007</v>
      </c>
      <c r="G469" s="21">
        <v>258.05000000000007</v>
      </c>
      <c r="H469" s="21">
        <v>2.4399999999999991</v>
      </c>
      <c r="I469" s="21">
        <v>2.4399999999999991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0</v>
      </c>
      <c r="P469" s="20"/>
      <c r="Q469" s="82">
        <f t="shared" si="10"/>
        <v>2.8034564580106312E-7</v>
      </c>
      <c r="R469" s="14">
        <v>-12655.279999999999</v>
      </c>
      <c r="S469" s="15">
        <v>-0.12499943205781754</v>
      </c>
      <c r="T469" s="16">
        <v>1.4313981819818382E-3</v>
      </c>
    </row>
    <row r="470" spans="1:20" ht="16">
      <c r="A470" s="80" t="s">
        <v>330</v>
      </c>
      <c r="B470" s="81" t="s">
        <v>67</v>
      </c>
      <c r="C470" s="18"/>
      <c r="D470" s="21">
        <v>16274.659999999998</v>
      </c>
      <c r="E470" s="21">
        <v>2.2999999999999998</v>
      </c>
      <c r="F470" s="21">
        <v>2.3000000000000012</v>
      </c>
      <c r="G470" s="21">
        <v>2.3000000000000007</v>
      </c>
      <c r="H470" s="21">
        <v>2.2999999999999998</v>
      </c>
      <c r="I470" s="21">
        <v>2.2999999999999998</v>
      </c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>
        <v>0</v>
      </c>
      <c r="P470" s="20"/>
      <c r="Q470" s="82">
        <f t="shared" si="10"/>
        <v>2.6426023989444485E-7</v>
      </c>
      <c r="R470" s="14">
        <v>0</v>
      </c>
      <c r="S470" s="15">
        <v>0</v>
      </c>
      <c r="T470" s="16">
        <v>6.3016316647772011E-9</v>
      </c>
    </row>
    <row r="471" spans="1:20" ht="16" hidden="1">
      <c r="A471" s="80" t="s">
        <v>868</v>
      </c>
      <c r="B471" s="81" t="s">
        <v>62</v>
      </c>
      <c r="C471" s="18"/>
      <c r="D471" s="21">
        <v>0.03</v>
      </c>
      <c r="E471" s="21">
        <v>0.03</v>
      </c>
      <c r="F471" s="21">
        <v>116610.87</v>
      </c>
      <c r="G471" s="21">
        <v>1.44</v>
      </c>
      <c r="H471" s="21">
        <v>1.46</v>
      </c>
      <c r="I471" s="21">
        <v>2.17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0</v>
      </c>
      <c r="P471" s="20"/>
      <c r="Q471" s="82">
        <f t="shared" si="10"/>
        <v>2.4932379155258492E-7</v>
      </c>
      <c r="R471" s="14">
        <v>0</v>
      </c>
      <c r="S471" s="15">
        <v>0</v>
      </c>
      <c r="T471" s="16">
        <v>-3.2316059819370253E-10</v>
      </c>
    </row>
    <row r="472" spans="1:20" ht="16" hidden="1">
      <c r="A472" s="80" t="s">
        <v>1097</v>
      </c>
      <c r="B472" s="81" t="s">
        <v>62</v>
      </c>
      <c r="C472" s="18"/>
      <c r="D472" s="21">
        <v>2.15</v>
      </c>
      <c r="E472" s="21">
        <v>2.15</v>
      </c>
      <c r="F472" s="21">
        <v>2.1500000000000004</v>
      </c>
      <c r="G472" s="21">
        <v>2.15</v>
      </c>
      <c r="H472" s="21">
        <v>2.15</v>
      </c>
      <c r="I472" s="21">
        <v>2.15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</v>
      </c>
      <c r="P472" s="20"/>
      <c r="Q472" s="82">
        <f t="shared" si="10"/>
        <v>2.47025876423068E-7</v>
      </c>
      <c r="R472" s="14">
        <v>0</v>
      </c>
      <c r="S472" s="15">
        <v>0</v>
      </c>
      <c r="T472" s="16">
        <v>1.6158029909685129E-10</v>
      </c>
    </row>
    <row r="473" spans="1:20" ht="16" hidden="1">
      <c r="A473" s="80" t="s">
        <v>1074</v>
      </c>
      <c r="B473" s="81" t="s">
        <v>78</v>
      </c>
      <c r="C473" s="18"/>
      <c r="D473" s="21">
        <v>2.1300000000000003</v>
      </c>
      <c r="E473" s="21">
        <v>2.1300000000000003</v>
      </c>
      <c r="F473" s="21">
        <v>2.1300000000000003</v>
      </c>
      <c r="G473" s="21">
        <v>2.1300000000000003</v>
      </c>
      <c r="H473" s="21">
        <v>2.1300000000000003</v>
      </c>
      <c r="I473" s="21">
        <v>2.1300000000000003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</v>
      </c>
      <c r="P473" s="20"/>
      <c r="Q473" s="82">
        <f t="shared" si="10"/>
        <v>2.4472796129355114E-7</v>
      </c>
      <c r="R473" s="14">
        <v>2.0000000000000004E-2</v>
      </c>
      <c r="S473" s="15">
        <v>0.22222222222222227</v>
      </c>
      <c r="T473" s="16">
        <v>1.7773832900653643E-9</v>
      </c>
    </row>
    <row r="474" spans="1:20" ht="16" hidden="1">
      <c r="A474" s="80" t="s">
        <v>864</v>
      </c>
      <c r="B474" s="81" t="s">
        <v>85</v>
      </c>
      <c r="C474" s="18"/>
      <c r="D474" s="21">
        <v>2.08</v>
      </c>
      <c r="E474" s="21">
        <v>2.08</v>
      </c>
      <c r="F474" s="21">
        <v>2.08</v>
      </c>
      <c r="G474" s="21">
        <v>2.08</v>
      </c>
      <c r="H474" s="21">
        <v>2.08</v>
      </c>
      <c r="I474" s="21">
        <v>2.08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</v>
      </c>
      <c r="P474" s="20"/>
      <c r="Q474" s="82">
        <f t="shared" si="10"/>
        <v>2.3898317346975882E-7</v>
      </c>
      <c r="R474" s="14">
        <v>0</v>
      </c>
      <c r="S474" s="15">
        <v>0</v>
      </c>
      <c r="T474" s="16">
        <v>0</v>
      </c>
    </row>
    <row r="475" spans="1:20" ht="16" hidden="1">
      <c r="A475" s="80" t="s">
        <v>82</v>
      </c>
      <c r="B475" s="81" t="s">
        <v>83</v>
      </c>
      <c r="C475" s="18"/>
      <c r="D475" s="21">
        <v>2.0495860000000006</v>
      </c>
      <c r="E475" s="21">
        <v>2.0495860000000006</v>
      </c>
      <c r="F475" s="21">
        <v>2.0495860000000006</v>
      </c>
      <c r="G475" s="21">
        <v>2.0495860000000006</v>
      </c>
      <c r="H475" s="21">
        <v>2.0495860000000006</v>
      </c>
      <c r="I475" s="21">
        <v>2.0495860000000006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</v>
      </c>
      <c r="P475" s="20"/>
      <c r="Q475" s="82">
        <f t="shared" si="10"/>
        <v>2.3548873393230252E-7</v>
      </c>
      <c r="R475" s="14">
        <v>33585.317100000015</v>
      </c>
      <c r="S475" s="15">
        <v>52.234862215455081</v>
      </c>
      <c r="T475" s="16">
        <v>5.5306164580695824E-4</v>
      </c>
    </row>
    <row r="476" spans="1:20" ht="16" hidden="1">
      <c r="A476" s="80" t="s">
        <v>906</v>
      </c>
      <c r="B476" s="81" t="s">
        <v>145</v>
      </c>
      <c r="C476" s="18"/>
      <c r="D476" s="21">
        <v>2.02</v>
      </c>
      <c r="E476" s="21">
        <v>2.02</v>
      </c>
      <c r="F476" s="21">
        <v>2.02</v>
      </c>
      <c r="G476" s="21">
        <v>2.02</v>
      </c>
      <c r="H476" s="21">
        <v>2.02</v>
      </c>
      <c r="I476" s="21">
        <v>2.02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</v>
      </c>
      <c r="P476" s="20"/>
      <c r="Q476" s="82">
        <f t="shared" si="10"/>
        <v>2.3208942808120809E-7</v>
      </c>
      <c r="R476" s="14">
        <v>0</v>
      </c>
      <c r="S476" s="15">
        <v>0</v>
      </c>
      <c r="T476" s="16">
        <v>0</v>
      </c>
    </row>
    <row r="477" spans="1:20" ht="16" hidden="1">
      <c r="A477" s="80" t="s">
        <v>732</v>
      </c>
      <c r="B477" s="81" t="s">
        <v>85</v>
      </c>
      <c r="C477" s="18"/>
      <c r="D477" s="21">
        <v>2.0099999999999998</v>
      </c>
      <c r="E477" s="21">
        <v>2.0099999999999998</v>
      </c>
      <c r="F477" s="21">
        <v>2.0099999999999998</v>
      </c>
      <c r="G477" s="21">
        <v>18754.379999999997</v>
      </c>
      <c r="H477" s="21">
        <v>2.0099999999999998</v>
      </c>
      <c r="I477" s="21">
        <v>2.0099999999999998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</v>
      </c>
      <c r="P477" s="20"/>
      <c r="Q477" s="82">
        <f t="shared" si="10"/>
        <v>2.3094047051644961E-7</v>
      </c>
      <c r="R477" s="14">
        <v>0</v>
      </c>
      <c r="S477" s="15">
        <v>0</v>
      </c>
      <c r="T477" s="16">
        <v>0</v>
      </c>
    </row>
    <row r="478" spans="1:20" ht="16">
      <c r="A478" s="80" t="s">
        <v>466</v>
      </c>
      <c r="B478" s="81" t="s">
        <v>67</v>
      </c>
      <c r="C478" s="18"/>
      <c r="D478" s="21">
        <v>1.9200000000000061</v>
      </c>
      <c r="E478" s="21">
        <v>1.9299999999999995</v>
      </c>
      <c r="F478" s="21">
        <v>1.9399999999999997</v>
      </c>
      <c r="G478" s="21">
        <v>1.9500000000000002</v>
      </c>
      <c r="H478" s="21">
        <v>1.9600000000000033</v>
      </c>
      <c r="I478" s="21">
        <v>1.9700000000000042</v>
      </c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>
        <v>0</v>
      </c>
      <c r="P478" s="20"/>
      <c r="Q478" s="82">
        <f t="shared" si="10"/>
        <v>2.263446402574163E-7</v>
      </c>
      <c r="R478" s="14">
        <v>0</v>
      </c>
      <c r="S478" s="15">
        <v>0</v>
      </c>
      <c r="T478" s="16">
        <v>0</v>
      </c>
    </row>
    <row r="479" spans="1:20" ht="16" hidden="1">
      <c r="A479" s="80" t="s">
        <v>592</v>
      </c>
      <c r="B479" s="81" t="s">
        <v>62</v>
      </c>
      <c r="C479" s="18"/>
      <c r="D479" s="21">
        <v>1.9152469999999999</v>
      </c>
      <c r="E479" s="21">
        <v>96296.325247000015</v>
      </c>
      <c r="F479" s="21">
        <v>1.915247000000003</v>
      </c>
      <c r="G479" s="21">
        <v>1.9152469999999981</v>
      </c>
      <c r="H479" s="21">
        <v>1.9152470000000092</v>
      </c>
      <c r="I479" s="21">
        <v>1.9152470000000097</v>
      </c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>
        <v>0</v>
      </c>
      <c r="P479" s="20"/>
      <c r="Q479" s="82">
        <f t="shared" si="10"/>
        <v>2.2005375290309495E-7</v>
      </c>
      <c r="R479" s="14">
        <v>0</v>
      </c>
      <c r="S479" s="15">
        <v>0</v>
      </c>
      <c r="T479" s="16">
        <v>1.6158029909685129E-10</v>
      </c>
    </row>
    <row r="480" spans="1:20" ht="16" hidden="1">
      <c r="A480" s="80" t="s">
        <v>365</v>
      </c>
      <c r="B480" s="81" t="s">
        <v>62</v>
      </c>
      <c r="C480" s="18"/>
      <c r="D480" s="21">
        <v>0</v>
      </c>
      <c r="E480" s="21">
        <v>1.8194699999999999</v>
      </c>
      <c r="F480" s="21">
        <v>1.829469999999999</v>
      </c>
      <c r="G480" s="21">
        <v>1.8394699999999997</v>
      </c>
      <c r="H480" s="21">
        <v>902.7823820000001</v>
      </c>
      <c r="I480" s="21">
        <v>1.8494699999999999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</v>
      </c>
      <c r="P480" s="20"/>
      <c r="Q480" s="82">
        <f t="shared" si="10"/>
        <v>2.1249625472938213E-7</v>
      </c>
      <c r="R480" s="14">
        <v>0</v>
      </c>
      <c r="S480" s="15">
        <v>0</v>
      </c>
      <c r="T480" s="16">
        <v>0</v>
      </c>
    </row>
    <row r="481" spans="1:20" ht="16">
      <c r="A481" s="80" t="s">
        <v>454</v>
      </c>
      <c r="B481" s="81" t="s">
        <v>67</v>
      </c>
      <c r="C481" s="18"/>
      <c r="D481" s="21">
        <v>1.76</v>
      </c>
      <c r="E481" s="21">
        <v>1.76</v>
      </c>
      <c r="F481" s="21">
        <v>1.7599999999999996</v>
      </c>
      <c r="G481" s="21">
        <v>1.7600000000000005</v>
      </c>
      <c r="H481" s="21">
        <v>1.7600000000000005</v>
      </c>
      <c r="I481" s="21">
        <v>1.7600000000000005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</v>
      </c>
      <c r="P481" s="20"/>
      <c r="Q481" s="82">
        <f t="shared" si="10"/>
        <v>2.0221653139748827E-7</v>
      </c>
      <c r="R481" s="14">
        <v>6.0000000000001066E-2</v>
      </c>
      <c r="S481" s="15">
        <v>2.000000000000115</v>
      </c>
      <c r="T481" s="16">
        <v>1.4542226918716597E-9</v>
      </c>
    </row>
    <row r="482" spans="1:20" ht="16" hidden="1">
      <c r="A482" s="80" t="s">
        <v>626</v>
      </c>
      <c r="B482" s="81" t="s">
        <v>78</v>
      </c>
      <c r="C482" s="18"/>
      <c r="D482" s="21">
        <v>1.1300000000000003</v>
      </c>
      <c r="E482" s="21">
        <v>83545.619999999966</v>
      </c>
      <c r="F482" s="21">
        <v>1.129999999999997</v>
      </c>
      <c r="G482" s="21">
        <v>1.1599999999999961</v>
      </c>
      <c r="H482" s="21">
        <v>1.1699999999999979</v>
      </c>
      <c r="I482" s="21">
        <v>1.759999999999998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</v>
      </c>
      <c r="P482" s="20"/>
      <c r="Q482" s="82">
        <f t="shared" si="10"/>
        <v>2.0221653139748801E-7</v>
      </c>
      <c r="R482" s="14">
        <v>0</v>
      </c>
      <c r="S482" s="15">
        <v>0</v>
      </c>
      <c r="T482" s="16">
        <v>0</v>
      </c>
    </row>
    <row r="483" spans="1:20" ht="16" hidden="1">
      <c r="A483" s="80" t="s">
        <v>1108</v>
      </c>
      <c r="B483" s="81" t="s">
        <v>78</v>
      </c>
      <c r="C483" s="18"/>
      <c r="D483" s="21">
        <v>1.69</v>
      </c>
      <c r="E483" s="21">
        <v>1.69</v>
      </c>
      <c r="F483" s="21">
        <v>1.69</v>
      </c>
      <c r="G483" s="21">
        <v>1.69</v>
      </c>
      <c r="H483" s="21">
        <v>1.69</v>
      </c>
      <c r="I483" s="21">
        <v>1.69</v>
      </c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>
        <v>0</v>
      </c>
      <c r="P483" s="20"/>
      <c r="Q483" s="82">
        <f t="shared" si="10"/>
        <v>1.9417382844417904E-7</v>
      </c>
      <c r="R483" s="14">
        <v>-27397.739999999998</v>
      </c>
      <c r="S483" s="15">
        <v>-0.99996861153489591</v>
      </c>
      <c r="T483" s="16">
        <v>1.389590572232921E-8</v>
      </c>
    </row>
    <row r="484" spans="1:20" ht="16" hidden="1">
      <c r="A484" s="80" t="s">
        <v>113</v>
      </c>
      <c r="B484" s="81" t="s">
        <v>85</v>
      </c>
      <c r="C484" s="18"/>
      <c r="D484" s="21">
        <v>104507.28</v>
      </c>
      <c r="E484" s="21">
        <v>1.68</v>
      </c>
      <c r="F484" s="21">
        <v>1.68</v>
      </c>
      <c r="G484" s="21">
        <v>1.6799999999999997</v>
      </c>
      <c r="H484" s="21">
        <v>1.68</v>
      </c>
      <c r="I484" s="21">
        <v>1.68</v>
      </c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>
        <v>0</v>
      </c>
      <c r="P484" s="20"/>
      <c r="Q484" s="82">
        <f t="shared" si="10"/>
        <v>1.9302487087942058E-7</v>
      </c>
      <c r="R484" s="14">
        <v>0</v>
      </c>
      <c r="S484" s="15">
        <v>0</v>
      </c>
      <c r="T484" s="16">
        <v>0</v>
      </c>
    </row>
    <row r="485" spans="1:20" ht="16" hidden="1">
      <c r="A485" s="80" t="s">
        <v>1010</v>
      </c>
      <c r="B485" s="81" t="s">
        <v>78</v>
      </c>
      <c r="C485" s="18"/>
      <c r="D485" s="21">
        <v>71702.66</v>
      </c>
      <c r="E485" s="21">
        <v>71702.66</v>
      </c>
      <c r="F485" s="21">
        <v>76002.66</v>
      </c>
      <c r="G485" s="21">
        <v>73702.679999999993</v>
      </c>
      <c r="H485" s="21">
        <v>70302.679999999993</v>
      </c>
      <c r="I485" s="21">
        <v>1.68</v>
      </c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>
        <v>0</v>
      </c>
      <c r="P485" s="20"/>
      <c r="Q485" s="82">
        <f t="shared" si="10"/>
        <v>1.9302487087942058E-7</v>
      </c>
      <c r="R485" s="14">
        <v>0</v>
      </c>
      <c r="S485" s="15">
        <v>0</v>
      </c>
      <c r="T485" s="16">
        <v>0</v>
      </c>
    </row>
    <row r="486" spans="1:20" ht="16">
      <c r="A486" s="80" t="s">
        <v>758</v>
      </c>
      <c r="B486" s="81" t="s">
        <v>67</v>
      </c>
      <c r="C486" s="18"/>
      <c r="D486" s="21">
        <v>1.03</v>
      </c>
      <c r="E486" s="21">
        <v>1.0300000000000002</v>
      </c>
      <c r="F486" s="21">
        <v>1.1300000000000003</v>
      </c>
      <c r="G486" s="21">
        <v>1.2300000000000004</v>
      </c>
      <c r="H486" s="21">
        <v>1.3300000000000005</v>
      </c>
      <c r="I486" s="21">
        <v>1.4300000000000006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</v>
      </c>
      <c r="P486" s="20"/>
      <c r="Q486" s="82">
        <f t="shared" si="10"/>
        <v>1.6430093176045927E-7</v>
      </c>
      <c r="R486" s="14">
        <v>0</v>
      </c>
      <c r="S486" s="15">
        <v>0</v>
      </c>
      <c r="T486" s="16">
        <v>0</v>
      </c>
    </row>
    <row r="487" spans="1:20" ht="16" hidden="1">
      <c r="A487" s="80" t="s">
        <v>945</v>
      </c>
      <c r="B487" s="81" t="s">
        <v>76</v>
      </c>
      <c r="C487" s="18"/>
      <c r="D487" s="21">
        <v>1.3900000000000001</v>
      </c>
      <c r="E487" s="21">
        <v>1.39</v>
      </c>
      <c r="F487" s="21">
        <v>1.3900000000000001</v>
      </c>
      <c r="G487" s="21">
        <v>1.39</v>
      </c>
      <c r="H487" s="21">
        <v>1.3900000000000001</v>
      </c>
      <c r="I487" s="21">
        <v>1.39</v>
      </c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>
        <v>0</v>
      </c>
      <c r="P487" s="20"/>
      <c r="Q487" s="82">
        <f t="shared" si="10"/>
        <v>1.5970510150142536E-7</v>
      </c>
      <c r="R487" s="14">
        <v>0</v>
      </c>
      <c r="S487" s="15">
        <v>0</v>
      </c>
      <c r="T487" s="16">
        <v>0</v>
      </c>
    </row>
    <row r="488" spans="1:20" ht="16" hidden="1">
      <c r="A488" s="80" t="s">
        <v>977</v>
      </c>
      <c r="B488" s="81" t="s">
        <v>78</v>
      </c>
      <c r="C488" s="18"/>
      <c r="D488" s="21">
        <v>45065.959999999992</v>
      </c>
      <c r="E488" s="21">
        <v>1.29</v>
      </c>
      <c r="F488" s="21">
        <v>1.29</v>
      </c>
      <c r="G488" s="21">
        <v>1.29</v>
      </c>
      <c r="H488" s="21">
        <v>1.29</v>
      </c>
      <c r="I488" s="21">
        <v>1.3</v>
      </c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>
        <v>0</v>
      </c>
      <c r="P488" s="20"/>
      <c r="Q488" s="82">
        <f t="shared" si="10"/>
        <v>1.4936448341859928E-7</v>
      </c>
      <c r="R488" s="14">
        <v>-35777.670000000006</v>
      </c>
      <c r="S488" s="15">
        <v>-0.49999154514855737</v>
      </c>
      <c r="T488" s="16">
        <v>5.7811621317503507E-4</v>
      </c>
    </row>
    <row r="489" spans="1:20" ht="16" hidden="1">
      <c r="A489" s="80" t="s">
        <v>555</v>
      </c>
      <c r="B489" s="81" t="s">
        <v>76</v>
      </c>
      <c r="C489" s="18"/>
      <c r="D489" s="21">
        <v>1.2999999999999998</v>
      </c>
      <c r="E489" s="21">
        <v>1.3</v>
      </c>
      <c r="F489" s="21">
        <v>1.2999999999999998</v>
      </c>
      <c r="G489" s="21">
        <v>1.2999999999999998</v>
      </c>
      <c r="H489" s="21">
        <v>1.2999999999999998</v>
      </c>
      <c r="I489" s="21">
        <v>1.2999999999999998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</v>
      </c>
      <c r="P489" s="20"/>
      <c r="Q489" s="82">
        <f t="shared" si="10"/>
        <v>1.4936448341859925E-7</v>
      </c>
      <c r="R489" s="14">
        <v>0</v>
      </c>
      <c r="S489" s="15">
        <v>0</v>
      </c>
      <c r="T489" s="16">
        <v>-1.9066475293428453E-4</v>
      </c>
    </row>
    <row r="490" spans="1:20" ht="16" hidden="1">
      <c r="A490" s="80" t="s">
        <v>311</v>
      </c>
      <c r="B490" s="81" t="s">
        <v>85</v>
      </c>
      <c r="C490" s="18"/>
      <c r="D490" s="21">
        <v>1.26</v>
      </c>
      <c r="E490" s="21">
        <v>1.26</v>
      </c>
      <c r="F490" s="21">
        <v>1.26</v>
      </c>
      <c r="G490" s="21">
        <v>1.26</v>
      </c>
      <c r="H490" s="21">
        <v>1.26</v>
      </c>
      <c r="I490" s="21">
        <v>1.26</v>
      </c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>
        <v>0</v>
      </c>
      <c r="P490" s="20"/>
      <c r="Q490" s="82">
        <f t="shared" si="10"/>
        <v>1.4476865315956545E-7</v>
      </c>
      <c r="R490" s="14">
        <v>0</v>
      </c>
      <c r="S490" s="15">
        <v>0</v>
      </c>
      <c r="T490" s="16">
        <v>1.6158029909685129E-9</v>
      </c>
    </row>
    <row r="491" spans="1:20" ht="16" hidden="1">
      <c r="A491" s="80" t="s">
        <v>1041</v>
      </c>
      <c r="B491" s="81" t="s">
        <v>66</v>
      </c>
      <c r="C491" s="18"/>
      <c r="D491" s="21">
        <v>1.18</v>
      </c>
      <c r="E491" s="21">
        <v>1.18</v>
      </c>
      <c r="F491" s="21">
        <v>1.18</v>
      </c>
      <c r="G491" s="21">
        <v>1.18</v>
      </c>
      <c r="H491" s="21">
        <v>1.18</v>
      </c>
      <c r="I491" s="21">
        <v>1.18</v>
      </c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>
        <v>0</v>
      </c>
      <c r="P491" s="20"/>
      <c r="Q491" s="82">
        <f t="shared" si="10"/>
        <v>1.3557699264149778E-7</v>
      </c>
      <c r="R491" s="14">
        <v>0</v>
      </c>
      <c r="S491" s="15">
        <v>0</v>
      </c>
      <c r="T491" s="16">
        <v>0</v>
      </c>
    </row>
    <row r="492" spans="1:20" ht="16" hidden="1">
      <c r="A492" s="80" t="s">
        <v>1174</v>
      </c>
      <c r="B492" s="81" t="s">
        <v>78</v>
      </c>
      <c r="C492" s="18"/>
      <c r="D492" s="21">
        <v>1657.9800000000012</v>
      </c>
      <c r="E492" s="21">
        <v>9583.0099999999984</v>
      </c>
      <c r="F492" s="21">
        <v>1.08</v>
      </c>
      <c r="G492" s="21">
        <v>49228.299999999988</v>
      </c>
      <c r="H492" s="21">
        <v>1.0999999999999999</v>
      </c>
      <c r="I492" s="21">
        <v>1.1099999999999999</v>
      </c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>
        <v>0</v>
      </c>
      <c r="P492" s="20"/>
      <c r="Q492" s="82">
        <f t="shared" si="10"/>
        <v>1.2753428968818859E-7</v>
      </c>
      <c r="R492" s="14">
        <v>0</v>
      </c>
      <c r="S492" s="15">
        <v>0</v>
      </c>
      <c r="T492" s="16">
        <v>0</v>
      </c>
    </row>
    <row r="493" spans="1:20" ht="16" hidden="1">
      <c r="A493" s="80" t="s">
        <v>671</v>
      </c>
      <c r="B493" s="81" t="s">
        <v>76</v>
      </c>
      <c r="C493" s="18"/>
      <c r="D493" s="21">
        <v>496.17999999999506</v>
      </c>
      <c r="E493" s="21">
        <v>9.999999999999995E-3</v>
      </c>
      <c r="F493" s="21">
        <v>1.9999999999999997E-2</v>
      </c>
      <c r="G493" s="21">
        <v>1.1000000000000001</v>
      </c>
      <c r="H493" s="21">
        <v>1.1000000000000001</v>
      </c>
      <c r="I493" s="21">
        <v>1.0999999999999999</v>
      </c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>
        <v>0</v>
      </c>
      <c r="P493" s="20"/>
      <c r="Q493" s="82">
        <f t="shared" si="10"/>
        <v>1.2638533212343013E-7</v>
      </c>
      <c r="R493" s="14">
        <v>0</v>
      </c>
      <c r="S493" s="15">
        <v>0</v>
      </c>
      <c r="T493" s="16">
        <v>0</v>
      </c>
    </row>
    <row r="494" spans="1:20" ht="16" hidden="1">
      <c r="A494" s="80" t="s">
        <v>466</v>
      </c>
      <c r="B494" s="81" t="s">
        <v>85</v>
      </c>
      <c r="C494" s="18"/>
      <c r="D494" s="21">
        <v>1.0000000000000004</v>
      </c>
      <c r="E494" s="21">
        <v>1.0100000000000005</v>
      </c>
      <c r="F494" s="21">
        <v>1.0200000000000002</v>
      </c>
      <c r="G494" s="21">
        <v>1.0400000000000005</v>
      </c>
      <c r="H494" s="21">
        <v>1.0500000000000005</v>
      </c>
      <c r="I494" s="21">
        <v>1.0700000000000005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</v>
      </c>
      <c r="P494" s="20"/>
      <c r="Q494" s="82">
        <f t="shared" si="10"/>
        <v>1.2293845942915484E-7</v>
      </c>
      <c r="R494" s="14">
        <v>0</v>
      </c>
      <c r="S494" s="15">
        <v>0</v>
      </c>
      <c r="T494" s="16">
        <v>0</v>
      </c>
    </row>
    <row r="495" spans="1:20" ht="16" hidden="1">
      <c r="A495" s="80" t="s">
        <v>1028</v>
      </c>
      <c r="B495" s="81" t="s">
        <v>60</v>
      </c>
      <c r="C495" s="18"/>
      <c r="D495" s="21">
        <v>2473.9000000000024</v>
      </c>
      <c r="E495" s="21">
        <v>2570.7100000000023</v>
      </c>
      <c r="F495" s="21">
        <v>2570.7000000000021</v>
      </c>
      <c r="G495" s="21">
        <v>2768.590000000002</v>
      </c>
      <c r="H495" s="21">
        <v>2768.5900000000015</v>
      </c>
      <c r="I495" s="21">
        <v>1.05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</v>
      </c>
      <c r="P495" s="20"/>
      <c r="Q495" s="82">
        <f t="shared" si="10"/>
        <v>1.2064054429963787E-7</v>
      </c>
      <c r="R495" s="14">
        <v>0</v>
      </c>
      <c r="S495" s="15">
        <v>0</v>
      </c>
      <c r="T495" s="16">
        <v>0</v>
      </c>
    </row>
    <row r="496" spans="1:20" ht="16" hidden="1">
      <c r="A496" s="80" t="s">
        <v>465</v>
      </c>
      <c r="B496" s="81" t="s">
        <v>62</v>
      </c>
      <c r="C496" s="18"/>
      <c r="D496" s="21">
        <v>1.01</v>
      </c>
      <c r="E496" s="21">
        <v>1.01</v>
      </c>
      <c r="F496" s="21">
        <v>1.01</v>
      </c>
      <c r="G496" s="21">
        <v>1.01</v>
      </c>
      <c r="H496" s="21">
        <v>1.01</v>
      </c>
      <c r="I496" s="21">
        <v>1.01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</v>
      </c>
      <c r="P496" s="20"/>
      <c r="Q496" s="82">
        <f t="shared" si="10"/>
        <v>1.1604471404060405E-7</v>
      </c>
      <c r="R496" s="14">
        <v>0</v>
      </c>
      <c r="S496" s="15">
        <v>0</v>
      </c>
      <c r="T496" s="16">
        <v>0</v>
      </c>
    </row>
    <row r="497" spans="1:20" ht="16" hidden="1">
      <c r="A497" s="80" t="s">
        <v>1191</v>
      </c>
      <c r="B497" s="81" t="s">
        <v>62</v>
      </c>
      <c r="C497" s="18"/>
      <c r="D497" s="21">
        <v>1</v>
      </c>
      <c r="E497" s="21">
        <v>1</v>
      </c>
      <c r="F497" s="21">
        <v>1</v>
      </c>
      <c r="G497" s="21">
        <v>1</v>
      </c>
      <c r="H497" s="21">
        <v>1</v>
      </c>
      <c r="I497" s="21">
        <v>1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</v>
      </c>
      <c r="P497" s="20"/>
      <c r="Q497" s="82">
        <f t="shared" si="10"/>
        <v>1.1489575647584559E-7</v>
      </c>
      <c r="R497" s="14">
        <v>0</v>
      </c>
      <c r="S497" s="15">
        <v>0</v>
      </c>
      <c r="T497" s="16">
        <v>1.4744394088402709E-6</v>
      </c>
    </row>
    <row r="498" spans="1:20" ht="16" hidden="1">
      <c r="A498" s="80" t="s">
        <v>674</v>
      </c>
      <c r="B498" s="81" t="s">
        <v>83</v>
      </c>
      <c r="C498" s="18"/>
      <c r="D498" s="21">
        <v>0.97012999999999994</v>
      </c>
      <c r="E498" s="21">
        <v>0.97012999999999994</v>
      </c>
      <c r="F498" s="21">
        <v>0.97012999999999994</v>
      </c>
      <c r="G498" s="21">
        <v>0.97012999999999994</v>
      </c>
      <c r="H498" s="21">
        <v>0.97012999999999994</v>
      </c>
      <c r="I498" s="21">
        <v>0.97012999999999994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0</v>
      </c>
      <c r="P498" s="20"/>
      <c r="Q498" s="82">
        <f t="shared" si="10"/>
        <v>1.1146382022991208E-7</v>
      </c>
      <c r="R498" s="14">
        <v>0</v>
      </c>
      <c r="S498" s="15">
        <v>0</v>
      </c>
      <c r="T498" s="16">
        <v>5.170569571099243E-9</v>
      </c>
    </row>
    <row r="499" spans="1:20" ht="16">
      <c r="A499" s="80" t="s">
        <v>1090</v>
      </c>
      <c r="B499" s="81" t="s">
        <v>67</v>
      </c>
      <c r="C499" s="18"/>
      <c r="D499" s="21">
        <v>0.97</v>
      </c>
      <c r="E499" s="21">
        <v>0.97</v>
      </c>
      <c r="F499" s="21">
        <v>0.97</v>
      </c>
      <c r="G499" s="21">
        <v>0.97</v>
      </c>
      <c r="H499" s="21">
        <v>0.97</v>
      </c>
      <c r="I499" s="21">
        <v>0.97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</v>
      </c>
      <c r="P499" s="20"/>
      <c r="Q499" s="82">
        <f t="shared" si="10"/>
        <v>1.1144888378157021E-7</v>
      </c>
      <c r="R499" s="14">
        <v>0.32999999999999829</v>
      </c>
      <c r="S499" s="15">
        <v>1.100366788929638E-2</v>
      </c>
      <c r="T499" s="16">
        <v>4.8991146686165289E-7</v>
      </c>
    </row>
    <row r="500" spans="1:20" ht="16" hidden="1">
      <c r="A500" s="80" t="s">
        <v>923</v>
      </c>
      <c r="B500" s="81" t="s">
        <v>76</v>
      </c>
      <c r="C500" s="18"/>
      <c r="D500" s="21">
        <v>0.86</v>
      </c>
      <c r="E500" s="21">
        <v>0.87</v>
      </c>
      <c r="F500" s="21">
        <v>0.88</v>
      </c>
      <c r="G500" s="21">
        <v>0.8899999999999999</v>
      </c>
      <c r="H500" s="21">
        <v>0.89999999999999991</v>
      </c>
      <c r="I500" s="21">
        <v>0.91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</v>
      </c>
      <c r="P500" s="20"/>
      <c r="Q500" s="82">
        <f t="shared" si="10"/>
        <v>1.0455513839301949E-7</v>
      </c>
      <c r="R500" s="14">
        <v>0</v>
      </c>
      <c r="S500" s="15">
        <v>0</v>
      </c>
      <c r="T500" s="16">
        <v>1.3249584525941806E-8</v>
      </c>
    </row>
    <row r="501" spans="1:20" ht="16" hidden="1">
      <c r="A501" s="80" t="s">
        <v>351</v>
      </c>
      <c r="B501" s="81" t="s">
        <v>76</v>
      </c>
      <c r="C501" s="18"/>
      <c r="D501" s="21">
        <v>0.87999999999999989</v>
      </c>
      <c r="E501" s="21">
        <v>0.87999999999999989</v>
      </c>
      <c r="F501" s="21">
        <v>0.87999999999999978</v>
      </c>
      <c r="G501" s="21">
        <v>0.87999999999999989</v>
      </c>
      <c r="H501" s="21">
        <v>0.87999999999999978</v>
      </c>
      <c r="I501" s="21">
        <v>0.87999999999999989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20"/>
      <c r="Q501" s="82">
        <f t="shared" si="10"/>
        <v>1.0110826569874411E-7</v>
      </c>
      <c r="R501" s="14">
        <v>30225.419999999984</v>
      </c>
      <c r="S501" s="15">
        <v>6.2336691995188973E-2</v>
      </c>
      <c r="T501" s="16">
        <v>8.3229863410912951E-3</v>
      </c>
    </row>
    <row r="502" spans="1:20" ht="16" hidden="1">
      <c r="A502" s="80" t="s">
        <v>432</v>
      </c>
      <c r="B502" s="81" t="s">
        <v>62</v>
      </c>
      <c r="C502" s="18"/>
      <c r="D502" s="21">
        <v>22343.899999999998</v>
      </c>
      <c r="E502" s="21">
        <v>22343.899999999998</v>
      </c>
      <c r="F502" s="21">
        <v>24028.799999999996</v>
      </c>
      <c r="G502" s="21">
        <v>25713.7</v>
      </c>
      <c r="H502" s="21">
        <v>27398.6</v>
      </c>
      <c r="I502" s="21">
        <v>0.85999999999999988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20"/>
      <c r="Q502" s="82">
        <f t="shared" si="10"/>
        <v>9.8810350569227192E-8</v>
      </c>
      <c r="R502" s="14">
        <v>0</v>
      </c>
      <c r="S502" s="15">
        <v>0</v>
      </c>
      <c r="T502" s="16">
        <v>0</v>
      </c>
    </row>
    <row r="503" spans="1:20" ht="16">
      <c r="A503" s="80" t="s">
        <v>787</v>
      </c>
      <c r="B503" s="81" t="s">
        <v>67</v>
      </c>
      <c r="C503" s="18"/>
      <c r="D503" s="21">
        <v>0.84000000000000008</v>
      </c>
      <c r="E503" s="21">
        <v>0.84</v>
      </c>
      <c r="F503" s="21">
        <v>0.84</v>
      </c>
      <c r="G503" s="21">
        <v>0.84</v>
      </c>
      <c r="H503" s="21">
        <v>0.84</v>
      </c>
      <c r="I503" s="21">
        <v>0.84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20"/>
      <c r="Q503" s="82">
        <f t="shared" si="10"/>
        <v>9.6512435439710288E-8</v>
      </c>
      <c r="R503" s="14">
        <v>0</v>
      </c>
      <c r="S503" s="15">
        <v>0</v>
      </c>
      <c r="T503" s="16">
        <v>0</v>
      </c>
    </row>
    <row r="504" spans="1:20" ht="16" hidden="1">
      <c r="A504" s="80" t="s">
        <v>447</v>
      </c>
      <c r="B504" s="81" t="s">
        <v>66</v>
      </c>
      <c r="C504" s="18"/>
      <c r="D504" s="21">
        <v>0.82</v>
      </c>
      <c r="E504" s="21">
        <v>0.82</v>
      </c>
      <c r="F504" s="21">
        <v>0.82</v>
      </c>
      <c r="G504" s="21">
        <v>0.82</v>
      </c>
      <c r="H504" s="21">
        <v>0.82</v>
      </c>
      <c r="I504" s="21">
        <v>0.82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20"/>
      <c r="Q504" s="82">
        <f t="shared" si="10"/>
        <v>9.4214520310193371E-8</v>
      </c>
      <c r="R504" s="14">
        <v>0</v>
      </c>
      <c r="S504" s="15">
        <v>0</v>
      </c>
      <c r="T504" s="16">
        <v>0</v>
      </c>
    </row>
    <row r="505" spans="1:20" ht="16" hidden="1">
      <c r="A505" s="80" t="s">
        <v>200</v>
      </c>
      <c r="B505" s="81" t="s">
        <v>62</v>
      </c>
      <c r="C505" s="18"/>
      <c r="D505" s="21">
        <v>0.69000000000000028</v>
      </c>
      <c r="E505" s="21">
        <v>0.72000000000000031</v>
      </c>
      <c r="F505" s="21">
        <v>0.75000000000000044</v>
      </c>
      <c r="G505" s="21">
        <v>0.78000000000000047</v>
      </c>
      <c r="H505" s="21">
        <v>0.8100000000000005</v>
      </c>
      <c r="I505" s="21">
        <v>0.80000000000000049</v>
      </c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>
        <v>0</v>
      </c>
      <c r="P505" s="20"/>
      <c r="Q505" s="82">
        <f t="shared" si="10"/>
        <v>9.191660518067652E-8</v>
      </c>
      <c r="R505" s="14">
        <v>0</v>
      </c>
      <c r="S505" s="15">
        <v>0</v>
      </c>
      <c r="T505" s="16">
        <v>1.6158029909685127E-3</v>
      </c>
    </row>
    <row r="506" spans="1:20" ht="16" hidden="1">
      <c r="A506" s="80" t="s">
        <v>77</v>
      </c>
      <c r="B506" s="81" t="s">
        <v>78</v>
      </c>
      <c r="C506" s="18"/>
      <c r="D506" s="21">
        <v>0.8</v>
      </c>
      <c r="E506" s="21">
        <v>0.8</v>
      </c>
      <c r="F506" s="21">
        <v>0.8</v>
      </c>
      <c r="G506" s="21">
        <v>0.8</v>
      </c>
      <c r="H506" s="21">
        <v>0.8</v>
      </c>
      <c r="I506" s="21">
        <v>0.8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20"/>
      <c r="Q506" s="82">
        <f t="shared" si="10"/>
        <v>9.191660518067648E-8</v>
      </c>
      <c r="R506" s="14">
        <v>0</v>
      </c>
      <c r="S506" s="15">
        <v>0</v>
      </c>
      <c r="T506" s="16">
        <v>0</v>
      </c>
    </row>
    <row r="507" spans="1:20" ht="16" hidden="1">
      <c r="A507" s="80" t="s">
        <v>196</v>
      </c>
      <c r="B507" s="81" t="s">
        <v>62</v>
      </c>
      <c r="C507" s="18"/>
      <c r="D507" s="21">
        <v>0.75</v>
      </c>
      <c r="E507" s="21">
        <v>0.75</v>
      </c>
      <c r="F507" s="21">
        <v>0.75</v>
      </c>
      <c r="G507" s="21">
        <v>0.75</v>
      </c>
      <c r="H507" s="21">
        <v>0.75</v>
      </c>
      <c r="I507" s="21">
        <v>0.75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20"/>
      <c r="Q507" s="82">
        <f t="shared" si="10"/>
        <v>8.6171817356884187E-8</v>
      </c>
      <c r="R507" s="14">
        <v>0</v>
      </c>
      <c r="S507" s="15">
        <v>0</v>
      </c>
      <c r="T507" s="16">
        <v>2.8438132641045836E-8</v>
      </c>
    </row>
    <row r="508" spans="1:20" ht="16" hidden="1">
      <c r="A508" s="80" t="s">
        <v>250</v>
      </c>
      <c r="B508" s="81" t="s">
        <v>76</v>
      </c>
      <c r="C508" s="18"/>
      <c r="D508" s="21">
        <v>0.73</v>
      </c>
      <c r="E508" s="21">
        <v>0.73</v>
      </c>
      <c r="F508" s="21">
        <v>0.73</v>
      </c>
      <c r="G508" s="21">
        <v>0.73</v>
      </c>
      <c r="H508" s="21">
        <v>0.73</v>
      </c>
      <c r="I508" s="21">
        <v>0.73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</v>
      </c>
      <c r="P508" s="20"/>
      <c r="Q508" s="82">
        <f t="shared" si="10"/>
        <v>8.3873902227367283E-8</v>
      </c>
      <c r="R508" s="14">
        <v>0</v>
      </c>
      <c r="S508" s="15">
        <v>0</v>
      </c>
      <c r="T508" s="16">
        <v>1.4736123277632839E-6</v>
      </c>
    </row>
    <row r="509" spans="1:20" ht="16">
      <c r="A509" s="80" t="s">
        <v>228</v>
      </c>
      <c r="B509" s="81" t="s">
        <v>67</v>
      </c>
      <c r="C509" s="18"/>
      <c r="D509" s="21">
        <v>0.7200000000000002</v>
      </c>
      <c r="E509" s="21">
        <v>0.72000000000000008</v>
      </c>
      <c r="F509" s="21">
        <v>0.72000000000000008</v>
      </c>
      <c r="G509" s="21">
        <v>0.7200000000000002</v>
      </c>
      <c r="H509" s="21">
        <v>0.7200000000000002</v>
      </c>
      <c r="I509" s="21">
        <v>0.7200000000000002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20"/>
      <c r="Q509" s="82">
        <f t="shared" si="10"/>
        <v>8.2724944662608851E-8</v>
      </c>
      <c r="R509" s="14">
        <v>0</v>
      </c>
      <c r="S509" s="15">
        <v>0</v>
      </c>
      <c r="T509" s="16">
        <v>0</v>
      </c>
    </row>
    <row r="510" spans="1:20" ht="16" hidden="1">
      <c r="A510" s="80" t="s">
        <v>209</v>
      </c>
      <c r="B510" s="81" t="s">
        <v>85</v>
      </c>
      <c r="C510" s="18"/>
      <c r="D510" s="21">
        <v>58246.39</v>
      </c>
      <c r="E510" s="21">
        <v>0.7</v>
      </c>
      <c r="F510" s="21">
        <v>0.70000000000000018</v>
      </c>
      <c r="G510" s="21">
        <v>0.7</v>
      </c>
      <c r="H510" s="21">
        <v>0.7</v>
      </c>
      <c r="I510" s="21">
        <v>0.7</v>
      </c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>
        <v>0</v>
      </c>
      <c r="P510" s="20"/>
      <c r="Q510" s="82">
        <f t="shared" si="10"/>
        <v>8.0427029533091907E-8</v>
      </c>
      <c r="R510" s="14">
        <v>0</v>
      </c>
      <c r="S510" s="15">
        <v>0</v>
      </c>
      <c r="T510" s="16">
        <v>2.2621241873559179E-9</v>
      </c>
    </row>
    <row r="511" spans="1:20" ht="16" hidden="1">
      <c r="A511" s="80" t="s">
        <v>510</v>
      </c>
      <c r="B511" s="81" t="s">
        <v>60</v>
      </c>
      <c r="C511" s="18"/>
      <c r="D511" s="21">
        <v>0.62000000000000011</v>
      </c>
      <c r="E511" s="21">
        <v>0.62000000000000011</v>
      </c>
      <c r="F511" s="21">
        <v>0.62000000000000011</v>
      </c>
      <c r="G511" s="21">
        <v>0.62</v>
      </c>
      <c r="H511" s="21">
        <v>0.62</v>
      </c>
      <c r="I511" s="21">
        <v>0.62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>
        <v>0</v>
      </c>
      <c r="P511" s="20"/>
      <c r="Q511" s="82">
        <f t="shared" si="10"/>
        <v>7.1235369015024264E-8</v>
      </c>
      <c r="R511" s="14">
        <v>0</v>
      </c>
      <c r="S511" s="15">
        <v>0</v>
      </c>
      <c r="T511" s="16">
        <v>0</v>
      </c>
    </row>
    <row r="512" spans="1:20" ht="16" hidden="1">
      <c r="A512" s="80" t="s">
        <v>271</v>
      </c>
      <c r="B512" s="81" t="s">
        <v>62</v>
      </c>
      <c r="C512" s="18"/>
      <c r="D512" s="21">
        <v>169567.14000000004</v>
      </c>
      <c r="E512" s="21">
        <v>53646.890000000007</v>
      </c>
      <c r="F512" s="21">
        <v>77046.289999999979</v>
      </c>
      <c r="G512" s="21">
        <v>0.61</v>
      </c>
      <c r="H512" s="21">
        <v>18161.889999999996</v>
      </c>
      <c r="I512" s="21">
        <v>0.61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</v>
      </c>
      <c r="P512" s="20"/>
      <c r="Q512" s="82">
        <f t="shared" si="10"/>
        <v>7.0086411450265806E-8</v>
      </c>
      <c r="R512" s="14">
        <v>0</v>
      </c>
      <c r="S512" s="15">
        <v>0</v>
      </c>
      <c r="T512" s="16">
        <v>0</v>
      </c>
    </row>
    <row r="513" spans="1:20" ht="16" hidden="1">
      <c r="A513" s="80" t="s">
        <v>968</v>
      </c>
      <c r="B513" s="81" t="s">
        <v>62</v>
      </c>
      <c r="C513" s="18"/>
      <c r="D513" s="21">
        <v>0.6</v>
      </c>
      <c r="E513" s="21">
        <v>0.6</v>
      </c>
      <c r="F513" s="21">
        <v>1237.1099999999999</v>
      </c>
      <c r="G513" s="21">
        <v>0.6</v>
      </c>
      <c r="H513" s="21">
        <v>0.6</v>
      </c>
      <c r="I513" s="21">
        <v>0.6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</v>
      </c>
      <c r="P513" s="20"/>
      <c r="Q513" s="82">
        <f t="shared" si="10"/>
        <v>6.8937453885507347E-8</v>
      </c>
      <c r="R513" s="14">
        <v>0</v>
      </c>
      <c r="S513" s="15">
        <v>0</v>
      </c>
      <c r="T513" s="16">
        <v>0</v>
      </c>
    </row>
    <row r="514" spans="1:20" ht="16" hidden="1">
      <c r="A514" s="80" t="s">
        <v>529</v>
      </c>
      <c r="B514" s="81" t="s">
        <v>83</v>
      </c>
      <c r="C514" s="18"/>
      <c r="D514" s="21">
        <v>0.60741699999999998</v>
      </c>
      <c r="E514" s="21">
        <v>0.60741699999999998</v>
      </c>
      <c r="F514" s="21">
        <v>0.60741699999999998</v>
      </c>
      <c r="G514" s="21">
        <v>0.60741699999999998</v>
      </c>
      <c r="H514" s="21">
        <v>0.60741699999999998</v>
      </c>
      <c r="I514" s="21">
        <v>0.59741699999999998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</v>
      </c>
      <c r="P514" s="20"/>
      <c r="Q514" s="82">
        <f t="shared" si="10"/>
        <v>6.8640678146530237E-8</v>
      </c>
      <c r="R514" s="14">
        <v>-121228.16</v>
      </c>
      <c r="S514" s="15">
        <v>-0.47472704836297935</v>
      </c>
      <c r="T514" s="16">
        <v>2.1673696220383463E-3</v>
      </c>
    </row>
    <row r="515" spans="1:20" ht="16" hidden="1">
      <c r="A515" s="80" t="s">
        <v>461</v>
      </c>
      <c r="B515" s="81" t="s">
        <v>62</v>
      </c>
      <c r="C515" s="18"/>
      <c r="D515" s="21">
        <v>100.59000000000007</v>
      </c>
      <c r="E515" s="21">
        <v>0.47</v>
      </c>
      <c r="F515" s="21">
        <v>0.48</v>
      </c>
      <c r="G515" s="21">
        <v>0.49</v>
      </c>
      <c r="H515" s="21">
        <v>0.5</v>
      </c>
      <c r="I515" s="21">
        <v>0.51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20"/>
      <c r="Q515" s="82">
        <f t="shared" si="10"/>
        <v>5.8596835802681252E-8</v>
      </c>
      <c r="R515" s="14">
        <v>0</v>
      </c>
      <c r="S515" s="15">
        <v>0</v>
      </c>
      <c r="T515" s="16">
        <v>0</v>
      </c>
    </row>
    <row r="516" spans="1:20" ht="16" hidden="1">
      <c r="A516" s="80" t="s">
        <v>704</v>
      </c>
      <c r="B516" s="81" t="s">
        <v>162</v>
      </c>
      <c r="C516" s="18"/>
      <c r="D516" s="21">
        <v>0.49</v>
      </c>
      <c r="E516" s="21">
        <v>0.49</v>
      </c>
      <c r="F516" s="21">
        <v>0.49</v>
      </c>
      <c r="G516" s="21">
        <v>0.49</v>
      </c>
      <c r="H516" s="21">
        <v>0.49</v>
      </c>
      <c r="I516" s="21">
        <v>0.49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</v>
      </c>
      <c r="P516" s="20"/>
      <c r="Q516" s="82">
        <f t="shared" si="10"/>
        <v>5.6298920673164335E-8</v>
      </c>
      <c r="R516" s="14">
        <v>1.0000000000000009E-2</v>
      </c>
      <c r="S516" s="15">
        <v>2.0000000000000018E-2</v>
      </c>
      <c r="T516" s="16">
        <v>8.2405952539394162E-9</v>
      </c>
    </row>
    <row r="517" spans="1:20" ht="16" hidden="1">
      <c r="A517" s="80" t="s">
        <v>868</v>
      </c>
      <c r="B517" s="81" t="s">
        <v>78</v>
      </c>
      <c r="C517" s="18"/>
      <c r="D517" s="21">
        <v>0.45000000000000007</v>
      </c>
      <c r="E517" s="21">
        <v>0.44999999999999996</v>
      </c>
      <c r="F517" s="21">
        <v>0.45000000000000007</v>
      </c>
      <c r="G517" s="21">
        <v>0.45000000000000007</v>
      </c>
      <c r="H517" s="21">
        <v>0.46000000000000008</v>
      </c>
      <c r="I517" s="21">
        <v>0.46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20"/>
      <c r="Q517" s="82">
        <f t="shared" si="10"/>
        <v>5.2852047978888972E-8</v>
      </c>
      <c r="R517" s="14">
        <v>0</v>
      </c>
      <c r="S517" s="15">
        <v>0</v>
      </c>
      <c r="T517" s="16">
        <v>1.7773832900653641E-9</v>
      </c>
    </row>
    <row r="518" spans="1:20" ht="16" hidden="1">
      <c r="A518" s="80" t="s">
        <v>838</v>
      </c>
      <c r="B518" s="81" t="s">
        <v>85</v>
      </c>
      <c r="C518" s="18"/>
      <c r="D518" s="21">
        <v>0.43000000000000005</v>
      </c>
      <c r="E518" s="21">
        <v>0.43000000000000005</v>
      </c>
      <c r="F518" s="21">
        <v>0.43000000000000005</v>
      </c>
      <c r="G518" s="21">
        <v>0.43000000000000005</v>
      </c>
      <c r="H518" s="21">
        <v>0.43000000000000005</v>
      </c>
      <c r="I518" s="21">
        <v>0.43000000000000005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</v>
      </c>
      <c r="P518" s="20"/>
      <c r="Q518" s="82">
        <f t="shared" si="10"/>
        <v>4.9405175284613609E-8</v>
      </c>
      <c r="R518" s="14">
        <v>93.909999999999968</v>
      </c>
      <c r="S518" s="15">
        <v>0.24999334486889385</v>
      </c>
      <c r="T518" s="16">
        <v>7.587164524391749E-6</v>
      </c>
    </row>
    <row r="519" spans="1:20" ht="16" hidden="1">
      <c r="A519" s="80" t="s">
        <v>376</v>
      </c>
      <c r="B519" s="81" t="s">
        <v>62</v>
      </c>
      <c r="C519" s="18"/>
      <c r="D519" s="21">
        <v>0.43</v>
      </c>
      <c r="E519" s="21">
        <v>0.43</v>
      </c>
      <c r="F519" s="21">
        <v>0.43</v>
      </c>
      <c r="G519" s="21">
        <v>0.43</v>
      </c>
      <c r="H519" s="21">
        <v>0.43</v>
      </c>
      <c r="I519" s="21">
        <v>0.43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20"/>
      <c r="Q519" s="82">
        <f t="shared" si="10"/>
        <v>4.9405175284613603E-8</v>
      </c>
      <c r="R519" s="14">
        <v>12792</v>
      </c>
      <c r="S519" s="15">
        <v>0.28772447547414259</v>
      </c>
      <c r="T519" s="16">
        <v>9.2506660196536525E-4</v>
      </c>
    </row>
    <row r="520" spans="1:20" ht="16" hidden="1">
      <c r="A520" s="80" t="s">
        <v>1218</v>
      </c>
      <c r="B520" s="81" t="s">
        <v>78</v>
      </c>
      <c r="C520" s="18"/>
      <c r="D520" s="21">
        <v>0.42</v>
      </c>
      <c r="E520" s="21">
        <v>0.42</v>
      </c>
      <c r="F520" s="21">
        <v>0.42</v>
      </c>
      <c r="G520" s="21">
        <v>0.42</v>
      </c>
      <c r="H520" s="21">
        <v>0.42</v>
      </c>
      <c r="I520" s="21">
        <v>0.42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20"/>
      <c r="Q520" s="82">
        <f t="shared" si="10"/>
        <v>4.8256217719855144E-8</v>
      </c>
      <c r="R520" s="14">
        <v>0</v>
      </c>
      <c r="S520" s="15">
        <v>0</v>
      </c>
      <c r="T520" s="16">
        <v>0</v>
      </c>
    </row>
    <row r="521" spans="1:20" ht="16" hidden="1">
      <c r="A521" s="80" t="s">
        <v>953</v>
      </c>
      <c r="B521" s="81" t="s">
        <v>78</v>
      </c>
      <c r="C521" s="18"/>
      <c r="D521" s="21">
        <v>0.4</v>
      </c>
      <c r="E521" s="21">
        <v>0.4</v>
      </c>
      <c r="F521" s="21">
        <v>0.4</v>
      </c>
      <c r="G521" s="21">
        <v>0.4</v>
      </c>
      <c r="H521" s="21">
        <v>0.4</v>
      </c>
      <c r="I521" s="21">
        <v>0.4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20"/>
      <c r="Q521" s="82">
        <f t="shared" si="10"/>
        <v>4.595830259033824E-8</v>
      </c>
      <c r="R521" s="14">
        <v>0</v>
      </c>
      <c r="S521" s="15">
        <v>0</v>
      </c>
      <c r="T521" s="16">
        <v>1.6319610208781983E-8</v>
      </c>
    </row>
    <row r="522" spans="1:20" ht="16" hidden="1">
      <c r="A522" s="80" t="s">
        <v>309</v>
      </c>
      <c r="B522" s="81" t="s">
        <v>60</v>
      </c>
      <c r="C522" s="18"/>
      <c r="D522" s="21">
        <v>1095911.8300000003</v>
      </c>
      <c r="E522" s="21">
        <v>0.39000000000000007</v>
      </c>
      <c r="F522" s="21">
        <v>0.39000000000000035</v>
      </c>
      <c r="G522" s="21">
        <v>0.39000000000000035</v>
      </c>
      <c r="H522" s="21">
        <v>0.39000000000000035</v>
      </c>
      <c r="I522" s="21">
        <v>0.39000000000000035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</v>
      </c>
      <c r="P522" s="20"/>
      <c r="Q522" s="82">
        <f t="shared" si="10"/>
        <v>4.4809345025579821E-8</v>
      </c>
      <c r="R522" s="14">
        <v>0</v>
      </c>
      <c r="S522" s="15">
        <v>0</v>
      </c>
      <c r="T522" s="16">
        <v>0</v>
      </c>
    </row>
    <row r="523" spans="1:20" ht="16" hidden="1">
      <c r="A523" s="80" t="s">
        <v>420</v>
      </c>
      <c r="B523" s="81" t="s">
        <v>78</v>
      </c>
      <c r="C523" s="18"/>
      <c r="D523" s="21">
        <v>0.39</v>
      </c>
      <c r="E523" s="21">
        <v>0.39</v>
      </c>
      <c r="F523" s="21">
        <v>0.39</v>
      </c>
      <c r="G523" s="21">
        <v>0.39</v>
      </c>
      <c r="H523" s="21">
        <v>0.39</v>
      </c>
      <c r="I523" s="21">
        <v>0.39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</v>
      </c>
      <c r="P523" s="20"/>
      <c r="Q523" s="82">
        <f t="shared" ref="Q523:Q586" si="11">IFERROR(I523/$I$4," ")</f>
        <v>4.4809345025579781E-8</v>
      </c>
      <c r="R523" s="14">
        <v>0</v>
      </c>
      <c r="S523" s="15">
        <v>0</v>
      </c>
      <c r="T523" s="16">
        <v>6.7863725620677566E-8</v>
      </c>
    </row>
    <row r="524" spans="1:20" ht="16" hidden="1">
      <c r="A524" s="80" t="s">
        <v>1194</v>
      </c>
      <c r="B524" s="81" t="s">
        <v>62</v>
      </c>
      <c r="C524" s="18"/>
      <c r="D524" s="21">
        <v>0.3600000000000001</v>
      </c>
      <c r="E524" s="21">
        <v>0.3600000000000001</v>
      </c>
      <c r="F524" s="21">
        <v>0.3600000000000001</v>
      </c>
      <c r="G524" s="21">
        <v>0.3600000000000001</v>
      </c>
      <c r="H524" s="21">
        <v>0.3600000000000001</v>
      </c>
      <c r="I524" s="21">
        <v>0.3600000000000001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</v>
      </c>
      <c r="P524" s="20"/>
      <c r="Q524" s="82">
        <f t="shared" si="11"/>
        <v>4.1362472331304425E-8</v>
      </c>
      <c r="R524" s="14">
        <v>1.0000000000000897E-2</v>
      </c>
      <c r="S524" s="15">
        <v>5.1020408163269795E-3</v>
      </c>
      <c r="T524" s="16">
        <v>3.1831318922079773E-8</v>
      </c>
    </row>
    <row r="525" spans="1:20" ht="16" hidden="1">
      <c r="A525" s="80" t="s">
        <v>203</v>
      </c>
      <c r="B525" s="81" t="s">
        <v>60</v>
      </c>
      <c r="C525" s="18"/>
      <c r="D525" s="21">
        <v>0.36</v>
      </c>
      <c r="E525" s="21">
        <v>4207.78</v>
      </c>
      <c r="F525" s="21">
        <v>0.36000000000000004</v>
      </c>
      <c r="G525" s="21">
        <v>0.36000000000000004</v>
      </c>
      <c r="H525" s="21">
        <v>0.36000000000000004</v>
      </c>
      <c r="I525" s="21">
        <v>0.35000000000000009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0</v>
      </c>
      <c r="P525" s="20"/>
      <c r="Q525" s="82">
        <f t="shared" si="11"/>
        <v>4.0213514766545967E-8</v>
      </c>
      <c r="R525" s="14">
        <v>383729.7799999998</v>
      </c>
      <c r="S525" s="15">
        <v>0.27611394479908252</v>
      </c>
      <c r="T525" s="16">
        <v>2.8655964212827855E-2</v>
      </c>
    </row>
    <row r="526" spans="1:20" ht="16" hidden="1">
      <c r="A526" s="80" t="s">
        <v>873</v>
      </c>
      <c r="B526" s="81" t="s">
        <v>78</v>
      </c>
      <c r="C526" s="18"/>
      <c r="D526" s="21">
        <v>0.33000000000000007</v>
      </c>
      <c r="E526" s="21">
        <v>0.33000000000000007</v>
      </c>
      <c r="F526" s="21">
        <v>0.33000000000000007</v>
      </c>
      <c r="G526" s="21">
        <v>0.33000000000000007</v>
      </c>
      <c r="H526" s="21">
        <v>0.33000000000000007</v>
      </c>
      <c r="I526" s="21">
        <v>0.33000000000000007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0</v>
      </c>
      <c r="P526" s="20"/>
      <c r="Q526" s="82">
        <f t="shared" si="11"/>
        <v>3.7915599637029049E-8</v>
      </c>
      <c r="R526" s="14">
        <v>-9.9999999999988987E-3</v>
      </c>
      <c r="S526" s="15">
        <v>2.0920502092047905E-3</v>
      </c>
      <c r="T526" s="16">
        <v>-7.7396963267391757E-8</v>
      </c>
    </row>
    <row r="527" spans="1:20" ht="16">
      <c r="A527" s="80" t="s">
        <v>445</v>
      </c>
      <c r="B527" s="81" t="s">
        <v>67</v>
      </c>
      <c r="C527" s="18"/>
      <c r="D527" s="21">
        <v>0.32</v>
      </c>
      <c r="E527" s="21">
        <v>0.32000000000000006</v>
      </c>
      <c r="F527" s="21">
        <v>0.32000000000000006</v>
      </c>
      <c r="G527" s="21">
        <v>0.32000000000000006</v>
      </c>
      <c r="H527" s="21">
        <v>0.32000000000000006</v>
      </c>
      <c r="I527" s="21">
        <v>0.32000000000000006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</v>
      </c>
      <c r="P527" s="20"/>
      <c r="Q527" s="82">
        <f t="shared" si="11"/>
        <v>3.6766642072270597E-8</v>
      </c>
      <c r="R527" s="14">
        <v>-14717.890000000001</v>
      </c>
      <c r="S527" s="15">
        <v>-0.99959589346257494</v>
      </c>
      <c r="T527" s="16">
        <v>9.61402779626265E-8</v>
      </c>
    </row>
    <row r="528" spans="1:20" ht="16" hidden="1">
      <c r="A528" s="80" t="s">
        <v>149</v>
      </c>
      <c r="B528" s="81" t="s">
        <v>62</v>
      </c>
      <c r="C528" s="18"/>
      <c r="D528" s="21">
        <v>129751.40000000002</v>
      </c>
      <c r="E528" s="21">
        <v>0.27</v>
      </c>
      <c r="F528" s="21">
        <v>0.27</v>
      </c>
      <c r="G528" s="21">
        <v>0.27</v>
      </c>
      <c r="H528" s="21">
        <v>0.26999999999999991</v>
      </c>
      <c r="I528" s="21">
        <v>0.31999999999999995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0</v>
      </c>
      <c r="P528" s="20"/>
      <c r="Q528" s="82">
        <f t="shared" si="11"/>
        <v>3.6766642072270584E-8</v>
      </c>
      <c r="R528" s="14">
        <v>2.0000000000000018E-2</v>
      </c>
      <c r="S528" s="15">
        <v>1.9047619047619056E-2</v>
      </c>
      <c r="T528" s="16">
        <v>1.7289092003363098E-8</v>
      </c>
    </row>
    <row r="529" spans="1:20" ht="16">
      <c r="A529" s="80" t="s">
        <v>226</v>
      </c>
      <c r="B529" s="81" t="s">
        <v>67</v>
      </c>
      <c r="C529" s="18"/>
      <c r="D529" s="21">
        <v>37315.93</v>
      </c>
      <c r="E529" s="21">
        <v>37315.93</v>
      </c>
      <c r="F529" s="21">
        <v>0.31000000000000011</v>
      </c>
      <c r="G529" s="21">
        <v>0.31000000000000011</v>
      </c>
      <c r="H529" s="21">
        <v>0.31000000000000011</v>
      </c>
      <c r="I529" s="21">
        <v>0.31000000000000011</v>
      </c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>
        <v>0</v>
      </c>
      <c r="P529" s="20"/>
      <c r="Q529" s="82">
        <f t="shared" si="11"/>
        <v>3.5617684507512145E-8</v>
      </c>
      <c r="R529" s="14">
        <v>0</v>
      </c>
      <c r="S529" s="15">
        <v>0</v>
      </c>
      <c r="T529" s="16">
        <v>4.201087776518133E-9</v>
      </c>
    </row>
    <row r="530" spans="1:20" ht="16" hidden="1">
      <c r="A530" s="80" t="s">
        <v>913</v>
      </c>
      <c r="B530" s="81" t="s">
        <v>85</v>
      </c>
      <c r="C530" s="18"/>
      <c r="D530" s="21">
        <v>0.28000000000000003</v>
      </c>
      <c r="E530" s="21">
        <v>0.28999999999999998</v>
      </c>
      <c r="F530" s="21">
        <v>0.29999999999999993</v>
      </c>
      <c r="G530" s="21">
        <v>0.3</v>
      </c>
      <c r="H530" s="21">
        <v>0.3</v>
      </c>
      <c r="I530" s="21">
        <v>0.3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>
        <v>0</v>
      </c>
      <c r="P530" s="20"/>
      <c r="Q530" s="82">
        <f t="shared" si="11"/>
        <v>3.4468726942753673E-8</v>
      </c>
      <c r="R530" s="14">
        <v>9.9999999999997868E-3</v>
      </c>
      <c r="S530" s="15">
        <v>1.0515247108306828E-3</v>
      </c>
      <c r="T530" s="16">
        <v>1.5382444474020236E-7</v>
      </c>
    </row>
    <row r="531" spans="1:20" ht="16" hidden="1">
      <c r="A531" s="80" t="s">
        <v>329</v>
      </c>
      <c r="B531" s="81" t="s">
        <v>76</v>
      </c>
      <c r="C531" s="18"/>
      <c r="D531" s="21">
        <v>0.29000000000000203</v>
      </c>
      <c r="E531" s="21">
        <v>6842.67</v>
      </c>
      <c r="F531" s="21">
        <v>0.2900000000000007</v>
      </c>
      <c r="G531" s="21">
        <v>0.29000000000000092</v>
      </c>
      <c r="H531" s="21">
        <v>0.29000000000000137</v>
      </c>
      <c r="I531" s="21">
        <v>0.29000000000000292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0</v>
      </c>
      <c r="P531" s="20"/>
      <c r="Q531" s="82">
        <f t="shared" si="11"/>
        <v>3.3319769377995559E-8</v>
      </c>
      <c r="R531" s="14">
        <v>0</v>
      </c>
      <c r="S531" s="15">
        <v>0</v>
      </c>
      <c r="T531" s="16">
        <v>0</v>
      </c>
    </row>
    <row r="532" spans="1:20" ht="16">
      <c r="A532" s="80" t="s">
        <v>936</v>
      </c>
      <c r="B532" s="81" t="s">
        <v>67</v>
      </c>
      <c r="C532" s="18"/>
      <c r="D532" s="21">
        <v>0.30000000000000004</v>
      </c>
      <c r="E532" s="21">
        <v>0.30000000000000004</v>
      </c>
      <c r="F532" s="21">
        <v>0.3000000000000001</v>
      </c>
      <c r="G532" s="21">
        <v>0.3000000000000001</v>
      </c>
      <c r="H532" s="21">
        <v>0.30000000000000016</v>
      </c>
      <c r="I532" s="21">
        <v>0.29000000000000009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</v>
      </c>
      <c r="P532" s="20"/>
      <c r="Q532" s="82">
        <f t="shared" si="11"/>
        <v>3.3319769377995228E-8</v>
      </c>
      <c r="R532" s="14">
        <v>0</v>
      </c>
      <c r="S532" s="15">
        <v>0</v>
      </c>
      <c r="T532" s="16">
        <v>0</v>
      </c>
    </row>
    <row r="533" spans="1:20" ht="16" hidden="1">
      <c r="A533" s="80" t="s">
        <v>466</v>
      </c>
      <c r="B533" s="81" t="s">
        <v>162</v>
      </c>
      <c r="C533" s="18"/>
      <c r="D533" s="21">
        <v>0.26</v>
      </c>
      <c r="E533" s="21">
        <v>0.26000000000000006</v>
      </c>
      <c r="F533" s="21">
        <v>0.26000000000000006</v>
      </c>
      <c r="G533" s="21">
        <v>0.26000000000000006</v>
      </c>
      <c r="H533" s="21">
        <v>0.26000000000000006</v>
      </c>
      <c r="I533" s="21">
        <v>0.25999999999999995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0</v>
      </c>
      <c r="P533" s="20"/>
      <c r="Q533" s="82">
        <f t="shared" si="11"/>
        <v>2.9872896683719845E-8</v>
      </c>
      <c r="R533" s="14">
        <v>0</v>
      </c>
      <c r="S533" s="15">
        <v>0</v>
      </c>
      <c r="T533" s="16">
        <v>3.2316059819370253E-10</v>
      </c>
    </row>
    <row r="534" spans="1:20" ht="16" hidden="1">
      <c r="A534" s="80" t="s">
        <v>1157</v>
      </c>
      <c r="B534" s="81" t="s">
        <v>62</v>
      </c>
      <c r="C534" s="18"/>
      <c r="D534" s="21">
        <v>38254.22</v>
      </c>
      <c r="E534" s="21">
        <v>6842.6000000000049</v>
      </c>
      <c r="F534" s="21">
        <v>6842.6000000000049</v>
      </c>
      <c r="G534" s="21">
        <v>0.24000000000000007</v>
      </c>
      <c r="H534" s="21">
        <v>0.24000000000000007</v>
      </c>
      <c r="I534" s="21">
        <v>0.24000000000000007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20"/>
      <c r="Q534" s="82">
        <f t="shared" si="11"/>
        <v>2.7574981554202948E-8</v>
      </c>
      <c r="R534" s="14">
        <v>0</v>
      </c>
      <c r="S534" s="15">
        <v>0</v>
      </c>
      <c r="T534" s="16">
        <v>2.7480316944059513E-4</v>
      </c>
    </row>
    <row r="535" spans="1:20" ht="16" hidden="1">
      <c r="A535" s="80" t="s">
        <v>300</v>
      </c>
      <c r="B535" s="81" t="s">
        <v>62</v>
      </c>
      <c r="C535" s="18"/>
      <c r="D535" s="21">
        <v>130545.21999999999</v>
      </c>
      <c r="E535" s="21">
        <v>175476.15000000002</v>
      </c>
      <c r="F535" s="21">
        <v>0.21000000000000005</v>
      </c>
      <c r="G535" s="21">
        <v>0.22000000000000006</v>
      </c>
      <c r="H535" s="21">
        <v>0.23000000000000004</v>
      </c>
      <c r="I535" s="21">
        <v>0.24000000000000005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</v>
      </c>
      <c r="P535" s="20"/>
      <c r="Q535" s="82">
        <f t="shared" si="11"/>
        <v>2.7574981554202945E-8</v>
      </c>
      <c r="R535" s="14">
        <v>0</v>
      </c>
      <c r="S535" s="15">
        <v>0</v>
      </c>
      <c r="T535" s="16">
        <v>0</v>
      </c>
    </row>
    <row r="536" spans="1:20" ht="16" hidden="1">
      <c r="A536" s="80" t="s">
        <v>300</v>
      </c>
      <c r="B536" s="81" t="s">
        <v>76</v>
      </c>
      <c r="C536" s="18"/>
      <c r="D536" s="21">
        <v>361231.48</v>
      </c>
      <c r="E536" s="21">
        <v>484530.14</v>
      </c>
      <c r="F536" s="21">
        <v>361.27</v>
      </c>
      <c r="G536" s="21">
        <v>361.27</v>
      </c>
      <c r="H536" s="21">
        <v>0.24000000000000007</v>
      </c>
      <c r="I536" s="21">
        <v>0.24000000000000005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</v>
      </c>
      <c r="P536" s="20"/>
      <c r="Q536" s="82">
        <f t="shared" si="11"/>
        <v>2.7574981554202945E-8</v>
      </c>
      <c r="R536" s="14">
        <v>0</v>
      </c>
      <c r="S536" s="15">
        <v>0</v>
      </c>
      <c r="T536" s="16">
        <v>0</v>
      </c>
    </row>
    <row r="537" spans="1:20" ht="16">
      <c r="A537" s="80" t="s">
        <v>295</v>
      </c>
      <c r="B537" s="81" t="s">
        <v>67</v>
      </c>
      <c r="C537" s="18"/>
      <c r="D537" s="21">
        <v>0.24000000000000002</v>
      </c>
      <c r="E537" s="21">
        <v>0.24</v>
      </c>
      <c r="F537" s="21">
        <v>0.24000000000000002</v>
      </c>
      <c r="G537" s="21">
        <v>0.24</v>
      </c>
      <c r="H537" s="21">
        <v>0.24000000000000002</v>
      </c>
      <c r="I537" s="21">
        <v>0.24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0</v>
      </c>
      <c r="P537" s="20"/>
      <c r="Q537" s="82">
        <f t="shared" si="11"/>
        <v>2.7574981554202941E-8</v>
      </c>
      <c r="R537" s="14">
        <v>0</v>
      </c>
      <c r="S537" s="15">
        <v>0</v>
      </c>
      <c r="T537" s="16">
        <v>-3.2316059819370269E-10</v>
      </c>
    </row>
    <row r="538" spans="1:20" ht="16" hidden="1">
      <c r="A538" s="80" t="s">
        <v>278</v>
      </c>
      <c r="B538" s="81" t="s">
        <v>76</v>
      </c>
      <c r="C538" s="18"/>
      <c r="D538" s="21">
        <v>0.23000000000000004</v>
      </c>
      <c r="E538" s="21">
        <v>0.22999999999999998</v>
      </c>
      <c r="F538" s="21">
        <v>0.23000000000000004</v>
      </c>
      <c r="G538" s="21">
        <v>0.22999999999999998</v>
      </c>
      <c r="H538" s="21">
        <v>0.23000000000000009</v>
      </c>
      <c r="I538" s="21">
        <v>0.23000000000000012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</v>
      </c>
      <c r="P538" s="20"/>
      <c r="Q538" s="82">
        <f t="shared" si="11"/>
        <v>2.6426023989444499E-8</v>
      </c>
      <c r="R538" s="14">
        <v>0</v>
      </c>
      <c r="S538" s="15">
        <v>0</v>
      </c>
      <c r="T538" s="16">
        <v>2.0420888218745012E-3</v>
      </c>
    </row>
    <row r="539" spans="1:20" ht="16" hidden="1">
      <c r="A539" s="80" t="s">
        <v>1003</v>
      </c>
      <c r="B539" s="81" t="s">
        <v>78</v>
      </c>
      <c r="C539" s="18"/>
      <c r="D539" s="21">
        <v>0.18999999999999995</v>
      </c>
      <c r="E539" s="21">
        <v>0.19999999999999996</v>
      </c>
      <c r="F539" s="21">
        <v>0.20999999999999996</v>
      </c>
      <c r="G539" s="21">
        <v>0.21999999999999997</v>
      </c>
      <c r="H539" s="21">
        <v>0.22999999999999998</v>
      </c>
      <c r="I539" s="21">
        <v>0.22999999999999998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0</v>
      </c>
      <c r="P539" s="20"/>
      <c r="Q539" s="82">
        <f t="shared" si="11"/>
        <v>2.6426023989444483E-8</v>
      </c>
      <c r="R539" s="14">
        <v>0</v>
      </c>
      <c r="S539" s="15">
        <v>0</v>
      </c>
      <c r="T539" s="16">
        <v>0</v>
      </c>
    </row>
    <row r="540" spans="1:20" ht="16" hidden="1">
      <c r="A540" s="80" t="s">
        <v>675</v>
      </c>
      <c r="B540" s="81" t="s">
        <v>145</v>
      </c>
      <c r="C540" s="18"/>
      <c r="D540" s="21">
        <v>0.21999999999999997</v>
      </c>
      <c r="E540" s="21">
        <v>0.22</v>
      </c>
      <c r="F540" s="21">
        <v>0.21999999999999997</v>
      </c>
      <c r="G540" s="21">
        <v>0.21999999999999997</v>
      </c>
      <c r="H540" s="21">
        <v>0.21999999999999997</v>
      </c>
      <c r="I540" s="21">
        <v>0.21999999999999997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>
        <v>0</v>
      </c>
      <c r="P540" s="20"/>
      <c r="Q540" s="82">
        <f t="shared" si="11"/>
        <v>2.5277066424686027E-8</v>
      </c>
      <c r="R540" s="14">
        <v>0</v>
      </c>
      <c r="S540" s="15">
        <v>0</v>
      </c>
      <c r="T540" s="16">
        <v>0</v>
      </c>
    </row>
    <row r="541" spans="1:20" ht="16">
      <c r="A541" s="80" t="s">
        <v>300</v>
      </c>
      <c r="B541" s="81" t="s">
        <v>67</v>
      </c>
      <c r="C541" s="18"/>
      <c r="D541" s="21">
        <v>520053.05000000016</v>
      </c>
      <c r="E541" s="21">
        <v>697739.7200000002</v>
      </c>
      <c r="F541" s="21">
        <v>0.21999999999999975</v>
      </c>
      <c r="G541" s="21">
        <v>0.22000000000000003</v>
      </c>
      <c r="H541" s="21">
        <v>0.2199999999999997</v>
      </c>
      <c r="I541" s="21">
        <v>0.21999999999999975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>
        <v>0</v>
      </c>
      <c r="P541" s="20"/>
      <c r="Q541" s="82">
        <f t="shared" si="11"/>
        <v>2.5277066424686001E-8</v>
      </c>
      <c r="R541" s="14">
        <v>0</v>
      </c>
      <c r="S541" s="15">
        <v>0</v>
      </c>
      <c r="T541" s="16">
        <v>4.2349711652387434E-5</v>
      </c>
    </row>
    <row r="542" spans="1:20" ht="16" hidden="1">
      <c r="A542" s="80" t="s">
        <v>974</v>
      </c>
      <c r="B542" s="81" t="s">
        <v>76</v>
      </c>
      <c r="C542" s="18"/>
      <c r="D542" s="21">
        <v>0.21000000000000002</v>
      </c>
      <c r="E542" s="21">
        <v>0.20999999999999996</v>
      </c>
      <c r="F542" s="21">
        <v>0.21000000000000002</v>
      </c>
      <c r="G542" s="21">
        <v>0.21</v>
      </c>
      <c r="H542" s="21">
        <v>0.20999999999999996</v>
      </c>
      <c r="I542" s="21">
        <v>0.21000000000000002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0</v>
      </c>
      <c r="P542" s="20"/>
      <c r="Q542" s="82">
        <f t="shared" si="11"/>
        <v>2.4128108859927575E-8</v>
      </c>
      <c r="R542" s="14">
        <v>0</v>
      </c>
      <c r="S542" s="15">
        <v>0</v>
      </c>
      <c r="T542" s="16">
        <v>0</v>
      </c>
    </row>
    <row r="543" spans="1:20" ht="16" hidden="1">
      <c r="A543" s="80" t="s">
        <v>93</v>
      </c>
      <c r="B543" s="81" t="s">
        <v>76</v>
      </c>
      <c r="C543" s="18"/>
      <c r="D543" s="21">
        <v>0.20000000000000007</v>
      </c>
      <c r="E543" s="21">
        <v>0.20000000000000007</v>
      </c>
      <c r="F543" s="21">
        <v>0.20000000000000007</v>
      </c>
      <c r="G543" s="21">
        <v>0.20000000000000007</v>
      </c>
      <c r="H543" s="21">
        <v>0.20000000000000007</v>
      </c>
      <c r="I543" s="21">
        <v>0.20000000000000004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0</v>
      </c>
      <c r="P543" s="20"/>
      <c r="Q543" s="82">
        <f t="shared" si="11"/>
        <v>2.2979151295169123E-8</v>
      </c>
      <c r="R543" s="14">
        <v>0</v>
      </c>
      <c r="S543" s="15">
        <v>0</v>
      </c>
      <c r="T543" s="16">
        <v>0</v>
      </c>
    </row>
    <row r="544" spans="1:20" ht="16" hidden="1">
      <c r="A544" s="80" t="s">
        <v>566</v>
      </c>
      <c r="B544" s="81" t="s">
        <v>76</v>
      </c>
      <c r="C544" s="18"/>
      <c r="D544" s="21">
        <v>0.2</v>
      </c>
      <c r="E544" s="21">
        <v>0.2</v>
      </c>
      <c r="F544" s="21">
        <v>0.2</v>
      </c>
      <c r="G544" s="21">
        <v>0.2</v>
      </c>
      <c r="H544" s="21">
        <v>0.2</v>
      </c>
      <c r="I544" s="21">
        <v>0.2</v>
      </c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>
        <v>0</v>
      </c>
      <c r="P544" s="20"/>
      <c r="Q544" s="82">
        <f t="shared" si="11"/>
        <v>2.297915129516912E-8</v>
      </c>
      <c r="R544" s="14">
        <v>0</v>
      </c>
      <c r="S544" s="15">
        <v>0</v>
      </c>
      <c r="T544" s="16">
        <v>0</v>
      </c>
    </row>
    <row r="545" spans="1:20" ht="16" hidden="1">
      <c r="A545" s="80" t="s">
        <v>1024</v>
      </c>
      <c r="B545" s="81" t="s">
        <v>85</v>
      </c>
      <c r="C545" s="18"/>
      <c r="D545" s="21">
        <v>0.19271300000000008</v>
      </c>
      <c r="E545" s="21">
        <v>0.19271299999999997</v>
      </c>
      <c r="F545" s="21">
        <v>0.19271300000000005</v>
      </c>
      <c r="G545" s="21">
        <v>5997.0924829999994</v>
      </c>
      <c r="H545" s="21">
        <v>0.19271300000000008</v>
      </c>
      <c r="I545" s="21">
        <v>0.19271300000000008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</v>
      </c>
      <c r="P545" s="20"/>
      <c r="Q545" s="82">
        <f t="shared" si="11"/>
        <v>2.2141905917729639E-8</v>
      </c>
      <c r="R545" s="14">
        <v>0</v>
      </c>
      <c r="S545" s="15">
        <v>0</v>
      </c>
      <c r="T545" s="16">
        <v>1.615802990968513E-7</v>
      </c>
    </row>
    <row r="546" spans="1:20" ht="16" hidden="1">
      <c r="A546" s="80" t="s">
        <v>369</v>
      </c>
      <c r="B546" s="81" t="s">
        <v>62</v>
      </c>
      <c r="C546" s="18"/>
      <c r="D546" s="21">
        <v>4719.79</v>
      </c>
      <c r="E546" s="21">
        <v>24502.719999999976</v>
      </c>
      <c r="F546" s="21">
        <v>0.19000000000000011</v>
      </c>
      <c r="G546" s="21">
        <v>0.19000000000000011</v>
      </c>
      <c r="H546" s="21">
        <v>0.19000000000000009</v>
      </c>
      <c r="I546" s="21">
        <v>0.19000000000000011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</v>
      </c>
      <c r="P546" s="20"/>
      <c r="Q546" s="82">
        <f t="shared" si="11"/>
        <v>2.1830193730410675E-8</v>
      </c>
      <c r="R546" s="14">
        <v>0</v>
      </c>
      <c r="S546" s="15">
        <v>0</v>
      </c>
      <c r="T546" s="16">
        <v>0</v>
      </c>
    </row>
    <row r="547" spans="1:20" ht="16">
      <c r="A547" s="80" t="s">
        <v>155</v>
      </c>
      <c r="B547" s="81" t="s">
        <v>67</v>
      </c>
      <c r="C547" s="18"/>
      <c r="D547" s="21">
        <v>256462.8900000001</v>
      </c>
      <c r="E547" s="21">
        <v>0.15</v>
      </c>
      <c r="F547" s="21">
        <v>0.15999999999999998</v>
      </c>
      <c r="G547" s="21">
        <v>256462.92000000013</v>
      </c>
      <c r="H547" s="21">
        <v>0.18000000000000002</v>
      </c>
      <c r="I547" s="21">
        <v>0.19000000000000003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</v>
      </c>
      <c r="P547" s="20"/>
      <c r="Q547" s="82">
        <f t="shared" si="11"/>
        <v>2.1830193730410665E-8</v>
      </c>
      <c r="R547" s="14">
        <v>0</v>
      </c>
      <c r="S547" s="15">
        <v>0</v>
      </c>
      <c r="T547" s="16">
        <v>1.6158029909685129E-10</v>
      </c>
    </row>
    <row r="548" spans="1:20" ht="16">
      <c r="A548" s="80" t="s">
        <v>540</v>
      </c>
      <c r="B548" s="81" t="s">
        <v>67</v>
      </c>
      <c r="C548" s="18"/>
      <c r="D548" s="21">
        <v>0.17</v>
      </c>
      <c r="E548" s="21">
        <v>0.17000000000000004</v>
      </c>
      <c r="F548" s="21">
        <v>0.18000000000000002</v>
      </c>
      <c r="G548" s="21">
        <v>0.18000000000000005</v>
      </c>
      <c r="H548" s="21">
        <v>0.18000000000000005</v>
      </c>
      <c r="I548" s="21">
        <v>0.18000000000000005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0</v>
      </c>
      <c r="P548" s="20"/>
      <c r="Q548" s="82">
        <f t="shared" si="11"/>
        <v>2.0681236165652213E-8</v>
      </c>
      <c r="R548" s="14">
        <v>0</v>
      </c>
      <c r="S548" s="15">
        <v>0</v>
      </c>
      <c r="T548" s="16">
        <v>0</v>
      </c>
    </row>
    <row r="549" spans="1:20" ht="16" hidden="1">
      <c r="A549" s="80" t="s">
        <v>1053</v>
      </c>
      <c r="B549" s="81" t="s">
        <v>62</v>
      </c>
      <c r="C549" s="18"/>
      <c r="D549" s="21">
        <v>0.18</v>
      </c>
      <c r="E549" s="21">
        <v>16469.370000000003</v>
      </c>
      <c r="F549" s="21">
        <v>16469.380000000005</v>
      </c>
      <c r="G549" s="21">
        <v>0.19</v>
      </c>
      <c r="H549" s="21">
        <v>0.18999999999999997</v>
      </c>
      <c r="I549" s="21">
        <v>0.17999999999999997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20"/>
      <c r="Q549" s="82">
        <f t="shared" si="11"/>
        <v>2.0681236165652203E-8</v>
      </c>
      <c r="R549" s="14">
        <v>0</v>
      </c>
      <c r="S549" s="15">
        <v>0</v>
      </c>
      <c r="T549" s="16">
        <v>-3.231605981937029E-10</v>
      </c>
    </row>
    <row r="550" spans="1:20" ht="16">
      <c r="A550" s="80" t="s">
        <v>393</v>
      </c>
      <c r="B550" s="81" t="s">
        <v>67</v>
      </c>
      <c r="C550" s="18"/>
      <c r="D550" s="21">
        <v>0.15</v>
      </c>
      <c r="E550" s="21">
        <v>0.15000000000000002</v>
      </c>
      <c r="F550" s="21">
        <v>0.15</v>
      </c>
      <c r="G550" s="21">
        <v>0.15</v>
      </c>
      <c r="H550" s="21">
        <v>0.16</v>
      </c>
      <c r="I550" s="21">
        <v>0.16999999999999998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</v>
      </c>
      <c r="P550" s="20"/>
      <c r="Q550" s="82">
        <f t="shared" si="11"/>
        <v>1.9532278600893747E-8</v>
      </c>
      <c r="R550" s="14">
        <v>0</v>
      </c>
      <c r="S550" s="15">
        <v>0</v>
      </c>
      <c r="T550" s="16">
        <v>-2.6832024468023143E-10</v>
      </c>
    </row>
    <row r="551" spans="1:20" ht="16">
      <c r="A551" s="80" t="s">
        <v>985</v>
      </c>
      <c r="B551" s="81" t="s">
        <v>67</v>
      </c>
      <c r="C551" s="18"/>
      <c r="D551" s="21">
        <v>0.14999999999999986</v>
      </c>
      <c r="E551" s="21">
        <v>0.15000000000000002</v>
      </c>
      <c r="F551" s="21">
        <v>0.14999999999999991</v>
      </c>
      <c r="G551" s="21">
        <v>0.14999999999999997</v>
      </c>
      <c r="H551" s="21">
        <v>0.15000000000000002</v>
      </c>
      <c r="I551" s="21">
        <v>0.16000000000000003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0</v>
      </c>
      <c r="P551" s="20"/>
      <c r="Q551" s="82">
        <f t="shared" si="11"/>
        <v>1.8383321036135299E-8</v>
      </c>
      <c r="R551" s="14">
        <v>2260.6100000000006</v>
      </c>
      <c r="S551" s="15">
        <v>4.4015052201200444E-2</v>
      </c>
      <c r="T551" s="16">
        <v>8.6640228909346797E-4</v>
      </c>
    </row>
    <row r="552" spans="1:20" ht="16" hidden="1">
      <c r="A552" s="80" t="s">
        <v>507</v>
      </c>
      <c r="B552" s="81" t="s">
        <v>60</v>
      </c>
      <c r="C552" s="18"/>
      <c r="D552" s="21">
        <v>158504.25999999992</v>
      </c>
      <c r="E552" s="21">
        <v>2807.6599999999989</v>
      </c>
      <c r="F552" s="21">
        <v>0.10999999999999993</v>
      </c>
      <c r="G552" s="21">
        <v>9201.8599999999988</v>
      </c>
      <c r="H552" s="21">
        <v>16753.650000000012</v>
      </c>
      <c r="I552" s="21">
        <v>0.15999999999999995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0</v>
      </c>
      <c r="P552" s="20"/>
      <c r="Q552" s="82">
        <f t="shared" si="11"/>
        <v>1.8383321036135289E-8</v>
      </c>
      <c r="R552" s="14">
        <v>-0.05</v>
      </c>
      <c r="S552" s="15">
        <v>0</v>
      </c>
      <c r="T552" s="16">
        <v>-8.0790149548425657E-10</v>
      </c>
    </row>
    <row r="553" spans="1:20" ht="16" hidden="1">
      <c r="A553" s="80" t="s">
        <v>701</v>
      </c>
      <c r="B553" s="81" t="s">
        <v>62</v>
      </c>
      <c r="C553" s="18"/>
      <c r="D553" s="21">
        <v>1416.2000000000003</v>
      </c>
      <c r="E553" s="21">
        <v>0.15000000000000002</v>
      </c>
      <c r="F553" s="21">
        <v>0.15000000000000002</v>
      </c>
      <c r="G553" s="21">
        <v>0.15000000000000002</v>
      </c>
      <c r="H553" s="21">
        <v>0.15000000000000002</v>
      </c>
      <c r="I553" s="21">
        <v>0.15000000000000002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</v>
      </c>
      <c r="P553" s="20"/>
      <c r="Q553" s="82">
        <f t="shared" si="11"/>
        <v>1.723436347137684E-8</v>
      </c>
      <c r="R553" s="14">
        <v>102.36999999999998</v>
      </c>
      <c r="S553" s="15">
        <v>0.51504326826323199</v>
      </c>
      <c r="T553" s="16">
        <v>4.8656675467034825E-6</v>
      </c>
    </row>
    <row r="554" spans="1:20" ht="16" hidden="1">
      <c r="A554" s="80" t="s">
        <v>272</v>
      </c>
      <c r="B554" s="81" t="s">
        <v>62</v>
      </c>
      <c r="C554" s="18"/>
      <c r="D554" s="21">
        <v>0.15</v>
      </c>
      <c r="E554" s="21">
        <v>0.14999999999999997</v>
      </c>
      <c r="F554" s="21">
        <v>0.14999999999999997</v>
      </c>
      <c r="G554" s="21">
        <v>0.15</v>
      </c>
      <c r="H554" s="21">
        <v>0.14999999999999997</v>
      </c>
      <c r="I554" s="21">
        <v>0.15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20"/>
      <c r="Q554" s="82">
        <f t="shared" si="11"/>
        <v>1.7234363471376837E-8</v>
      </c>
      <c r="R554" s="14">
        <v>0</v>
      </c>
      <c r="S554" s="15">
        <v>0</v>
      </c>
      <c r="T554" s="16">
        <v>0</v>
      </c>
    </row>
    <row r="555" spans="1:20" ht="16" hidden="1">
      <c r="A555" s="80" t="s">
        <v>608</v>
      </c>
      <c r="B555" s="81" t="s">
        <v>62</v>
      </c>
      <c r="C555" s="18"/>
      <c r="D555" s="21">
        <v>0.13999999999999999</v>
      </c>
      <c r="E555" s="21">
        <v>0.15</v>
      </c>
      <c r="F555" s="21">
        <v>0.15</v>
      </c>
      <c r="G555" s="21">
        <v>0.15</v>
      </c>
      <c r="H555" s="21">
        <v>0.15</v>
      </c>
      <c r="I555" s="21">
        <v>0.15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0</v>
      </c>
      <c r="P555" s="20"/>
      <c r="Q555" s="82">
        <f t="shared" si="11"/>
        <v>1.7234363471376837E-8</v>
      </c>
      <c r="R555" s="14">
        <v>1.0000000000218279E-2</v>
      </c>
      <c r="S555" s="15">
        <v>1.8984806459804947E-6</v>
      </c>
      <c r="T555" s="16">
        <v>8.5110483585677256E-5</v>
      </c>
    </row>
    <row r="556" spans="1:20" ht="16" hidden="1">
      <c r="A556" s="80" t="s">
        <v>932</v>
      </c>
      <c r="B556" s="81" t="s">
        <v>62</v>
      </c>
      <c r="C556" s="18"/>
      <c r="D556" s="21">
        <v>0</v>
      </c>
      <c r="E556" s="21">
        <v>0.03</v>
      </c>
      <c r="F556" s="21">
        <v>0.06</v>
      </c>
      <c r="G556" s="21">
        <v>0.09</v>
      </c>
      <c r="H556" s="21">
        <v>0.12</v>
      </c>
      <c r="I556" s="21">
        <v>0.15</v>
      </c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20"/>
      <c r="Q556" s="82">
        <f t="shared" si="11"/>
        <v>1.7234363471376837E-8</v>
      </c>
      <c r="R556" s="14">
        <v>30275.140000000014</v>
      </c>
      <c r="S556" s="15">
        <v>0.18643256305070871</v>
      </c>
      <c r="T556" s="16">
        <v>3.1131199565108008E-3</v>
      </c>
    </row>
    <row r="557" spans="1:20" ht="16" hidden="1">
      <c r="A557" s="80" t="s">
        <v>1028</v>
      </c>
      <c r="B557" s="81" t="s">
        <v>85</v>
      </c>
      <c r="C557" s="18"/>
      <c r="D557" s="21">
        <v>0.11999999999999994</v>
      </c>
      <c r="E557" s="21">
        <v>0.11999999999999991</v>
      </c>
      <c r="F557" s="21">
        <v>388.94999999999982</v>
      </c>
      <c r="G557" s="21">
        <v>75816.389999999985</v>
      </c>
      <c r="H557" s="21">
        <v>0.14999999999999994</v>
      </c>
      <c r="I557" s="21">
        <v>0.14999999999999994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0</v>
      </c>
      <c r="P557" s="20"/>
      <c r="Q557" s="82">
        <f t="shared" si="11"/>
        <v>1.723436347137683E-8</v>
      </c>
      <c r="R557" s="14">
        <v>0</v>
      </c>
      <c r="S557" s="15">
        <v>0</v>
      </c>
      <c r="T557" s="16">
        <v>9.5624045065042E-4</v>
      </c>
    </row>
    <row r="558" spans="1:20" ht="16" hidden="1">
      <c r="A558" s="80" t="s">
        <v>304</v>
      </c>
      <c r="B558" s="81" t="s">
        <v>62</v>
      </c>
      <c r="C558" s="18"/>
      <c r="D558" s="21">
        <v>106451.43999999996</v>
      </c>
      <c r="E558" s="21">
        <v>108114.41999999997</v>
      </c>
      <c r="F558" s="21">
        <v>22450.349999999977</v>
      </c>
      <c r="G558" s="21">
        <v>22450.349999999977</v>
      </c>
      <c r="H558" s="21">
        <v>0.14000000000000012</v>
      </c>
      <c r="I558" s="21">
        <v>0.14000000000000012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0</v>
      </c>
      <c r="P558" s="20"/>
      <c r="Q558" s="82">
        <f t="shared" si="11"/>
        <v>1.6085405906618398E-8</v>
      </c>
      <c r="R558" s="14">
        <v>0</v>
      </c>
      <c r="S558" s="15">
        <v>0</v>
      </c>
      <c r="T558" s="16">
        <v>0</v>
      </c>
    </row>
    <row r="559" spans="1:20" ht="16" hidden="1">
      <c r="A559" s="80" t="s">
        <v>457</v>
      </c>
      <c r="B559" s="81" t="s">
        <v>366</v>
      </c>
      <c r="C559" s="18"/>
      <c r="D559" s="21">
        <v>0.13999999999999999</v>
      </c>
      <c r="E559" s="21">
        <v>0.13999999999999999</v>
      </c>
      <c r="F559" s="21">
        <v>0.14000000000000001</v>
      </c>
      <c r="G559" s="21">
        <v>0.13999999999999999</v>
      </c>
      <c r="H559" s="21">
        <v>0.13999999999999999</v>
      </c>
      <c r="I559" s="21">
        <v>0.13999999999999999</v>
      </c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>
        <v>0</v>
      </c>
      <c r="P559" s="20"/>
      <c r="Q559" s="82">
        <f t="shared" si="11"/>
        <v>1.6085405906618381E-8</v>
      </c>
      <c r="R559" s="14">
        <v>0</v>
      </c>
      <c r="S559" s="15">
        <v>0</v>
      </c>
      <c r="T559" s="16">
        <v>0</v>
      </c>
    </row>
    <row r="560" spans="1:20" ht="16">
      <c r="A560" s="80" t="s">
        <v>990</v>
      </c>
      <c r="B560" s="81" t="s">
        <v>67</v>
      </c>
      <c r="C560" s="18"/>
      <c r="D560" s="21">
        <v>0.13999999999999999</v>
      </c>
      <c r="E560" s="21">
        <v>0.13999999999999999</v>
      </c>
      <c r="F560" s="21">
        <v>0.13999999999999999</v>
      </c>
      <c r="G560" s="21">
        <v>0.13999999999999999</v>
      </c>
      <c r="H560" s="21">
        <v>0.13999999999999999</v>
      </c>
      <c r="I560" s="21">
        <v>0.13999999999999999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20"/>
      <c r="Q560" s="82">
        <f t="shared" si="11"/>
        <v>1.6085405906618381E-8</v>
      </c>
      <c r="R560" s="14">
        <v>0</v>
      </c>
      <c r="S560" s="15">
        <v>0</v>
      </c>
      <c r="T560" s="16">
        <v>2.477025985154731E-7</v>
      </c>
    </row>
    <row r="561" spans="1:20" ht="16" hidden="1">
      <c r="A561" s="80" t="s">
        <v>1011</v>
      </c>
      <c r="B561" s="81" t="s">
        <v>62</v>
      </c>
      <c r="C561" s="18"/>
      <c r="D561" s="21">
        <v>0.13</v>
      </c>
      <c r="E561" s="21">
        <v>0.13000000000000006</v>
      </c>
      <c r="F561" s="21">
        <v>0.12999999999999989</v>
      </c>
      <c r="G561" s="21">
        <v>0.12999999999999995</v>
      </c>
      <c r="H561" s="21">
        <v>0.13000000000000006</v>
      </c>
      <c r="I561" s="21">
        <v>0.13000000000000006</v>
      </c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>
        <v>0</v>
      </c>
      <c r="P561" s="20"/>
      <c r="Q561" s="82">
        <f t="shared" si="11"/>
        <v>1.4936448341859933E-8</v>
      </c>
      <c r="R561" s="14">
        <v>0</v>
      </c>
      <c r="S561" s="15">
        <v>0</v>
      </c>
      <c r="T561" s="16">
        <v>-4.8474089729055398E-10</v>
      </c>
    </row>
    <row r="562" spans="1:20" ht="16" hidden="1">
      <c r="A562" s="80" t="s">
        <v>852</v>
      </c>
      <c r="B562" s="81" t="s">
        <v>85</v>
      </c>
      <c r="C562" s="18"/>
      <c r="D562" s="21">
        <v>0.13</v>
      </c>
      <c r="E562" s="21">
        <v>0.13</v>
      </c>
      <c r="F562" s="21">
        <v>0.13</v>
      </c>
      <c r="G562" s="21">
        <v>0.12999999999999998</v>
      </c>
      <c r="H562" s="21">
        <v>0.13</v>
      </c>
      <c r="I562" s="21">
        <v>0.13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0</v>
      </c>
      <c r="P562" s="20"/>
      <c r="Q562" s="82">
        <f t="shared" si="11"/>
        <v>1.4936448341859926E-8</v>
      </c>
      <c r="R562" s="14">
        <v>0</v>
      </c>
      <c r="S562" s="15">
        <v>0</v>
      </c>
      <c r="T562" s="16">
        <v>2.8930041240404322E-3</v>
      </c>
    </row>
    <row r="563" spans="1:20" ht="16">
      <c r="A563" s="80" t="s">
        <v>957</v>
      </c>
      <c r="B563" s="81" t="s">
        <v>67</v>
      </c>
      <c r="C563" s="18"/>
      <c r="D563" s="21">
        <v>75598.779999999984</v>
      </c>
      <c r="E563" s="21">
        <v>48599.260000000009</v>
      </c>
      <c r="F563" s="21">
        <v>48599.259999999995</v>
      </c>
      <c r="G563" s="21">
        <v>0.12999999999999998</v>
      </c>
      <c r="H563" s="21">
        <v>0.12999999999999998</v>
      </c>
      <c r="I563" s="21">
        <v>0.13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0</v>
      </c>
      <c r="P563" s="20"/>
      <c r="Q563" s="82">
        <f t="shared" si="11"/>
        <v>1.4936448341859926E-8</v>
      </c>
      <c r="R563" s="14">
        <v>0</v>
      </c>
      <c r="S563" s="15">
        <v>0</v>
      </c>
      <c r="T563" s="16">
        <v>1.6158029909685129E-10</v>
      </c>
    </row>
    <row r="564" spans="1:20" ht="16" hidden="1">
      <c r="A564" s="80" t="s">
        <v>550</v>
      </c>
      <c r="B564" s="81" t="s">
        <v>62</v>
      </c>
      <c r="C564" s="18"/>
      <c r="D564" s="21">
        <v>0.12000000000000001</v>
      </c>
      <c r="E564" s="21">
        <v>0.12000000000000001</v>
      </c>
      <c r="F564" s="21">
        <v>0.12000000000000001</v>
      </c>
      <c r="G564" s="21">
        <v>0.12000000000000001</v>
      </c>
      <c r="H564" s="21">
        <v>0.12000000000000001</v>
      </c>
      <c r="I564" s="21">
        <v>0.12000000000000001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</v>
      </c>
      <c r="P564" s="20"/>
      <c r="Q564" s="82">
        <f t="shared" si="11"/>
        <v>1.3787490777101472E-8</v>
      </c>
      <c r="R564" s="14">
        <v>-10</v>
      </c>
      <c r="S564" s="15">
        <v>-1.1517977258905705E-3</v>
      </c>
      <c r="T564" s="16">
        <v>1.4012372801918216E-4</v>
      </c>
    </row>
    <row r="565" spans="1:20" ht="16" hidden="1">
      <c r="A565" s="80" t="s">
        <v>262</v>
      </c>
      <c r="B565" s="81" t="s">
        <v>60</v>
      </c>
      <c r="C565" s="18"/>
      <c r="D565" s="21">
        <v>0.12</v>
      </c>
      <c r="E565" s="21">
        <v>0.12</v>
      </c>
      <c r="F565" s="21">
        <v>0.12</v>
      </c>
      <c r="G565" s="21">
        <v>0.12</v>
      </c>
      <c r="H565" s="21">
        <v>0.12</v>
      </c>
      <c r="I565" s="21">
        <v>0.12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20"/>
      <c r="Q565" s="82">
        <f t="shared" si="11"/>
        <v>1.3787490777101471E-8</v>
      </c>
      <c r="R565" s="14">
        <v>0</v>
      </c>
      <c r="S565" s="15">
        <v>0</v>
      </c>
      <c r="T565" s="16">
        <v>7.9011069665219764E-4</v>
      </c>
    </row>
    <row r="566" spans="1:20" ht="16" hidden="1">
      <c r="A566" s="80" t="s">
        <v>1095</v>
      </c>
      <c r="B566" s="81" t="s">
        <v>60</v>
      </c>
      <c r="C566" s="18"/>
      <c r="D566" s="21">
        <v>0.12</v>
      </c>
      <c r="E566" s="21">
        <v>0.12</v>
      </c>
      <c r="F566" s="21">
        <v>0.12</v>
      </c>
      <c r="G566" s="21">
        <v>0.12</v>
      </c>
      <c r="H566" s="21">
        <v>0.12</v>
      </c>
      <c r="I566" s="21">
        <v>0.12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20"/>
      <c r="Q566" s="82">
        <f t="shared" si="11"/>
        <v>1.3787490777101471E-8</v>
      </c>
      <c r="R566" s="14">
        <v>0</v>
      </c>
      <c r="S566" s="15">
        <v>0</v>
      </c>
      <c r="T566" s="16">
        <v>6.1723674254997199E-4</v>
      </c>
    </row>
    <row r="567" spans="1:20" ht="16" hidden="1">
      <c r="A567" s="80" t="s">
        <v>565</v>
      </c>
      <c r="B567" s="81" t="s">
        <v>85</v>
      </c>
      <c r="C567" s="18"/>
      <c r="D567" s="21">
        <v>0.11999999999999998</v>
      </c>
      <c r="E567" s="21">
        <v>0.11999999999999998</v>
      </c>
      <c r="F567" s="21">
        <v>0.11999999999999998</v>
      </c>
      <c r="G567" s="21">
        <v>0.11999999999999998</v>
      </c>
      <c r="H567" s="21">
        <v>0.11999999999999998</v>
      </c>
      <c r="I567" s="21">
        <v>0.11999999999999998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20"/>
      <c r="Q567" s="82">
        <f t="shared" si="11"/>
        <v>1.3787490777101469E-8</v>
      </c>
      <c r="R567" s="14">
        <v>0</v>
      </c>
      <c r="S567" s="15">
        <v>0</v>
      </c>
      <c r="T567" s="16">
        <v>0</v>
      </c>
    </row>
    <row r="568" spans="1:20" ht="16" hidden="1">
      <c r="A568" s="80" t="s">
        <v>696</v>
      </c>
      <c r="B568" s="81" t="s">
        <v>78</v>
      </c>
      <c r="C568" s="18"/>
      <c r="D568" s="21">
        <v>927.89999999999964</v>
      </c>
      <c r="E568" s="21">
        <v>0.11999999999999998</v>
      </c>
      <c r="F568" s="21">
        <v>0.11999999999999998</v>
      </c>
      <c r="G568" s="21">
        <v>0.11999999999999998</v>
      </c>
      <c r="H568" s="21">
        <v>0.11999999999999998</v>
      </c>
      <c r="I568" s="21">
        <v>0.11999999999999998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20"/>
      <c r="Q568" s="82">
        <f t="shared" si="11"/>
        <v>1.3787490777101469E-8</v>
      </c>
      <c r="R568" s="14">
        <v>0</v>
      </c>
      <c r="S568" s="15">
        <v>0</v>
      </c>
      <c r="T568" s="16">
        <v>0</v>
      </c>
    </row>
    <row r="569" spans="1:20" ht="16" hidden="1">
      <c r="A569" s="80" t="s">
        <v>422</v>
      </c>
      <c r="B569" s="81" t="s">
        <v>366</v>
      </c>
      <c r="C569" s="18"/>
      <c r="D569" s="21">
        <v>15298.360000000002</v>
      </c>
      <c r="E569" s="21">
        <v>12753.210000000003</v>
      </c>
      <c r="F569" s="21">
        <v>0.09</v>
      </c>
      <c r="G569" s="21">
        <v>0.09</v>
      </c>
      <c r="H569" s="21">
        <v>0.09</v>
      </c>
      <c r="I569" s="21">
        <v>0.11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0</v>
      </c>
      <c r="P569" s="20"/>
      <c r="Q569" s="82">
        <f t="shared" si="11"/>
        <v>1.2638533212343015E-8</v>
      </c>
      <c r="R569" s="14">
        <v>0</v>
      </c>
      <c r="S569" s="15">
        <v>0</v>
      </c>
      <c r="T569" s="16">
        <v>9.6948179458110796E-10</v>
      </c>
    </row>
    <row r="570" spans="1:20" ht="16" hidden="1">
      <c r="A570" s="80" t="s">
        <v>199</v>
      </c>
      <c r="B570" s="81" t="s">
        <v>83</v>
      </c>
      <c r="C570" s="18"/>
      <c r="D570" s="21">
        <v>7.0000000000000007E-2</v>
      </c>
      <c r="E570" s="21">
        <v>0.08</v>
      </c>
      <c r="F570" s="21">
        <v>0.08</v>
      </c>
      <c r="G570" s="21">
        <v>0.09</v>
      </c>
      <c r="H570" s="21">
        <v>9.9999999999999992E-2</v>
      </c>
      <c r="I570" s="21">
        <v>0.10999999999999999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0</v>
      </c>
      <c r="P570" s="20"/>
      <c r="Q570" s="82">
        <f t="shared" si="11"/>
        <v>1.2638533212343014E-8</v>
      </c>
      <c r="R570" s="14">
        <v>0</v>
      </c>
      <c r="S570" s="15">
        <v>0</v>
      </c>
      <c r="T570" s="16">
        <v>0</v>
      </c>
    </row>
    <row r="571" spans="1:20" ht="16" hidden="1">
      <c r="A571" s="80" t="s">
        <v>461</v>
      </c>
      <c r="B571" s="81" t="s">
        <v>85</v>
      </c>
      <c r="C571" s="18"/>
      <c r="D571" s="21">
        <v>0.11999999999999998</v>
      </c>
      <c r="E571" s="21">
        <v>0.11999999999999998</v>
      </c>
      <c r="F571" s="21">
        <v>0.11999999999999998</v>
      </c>
      <c r="G571" s="21">
        <v>0.11999999999999998</v>
      </c>
      <c r="H571" s="21">
        <v>0.10999999999999999</v>
      </c>
      <c r="I571" s="21">
        <v>0.10999999999999999</v>
      </c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>
        <v>0</v>
      </c>
      <c r="P571" s="20"/>
      <c r="Q571" s="82">
        <f t="shared" si="11"/>
        <v>1.2638533212343014E-8</v>
      </c>
      <c r="R571" s="14">
        <v>5.0000000002910383E-2</v>
      </c>
      <c r="S571" s="15">
        <v>7.0268172864357527E-7</v>
      </c>
      <c r="T571" s="16">
        <v>1.1497410994141535E-3</v>
      </c>
    </row>
    <row r="572" spans="1:20" ht="16" hidden="1">
      <c r="A572" s="80" t="s">
        <v>692</v>
      </c>
      <c r="B572" s="81" t="s">
        <v>62</v>
      </c>
      <c r="C572" s="18"/>
      <c r="D572" s="21">
        <v>0.11</v>
      </c>
      <c r="E572" s="21">
        <v>0.11</v>
      </c>
      <c r="F572" s="21">
        <v>0.11000000000000001</v>
      </c>
      <c r="G572" s="21">
        <v>0.10999999999999999</v>
      </c>
      <c r="H572" s="21">
        <v>0.10999999999999999</v>
      </c>
      <c r="I572" s="21">
        <v>0.10999999999999999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20"/>
      <c r="Q572" s="82">
        <f t="shared" si="11"/>
        <v>1.2638533212343014E-8</v>
      </c>
      <c r="R572" s="14">
        <v>0</v>
      </c>
      <c r="S572" s="15">
        <v>0</v>
      </c>
      <c r="T572" s="16">
        <v>0</v>
      </c>
    </row>
    <row r="573" spans="1:20" ht="16" hidden="1">
      <c r="A573" s="80" t="s">
        <v>933</v>
      </c>
      <c r="B573" s="81" t="s">
        <v>76</v>
      </c>
      <c r="C573" s="18"/>
      <c r="D573" s="21">
        <v>9761.4700000000012</v>
      </c>
      <c r="E573" s="21">
        <v>52674.55</v>
      </c>
      <c r="F573" s="21">
        <v>52674.55</v>
      </c>
      <c r="G573" s="21">
        <v>23674.549999999996</v>
      </c>
      <c r="H573" s="21">
        <v>0.10999999999999999</v>
      </c>
      <c r="I573" s="21">
        <v>0.10999999999999999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20"/>
      <c r="Q573" s="82">
        <f t="shared" si="11"/>
        <v>1.2638533212343014E-8</v>
      </c>
      <c r="R573" s="14">
        <v>0</v>
      </c>
      <c r="S573" s="15">
        <v>0</v>
      </c>
      <c r="T573" s="16">
        <v>2.0334134140356911E-3</v>
      </c>
    </row>
    <row r="574" spans="1:20" ht="16" hidden="1">
      <c r="A574" s="80" t="s">
        <v>823</v>
      </c>
      <c r="B574" s="81" t="s">
        <v>62</v>
      </c>
      <c r="C574" s="18"/>
      <c r="D574" s="21">
        <v>51929.340000000004</v>
      </c>
      <c r="E574" s="21">
        <v>51929.340000000004</v>
      </c>
      <c r="F574" s="21">
        <v>51929.340000000004</v>
      </c>
      <c r="G574" s="21">
        <v>51929.340000000004</v>
      </c>
      <c r="H574" s="21">
        <v>0.12</v>
      </c>
      <c r="I574" s="21">
        <v>0.10000000000000002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0</v>
      </c>
      <c r="P574" s="20"/>
      <c r="Q574" s="82">
        <f t="shared" si="11"/>
        <v>1.1489575647584562E-8</v>
      </c>
      <c r="R574" s="14">
        <v>36891.83</v>
      </c>
      <c r="S574" s="15">
        <v>5.1581887252537371</v>
      </c>
      <c r="T574" s="16">
        <v>7.1166297669977906E-4</v>
      </c>
    </row>
    <row r="575" spans="1:20" ht="16">
      <c r="A575" s="80" t="s">
        <v>79</v>
      </c>
      <c r="B575" s="81" t="s">
        <v>67</v>
      </c>
      <c r="C575" s="18"/>
      <c r="D575" s="21">
        <v>0.05</v>
      </c>
      <c r="E575" s="21">
        <v>6.0000000000000005E-2</v>
      </c>
      <c r="F575" s="21">
        <v>7.0000000000000007E-2</v>
      </c>
      <c r="G575" s="21">
        <v>0.08</v>
      </c>
      <c r="H575" s="21">
        <v>0.09</v>
      </c>
      <c r="I575" s="21">
        <v>9.9999999999999992E-2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0</v>
      </c>
      <c r="P575" s="20"/>
      <c r="Q575" s="82">
        <f t="shared" si="11"/>
        <v>1.1489575647584558E-8</v>
      </c>
      <c r="R575" s="14">
        <v>-16753.490000000013</v>
      </c>
      <c r="S575" s="15">
        <v>-0.99999044984227314</v>
      </c>
      <c r="T575" s="16">
        <v>2.5852847855496199E-9</v>
      </c>
    </row>
    <row r="576" spans="1:20" ht="16">
      <c r="A576" s="80" t="s">
        <v>439</v>
      </c>
      <c r="B576" s="81" t="s">
        <v>67</v>
      </c>
      <c r="C576" s="18"/>
      <c r="D576" s="21">
        <v>9.9999999999999992E-2</v>
      </c>
      <c r="E576" s="21">
        <v>9.9999999999999992E-2</v>
      </c>
      <c r="F576" s="21">
        <v>9.9999999999999992E-2</v>
      </c>
      <c r="G576" s="21">
        <v>9.9999999999999992E-2</v>
      </c>
      <c r="H576" s="21">
        <v>9.9999999999999992E-2</v>
      </c>
      <c r="I576" s="21">
        <v>9.9999999999999992E-2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</v>
      </c>
      <c r="P576" s="20"/>
      <c r="Q576" s="82">
        <f t="shared" si="11"/>
        <v>1.1489575647584558E-8</v>
      </c>
      <c r="R576" s="14">
        <v>0</v>
      </c>
      <c r="S576" s="15">
        <v>0</v>
      </c>
      <c r="T576" s="16">
        <v>-1.1633781534973294E-7</v>
      </c>
    </row>
    <row r="577" spans="1:20" ht="16" hidden="1">
      <c r="A577" s="80" t="s">
        <v>571</v>
      </c>
      <c r="B577" s="81" t="s">
        <v>78</v>
      </c>
      <c r="C577" s="18"/>
      <c r="D577" s="21">
        <v>0.05</v>
      </c>
      <c r="E577" s="21">
        <v>6.0000000000000005E-2</v>
      </c>
      <c r="F577" s="21">
        <v>7.0000000000000007E-2</v>
      </c>
      <c r="G577" s="21">
        <v>0.08</v>
      </c>
      <c r="H577" s="21">
        <v>0.09</v>
      </c>
      <c r="I577" s="21">
        <v>9.9999999999999992E-2</v>
      </c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>
        <v>0</v>
      </c>
      <c r="P577" s="20"/>
      <c r="Q577" s="82">
        <f t="shared" si="11"/>
        <v>1.1489575647584558E-8</v>
      </c>
      <c r="R577" s="14">
        <v>0</v>
      </c>
      <c r="S577" s="15">
        <v>0</v>
      </c>
      <c r="T577" s="16">
        <v>6.4632119638740517E-10</v>
      </c>
    </row>
    <row r="578" spans="1:20" ht="16">
      <c r="A578" s="80" t="s">
        <v>578</v>
      </c>
      <c r="B578" s="81" t="s">
        <v>67</v>
      </c>
      <c r="C578" s="18"/>
      <c r="D578" s="21">
        <v>9.9999999999999992E-2</v>
      </c>
      <c r="E578" s="21">
        <v>9.9999999999999992E-2</v>
      </c>
      <c r="F578" s="21">
        <v>9.9999999999999992E-2</v>
      </c>
      <c r="G578" s="21">
        <v>9.9999999999999992E-2</v>
      </c>
      <c r="H578" s="21">
        <v>9.9999999999999992E-2</v>
      </c>
      <c r="I578" s="21">
        <v>9.9999999999999992E-2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0</v>
      </c>
      <c r="P578" s="20"/>
      <c r="Q578" s="82">
        <f t="shared" si="11"/>
        <v>1.1489575647584558E-8</v>
      </c>
      <c r="R578" s="14">
        <v>0</v>
      </c>
      <c r="S578" s="15">
        <v>0</v>
      </c>
      <c r="T578" s="16">
        <v>1.001797854400478E-8</v>
      </c>
    </row>
    <row r="579" spans="1:20" ht="16" hidden="1">
      <c r="A579" s="80" t="s">
        <v>681</v>
      </c>
      <c r="B579" s="81" t="s">
        <v>62</v>
      </c>
      <c r="C579" s="18"/>
      <c r="D579" s="21">
        <v>9.9999999999999992E-2</v>
      </c>
      <c r="E579" s="21">
        <v>9.9999999999999992E-2</v>
      </c>
      <c r="F579" s="21">
        <v>9.9999999999999992E-2</v>
      </c>
      <c r="G579" s="21">
        <v>9.9999999999999992E-2</v>
      </c>
      <c r="H579" s="21">
        <v>9.9999999999999992E-2</v>
      </c>
      <c r="I579" s="21">
        <v>9.9999999999999992E-2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</v>
      </c>
      <c r="P579" s="20"/>
      <c r="Q579" s="82">
        <f t="shared" si="11"/>
        <v>1.1489575647584558E-8</v>
      </c>
      <c r="R579" s="14">
        <v>0</v>
      </c>
      <c r="S579" s="15">
        <v>0</v>
      </c>
      <c r="T579" s="16">
        <v>0</v>
      </c>
    </row>
    <row r="580" spans="1:20" ht="16" hidden="1">
      <c r="A580" s="80" t="s">
        <v>402</v>
      </c>
      <c r="B580" s="81" t="s">
        <v>62</v>
      </c>
      <c r="C580" s="18"/>
      <c r="D580" s="21">
        <v>0.04</v>
      </c>
      <c r="E580" s="21">
        <v>25693.009999999995</v>
      </c>
      <c r="F580" s="21">
        <v>25693.02</v>
      </c>
      <c r="G580" s="21">
        <v>7.0000000000000007E-2</v>
      </c>
      <c r="H580" s="21">
        <v>7.9999999999999988E-2</v>
      </c>
      <c r="I580" s="21">
        <v>0.09</v>
      </c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>
        <v>0</v>
      </c>
      <c r="P580" s="20"/>
      <c r="Q580" s="82">
        <f t="shared" si="11"/>
        <v>1.0340618082826103E-8</v>
      </c>
      <c r="R580" s="14">
        <v>0</v>
      </c>
      <c r="S580" s="15">
        <v>0</v>
      </c>
      <c r="T580" s="16">
        <v>0</v>
      </c>
    </row>
    <row r="581" spans="1:20" ht="16">
      <c r="A581" s="80" t="s">
        <v>727</v>
      </c>
      <c r="B581" s="81" t="s">
        <v>67</v>
      </c>
      <c r="C581" s="18"/>
      <c r="D581" s="21">
        <v>0.09</v>
      </c>
      <c r="E581" s="21">
        <v>0.09</v>
      </c>
      <c r="F581" s="21">
        <v>0.09</v>
      </c>
      <c r="G581" s="21">
        <v>33820.509999999995</v>
      </c>
      <c r="H581" s="21">
        <v>4371.7700000000004</v>
      </c>
      <c r="I581" s="21">
        <v>0.09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0</v>
      </c>
      <c r="P581" s="20"/>
      <c r="Q581" s="82">
        <f t="shared" si="11"/>
        <v>1.0340618082826103E-8</v>
      </c>
      <c r="R581" s="14">
        <v>0</v>
      </c>
      <c r="S581" s="15">
        <v>0</v>
      </c>
      <c r="T581" s="16">
        <v>0</v>
      </c>
    </row>
    <row r="582" spans="1:20" ht="16" hidden="1">
      <c r="A582" s="80" t="s">
        <v>780</v>
      </c>
      <c r="B582" s="81" t="s">
        <v>85</v>
      </c>
      <c r="C582" s="18"/>
      <c r="D582" s="21">
        <v>0.09</v>
      </c>
      <c r="E582" s="21">
        <v>0.09</v>
      </c>
      <c r="F582" s="21">
        <v>0.09</v>
      </c>
      <c r="G582" s="21">
        <v>0.09</v>
      </c>
      <c r="H582" s="21">
        <v>0.09</v>
      </c>
      <c r="I582" s="21">
        <v>0.09</v>
      </c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>
        <v>0</v>
      </c>
      <c r="P582" s="20"/>
      <c r="Q582" s="82">
        <f t="shared" si="11"/>
        <v>1.0340618082826103E-8</v>
      </c>
      <c r="R582" s="14">
        <v>0</v>
      </c>
      <c r="S582" s="15">
        <v>0</v>
      </c>
      <c r="T582" s="16">
        <v>0</v>
      </c>
    </row>
    <row r="583" spans="1:20" ht="16" hidden="1">
      <c r="A583" s="80" t="s">
        <v>430</v>
      </c>
      <c r="B583" s="81" t="s">
        <v>78</v>
      </c>
      <c r="C583" s="18"/>
      <c r="D583" s="21">
        <v>90322.67999999992</v>
      </c>
      <c r="E583" s="21">
        <v>2.9999999999998958E-2</v>
      </c>
      <c r="F583" s="21">
        <v>1090.4299999999996</v>
      </c>
      <c r="G583" s="21">
        <v>2.9999999999997466E-2</v>
      </c>
      <c r="H583" s="21">
        <v>2.9999999999998805E-2</v>
      </c>
      <c r="I583" s="21">
        <v>8.9999999999999872E-2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</v>
      </c>
      <c r="P583" s="20"/>
      <c r="Q583" s="82">
        <f t="shared" si="11"/>
        <v>1.0340618082826088E-8</v>
      </c>
      <c r="R583" s="14">
        <v>0</v>
      </c>
      <c r="S583" s="15">
        <v>0</v>
      </c>
      <c r="T583" s="16">
        <v>0</v>
      </c>
    </row>
    <row r="584" spans="1:20" ht="16" hidden="1">
      <c r="A584" s="80" t="s">
        <v>886</v>
      </c>
      <c r="B584" s="81" t="s">
        <v>62</v>
      </c>
      <c r="C584" s="18"/>
      <c r="D584" s="21">
        <v>8.0000000000000168E-2</v>
      </c>
      <c r="E584" s="21">
        <v>8.0000000000000057E-2</v>
      </c>
      <c r="F584" s="21">
        <v>8.0000000000000043E-2</v>
      </c>
      <c r="G584" s="21">
        <v>8.0000000000000168E-2</v>
      </c>
      <c r="H584" s="21">
        <v>8.0000000000000168E-2</v>
      </c>
      <c r="I584" s="21">
        <v>8.0000000000000113E-2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0</v>
      </c>
      <c r="P584" s="20"/>
      <c r="Q584" s="82">
        <f t="shared" si="11"/>
        <v>9.1916605180676593E-9</v>
      </c>
      <c r="R584" s="14">
        <v>0</v>
      </c>
      <c r="S584" s="15">
        <v>0</v>
      </c>
      <c r="T584" s="16">
        <v>0</v>
      </c>
    </row>
    <row r="585" spans="1:20" ht="16" hidden="1">
      <c r="A585" s="80" t="s">
        <v>907</v>
      </c>
      <c r="B585" s="81" t="s">
        <v>78</v>
      </c>
      <c r="C585" s="18"/>
      <c r="D585" s="21">
        <v>8.0000000000000016E-2</v>
      </c>
      <c r="E585" s="21">
        <v>8.0000000000000016E-2</v>
      </c>
      <c r="F585" s="21">
        <v>8.0000000000000016E-2</v>
      </c>
      <c r="G585" s="21">
        <v>8.0000000000000029E-2</v>
      </c>
      <c r="H585" s="21">
        <v>8.0000000000000016E-2</v>
      </c>
      <c r="I585" s="21">
        <v>8.0000000000000016E-2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0</v>
      </c>
      <c r="P585" s="20"/>
      <c r="Q585" s="82">
        <f t="shared" si="11"/>
        <v>9.1916605180676493E-9</v>
      </c>
      <c r="R585" s="14">
        <v>0</v>
      </c>
      <c r="S585" s="15">
        <v>0</v>
      </c>
      <c r="T585" s="16">
        <v>-5.5842151367871811E-7</v>
      </c>
    </row>
    <row r="586" spans="1:20" ht="16" hidden="1">
      <c r="A586" s="80" t="s">
        <v>414</v>
      </c>
      <c r="B586" s="81" t="s">
        <v>78</v>
      </c>
      <c r="C586" s="18"/>
      <c r="D586" s="21">
        <v>7.0000000000000021E-2</v>
      </c>
      <c r="E586" s="21">
        <v>6.9999999999999993E-2</v>
      </c>
      <c r="F586" s="21">
        <v>7.0000000000000021E-2</v>
      </c>
      <c r="G586" s="21">
        <v>7.0000000000000007E-2</v>
      </c>
      <c r="H586" s="21">
        <v>7.0000000000000021E-2</v>
      </c>
      <c r="I586" s="21">
        <v>0.08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>
        <v>0</v>
      </c>
      <c r="P586" s="20"/>
      <c r="Q586" s="82">
        <f t="shared" si="11"/>
        <v>9.1916605180676477E-9</v>
      </c>
      <c r="R586" s="14">
        <v>0</v>
      </c>
      <c r="S586" s="15">
        <v>0</v>
      </c>
      <c r="T586" s="16">
        <v>0</v>
      </c>
    </row>
    <row r="587" spans="1:20" ht="16" hidden="1">
      <c r="A587" s="80" t="s">
        <v>744</v>
      </c>
      <c r="B587" s="81" t="s">
        <v>78</v>
      </c>
      <c r="C587" s="18"/>
      <c r="D587" s="21">
        <v>0.03</v>
      </c>
      <c r="E587" s="21">
        <v>0.04</v>
      </c>
      <c r="F587" s="21">
        <v>0.05</v>
      </c>
      <c r="G587" s="21">
        <v>6.0000000000000005E-2</v>
      </c>
      <c r="H587" s="21">
        <v>7.0000000000000007E-2</v>
      </c>
      <c r="I587" s="21">
        <v>0.08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20"/>
      <c r="Q587" s="82">
        <f t="shared" ref="Q587:Q650" si="12">IFERROR(I587/$I$4," ")</f>
        <v>9.1916605180676477E-9</v>
      </c>
      <c r="R587" s="14">
        <v>0</v>
      </c>
      <c r="S587" s="15">
        <v>0</v>
      </c>
      <c r="T587" s="16">
        <v>1.9639767042033047E-3</v>
      </c>
    </row>
    <row r="588" spans="1:20" ht="16" hidden="1">
      <c r="A588" s="80" t="s">
        <v>996</v>
      </c>
      <c r="B588" s="81" t="s">
        <v>78</v>
      </c>
      <c r="C588" s="18"/>
      <c r="D588" s="21">
        <v>7.0000000000000007E-2</v>
      </c>
      <c r="E588" s="21">
        <v>69143.899999999965</v>
      </c>
      <c r="F588" s="21">
        <v>7.0000000000000007E-2</v>
      </c>
      <c r="G588" s="21">
        <v>7.0000000000000007E-2</v>
      </c>
      <c r="H588" s="21">
        <v>7.0000000000000007E-2</v>
      </c>
      <c r="I588" s="21">
        <v>0.08</v>
      </c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>
        <v>0</v>
      </c>
      <c r="P588" s="20"/>
      <c r="Q588" s="82">
        <f t="shared" si="12"/>
        <v>9.1916605180676477E-9</v>
      </c>
      <c r="R588" s="14">
        <v>187.83000000000004</v>
      </c>
      <c r="S588" s="15">
        <v>0.28571645877700036</v>
      </c>
      <c r="T588" s="16">
        <v>1.3657251620563162E-5</v>
      </c>
    </row>
    <row r="589" spans="1:20" ht="16" hidden="1">
      <c r="A589" s="80" t="s">
        <v>1126</v>
      </c>
      <c r="B589" s="81" t="s">
        <v>85</v>
      </c>
      <c r="C589" s="18"/>
      <c r="D589" s="21">
        <v>0.08</v>
      </c>
      <c r="E589" s="21">
        <v>0.08</v>
      </c>
      <c r="F589" s="21">
        <v>0.08</v>
      </c>
      <c r="G589" s="21">
        <v>0.08</v>
      </c>
      <c r="H589" s="21">
        <v>0.08</v>
      </c>
      <c r="I589" s="21">
        <v>0.08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0</v>
      </c>
      <c r="P589" s="20"/>
      <c r="Q589" s="82">
        <f t="shared" si="12"/>
        <v>9.1916605180676477E-9</v>
      </c>
      <c r="R589" s="14">
        <v>13985</v>
      </c>
      <c r="S589" s="15">
        <v>0.28773351987490742</v>
      </c>
      <c r="T589" s="16">
        <v>1.0113149340172827E-3</v>
      </c>
    </row>
    <row r="590" spans="1:20" ht="16" hidden="1">
      <c r="A590" s="80" t="s">
        <v>990</v>
      </c>
      <c r="B590" s="81" t="s">
        <v>76</v>
      </c>
      <c r="C590" s="18"/>
      <c r="D590" s="21">
        <v>1774.2</v>
      </c>
      <c r="E590" s="21">
        <v>1774.2</v>
      </c>
      <c r="F590" s="21">
        <v>7.0000000000000007E-2</v>
      </c>
      <c r="G590" s="21">
        <v>6.9999999999999979E-2</v>
      </c>
      <c r="H590" s="21">
        <v>7.0000000000000007E-2</v>
      </c>
      <c r="I590" s="21">
        <v>7.0000000000000021E-2</v>
      </c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>
        <v>0</v>
      </c>
      <c r="P590" s="20"/>
      <c r="Q590" s="82">
        <f t="shared" si="12"/>
        <v>8.042702953309194E-9</v>
      </c>
      <c r="R590" s="14">
        <v>0</v>
      </c>
      <c r="S590" s="15">
        <v>0</v>
      </c>
      <c r="T590" s="16">
        <v>0</v>
      </c>
    </row>
    <row r="591" spans="1:20" ht="16">
      <c r="A591" s="80" t="s">
        <v>311</v>
      </c>
      <c r="B591" s="81" t="s">
        <v>67</v>
      </c>
      <c r="C591" s="18"/>
      <c r="D591" s="21">
        <v>7.0000000000000007E-2</v>
      </c>
      <c r="E591" s="21">
        <v>7.0000000000000007E-2</v>
      </c>
      <c r="F591" s="21">
        <v>7.0000000000000007E-2</v>
      </c>
      <c r="G591" s="21">
        <v>7.0000000000000007E-2</v>
      </c>
      <c r="H591" s="21">
        <v>7.0000000000000007E-2</v>
      </c>
      <c r="I591" s="21">
        <v>7.0000000000000007E-2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</v>
      </c>
      <c r="P591" s="20"/>
      <c r="Q591" s="82">
        <f t="shared" si="12"/>
        <v>8.0427029533091923E-9</v>
      </c>
      <c r="R591" s="14">
        <v>0</v>
      </c>
      <c r="S591" s="15">
        <v>0</v>
      </c>
      <c r="T591" s="16">
        <v>0</v>
      </c>
    </row>
    <row r="592" spans="1:20" ht="16" hidden="1">
      <c r="A592" s="80" t="s">
        <v>342</v>
      </c>
      <c r="B592" s="81" t="s">
        <v>78</v>
      </c>
      <c r="C592" s="18"/>
      <c r="D592" s="21">
        <v>0.08</v>
      </c>
      <c r="E592" s="21">
        <v>0.08</v>
      </c>
      <c r="F592" s="21">
        <v>0.08</v>
      </c>
      <c r="G592" s="21">
        <v>0.08</v>
      </c>
      <c r="H592" s="21">
        <v>0.08</v>
      </c>
      <c r="I592" s="21">
        <v>7.0000000000000007E-2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>
        <v>0</v>
      </c>
      <c r="P592" s="20"/>
      <c r="Q592" s="82">
        <f t="shared" si="12"/>
        <v>8.0427029533091923E-9</v>
      </c>
      <c r="R592" s="14">
        <v>33968.370000000024</v>
      </c>
      <c r="S592" s="15">
        <v>0.13808805334674315</v>
      </c>
      <c r="T592" s="16">
        <v>4.5235862186461381E-3</v>
      </c>
    </row>
    <row r="593" spans="1:20" ht="16" hidden="1">
      <c r="A593" s="80" t="s">
        <v>413</v>
      </c>
      <c r="B593" s="81" t="s">
        <v>62</v>
      </c>
      <c r="C593" s="18"/>
      <c r="D593" s="21">
        <v>6.9999999999999993E-2</v>
      </c>
      <c r="E593" s="21">
        <v>7.0000000000000007E-2</v>
      </c>
      <c r="F593" s="21">
        <v>7.0000000000000007E-2</v>
      </c>
      <c r="G593" s="21">
        <v>7.0000000000000007E-2</v>
      </c>
      <c r="H593" s="21">
        <v>7.0000000000000007E-2</v>
      </c>
      <c r="I593" s="21">
        <v>7.0000000000000007E-2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0</v>
      </c>
      <c r="P593" s="20"/>
      <c r="Q593" s="82">
        <f t="shared" si="12"/>
        <v>8.0427029533091923E-9</v>
      </c>
      <c r="R593" s="14">
        <v>0</v>
      </c>
      <c r="S593" s="15">
        <v>0</v>
      </c>
      <c r="T593" s="16">
        <v>5.6391524384801106E-8</v>
      </c>
    </row>
    <row r="594" spans="1:20" ht="16" hidden="1">
      <c r="A594" s="80" t="s">
        <v>756</v>
      </c>
      <c r="B594" s="81" t="s">
        <v>78</v>
      </c>
      <c r="C594" s="18"/>
      <c r="D594" s="21">
        <v>7.0000000000000007E-2</v>
      </c>
      <c r="E594" s="21">
        <v>7.0000000000000007E-2</v>
      </c>
      <c r="F594" s="21">
        <v>7.0000000000000007E-2</v>
      </c>
      <c r="G594" s="21">
        <v>7.0000000000000007E-2</v>
      </c>
      <c r="H594" s="21">
        <v>7.0000000000000007E-2</v>
      </c>
      <c r="I594" s="21">
        <v>7.0000000000000007E-2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</v>
      </c>
      <c r="P594" s="20"/>
      <c r="Q594" s="82">
        <f t="shared" si="12"/>
        <v>8.0427029533091923E-9</v>
      </c>
      <c r="R594" s="14">
        <v>0</v>
      </c>
      <c r="S594" s="15">
        <v>0</v>
      </c>
      <c r="T594" s="16">
        <v>-1.0987460338585887E-8</v>
      </c>
    </row>
    <row r="595" spans="1:20" ht="16" hidden="1">
      <c r="A595" s="80" t="s">
        <v>1175</v>
      </c>
      <c r="B595" s="81" t="s">
        <v>83</v>
      </c>
      <c r="C595" s="18"/>
      <c r="D595" s="21">
        <v>6.1396999999999986E-2</v>
      </c>
      <c r="E595" s="21">
        <v>6.1396999999999986E-2</v>
      </c>
      <c r="F595" s="21">
        <v>6.1396999999999986E-2</v>
      </c>
      <c r="G595" s="21">
        <v>6.1396999999999986E-2</v>
      </c>
      <c r="H595" s="21">
        <v>6.1396999999999986E-2</v>
      </c>
      <c r="I595" s="21">
        <v>6.1397000000000063E-2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0</v>
      </c>
      <c r="P595" s="18"/>
      <c r="Q595" s="82">
        <f t="shared" si="12"/>
        <v>7.0542547603474984E-9</v>
      </c>
      <c r="R595" s="14">
        <v>0</v>
      </c>
      <c r="S595" s="15">
        <v>0</v>
      </c>
      <c r="T595" s="16">
        <v>-9.6948179458110771E-8</v>
      </c>
    </row>
    <row r="596" spans="1:20" ht="16" hidden="1">
      <c r="A596" s="80" t="s">
        <v>837</v>
      </c>
      <c r="B596" s="81" t="s">
        <v>85</v>
      </c>
      <c r="C596" s="18"/>
      <c r="D596" s="21">
        <v>6.0000000000000053E-2</v>
      </c>
      <c r="E596" s="21">
        <v>6.0000000000000032E-2</v>
      </c>
      <c r="F596" s="21">
        <v>6.0000000000000046E-2</v>
      </c>
      <c r="G596" s="21">
        <v>6.0000000000000046E-2</v>
      </c>
      <c r="H596" s="21">
        <v>6.0000000000000039E-2</v>
      </c>
      <c r="I596" s="21">
        <v>6.0000000000000053E-2</v>
      </c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>
        <v>0</v>
      </c>
      <c r="P596" s="18"/>
      <c r="Q596" s="82">
        <f t="shared" si="12"/>
        <v>6.8937453885507411E-9</v>
      </c>
      <c r="R596" s="14">
        <v>0</v>
      </c>
      <c r="S596" s="15">
        <v>0</v>
      </c>
      <c r="T596" s="16">
        <v>-1.6158029909685129E-10</v>
      </c>
    </row>
    <row r="597" spans="1:20" ht="16" hidden="1">
      <c r="A597" s="80" t="s">
        <v>846</v>
      </c>
      <c r="B597" s="81" t="s">
        <v>76</v>
      </c>
      <c r="C597" s="18"/>
      <c r="D597" s="21">
        <v>31292.85</v>
      </c>
      <c r="E597" s="21">
        <v>4.0000000000000036E-2</v>
      </c>
      <c r="F597" s="21">
        <v>4.0000000000000036E-2</v>
      </c>
      <c r="G597" s="21">
        <v>5.0000000000000044E-2</v>
      </c>
      <c r="H597" s="21">
        <v>5.0000000000000044E-2</v>
      </c>
      <c r="I597" s="21">
        <v>6.0000000000000032E-2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0</v>
      </c>
      <c r="P597" s="18"/>
      <c r="Q597" s="82">
        <f t="shared" si="12"/>
        <v>6.8937453885507387E-9</v>
      </c>
      <c r="R597" s="14">
        <v>0</v>
      </c>
      <c r="S597" s="15">
        <v>0</v>
      </c>
      <c r="T597" s="16">
        <v>0</v>
      </c>
    </row>
    <row r="598" spans="1:20" ht="16" hidden="1">
      <c r="A598" s="80" t="s">
        <v>216</v>
      </c>
      <c r="B598" s="81" t="s">
        <v>66</v>
      </c>
      <c r="C598" s="18"/>
      <c r="D598" s="21">
        <v>6.0000000000000012E-2</v>
      </c>
      <c r="E598" s="21">
        <v>6.0000000000000012E-2</v>
      </c>
      <c r="F598" s="21">
        <v>6.0000000000000012E-2</v>
      </c>
      <c r="G598" s="21">
        <v>6.0000000000000012E-2</v>
      </c>
      <c r="H598" s="21">
        <v>6.0000000000000012E-2</v>
      </c>
      <c r="I598" s="21">
        <v>6.0000000000000012E-2</v>
      </c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>
        <v>0</v>
      </c>
      <c r="P598" s="18"/>
      <c r="Q598" s="82">
        <f t="shared" si="12"/>
        <v>6.8937453885507362E-9</v>
      </c>
      <c r="R598" s="14">
        <v>-11654.980000000003</v>
      </c>
      <c r="S598" s="15">
        <v>-0.2159121707426373</v>
      </c>
      <c r="T598" s="16">
        <v>6.8389200911370411E-4</v>
      </c>
    </row>
    <row r="599" spans="1:20" ht="16" hidden="1">
      <c r="A599" s="80" t="s">
        <v>501</v>
      </c>
      <c r="B599" s="81" t="s">
        <v>76</v>
      </c>
      <c r="C599" s="18"/>
      <c r="D599" s="21">
        <v>25506.36</v>
      </c>
      <c r="E599" s="21">
        <v>6.0000000000000005E-2</v>
      </c>
      <c r="F599" s="21">
        <v>6.0000000000000005E-2</v>
      </c>
      <c r="G599" s="21">
        <v>6.0000000000000005E-2</v>
      </c>
      <c r="H599" s="21">
        <v>6.0000000000000005E-2</v>
      </c>
      <c r="I599" s="21">
        <v>6.0000000000000005E-2</v>
      </c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>
        <v>0</v>
      </c>
      <c r="P599" s="18"/>
      <c r="Q599" s="82">
        <f t="shared" si="12"/>
        <v>6.8937453885507362E-9</v>
      </c>
      <c r="R599" s="14">
        <v>0</v>
      </c>
      <c r="S599" s="15">
        <v>0</v>
      </c>
      <c r="T599" s="16">
        <v>3.3266261852663132E-3</v>
      </c>
    </row>
    <row r="600" spans="1:20" ht="16" hidden="1">
      <c r="A600" s="80" t="s">
        <v>683</v>
      </c>
      <c r="B600" s="81" t="s">
        <v>66</v>
      </c>
      <c r="C600" s="18"/>
      <c r="D600" s="21">
        <v>0.05</v>
      </c>
      <c r="E600" s="21">
        <v>0.05</v>
      </c>
      <c r="F600" s="21">
        <v>0.05</v>
      </c>
      <c r="G600" s="21">
        <v>0.05</v>
      </c>
      <c r="H600" s="21">
        <v>0.05</v>
      </c>
      <c r="I600" s="21">
        <v>6.0000000000000005E-2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0</v>
      </c>
      <c r="P600" s="18"/>
      <c r="Q600" s="82">
        <f t="shared" si="12"/>
        <v>6.8937453885507362E-9</v>
      </c>
      <c r="R600" s="14">
        <v>-1.0000000000000009E-2</v>
      </c>
      <c r="S600" s="15">
        <v>-1.6463154636765204E-2</v>
      </c>
      <c r="T600" s="16">
        <v>9.6530817545543614E-9</v>
      </c>
    </row>
    <row r="601" spans="1:20" ht="16" hidden="1">
      <c r="A601" s="80" t="s">
        <v>750</v>
      </c>
      <c r="B601" s="81" t="s">
        <v>85</v>
      </c>
      <c r="C601" s="18"/>
      <c r="D601" s="21">
        <v>13.94</v>
      </c>
      <c r="E601" s="21">
        <v>6.0000000000000005E-2</v>
      </c>
      <c r="F601" s="21">
        <v>6.0000000000000005E-2</v>
      </c>
      <c r="G601" s="21">
        <v>6.0000000000000005E-2</v>
      </c>
      <c r="H601" s="21">
        <v>6.0000000000000005E-2</v>
      </c>
      <c r="I601" s="21">
        <v>6.0000000000000005E-2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0</v>
      </c>
      <c r="P601" s="18"/>
      <c r="Q601" s="82">
        <f t="shared" si="12"/>
        <v>6.8937453885507362E-9</v>
      </c>
      <c r="R601" s="14">
        <v>0</v>
      </c>
      <c r="S601" s="15">
        <v>0</v>
      </c>
      <c r="T601" s="16">
        <v>0</v>
      </c>
    </row>
    <row r="602" spans="1:20" ht="16">
      <c r="A602" s="80" t="s">
        <v>839</v>
      </c>
      <c r="B602" s="81" t="s">
        <v>67</v>
      </c>
      <c r="C602" s="18"/>
      <c r="D602" s="21">
        <v>0.01</v>
      </c>
      <c r="E602" s="21">
        <v>0.02</v>
      </c>
      <c r="F602" s="21">
        <v>0.03</v>
      </c>
      <c r="G602" s="21">
        <v>0.04</v>
      </c>
      <c r="H602" s="21">
        <v>0.05</v>
      </c>
      <c r="I602" s="21">
        <v>6.0000000000000005E-2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0</v>
      </c>
      <c r="P602" s="18"/>
      <c r="Q602" s="82">
        <f t="shared" si="12"/>
        <v>6.8937453885507362E-9</v>
      </c>
      <c r="R602" s="14">
        <v>0</v>
      </c>
      <c r="S602" s="15">
        <v>0</v>
      </c>
      <c r="T602" s="16">
        <v>0</v>
      </c>
    </row>
    <row r="603" spans="1:20" ht="16" hidden="1">
      <c r="A603" s="80" t="s">
        <v>144</v>
      </c>
      <c r="B603" s="81" t="s">
        <v>145</v>
      </c>
      <c r="C603" s="18"/>
      <c r="D603" s="21">
        <v>0.06</v>
      </c>
      <c r="E603" s="21">
        <v>6.0000000000000005E-2</v>
      </c>
      <c r="F603" s="21">
        <v>6.0000000000000005E-2</v>
      </c>
      <c r="G603" s="21">
        <v>6.0000000000000005E-2</v>
      </c>
      <c r="H603" s="21">
        <v>0.06</v>
      </c>
      <c r="I603" s="21">
        <v>0.06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0</v>
      </c>
      <c r="P603" s="18"/>
      <c r="Q603" s="82">
        <f t="shared" si="12"/>
        <v>6.8937453885507354E-9</v>
      </c>
      <c r="R603" s="14">
        <v>0</v>
      </c>
      <c r="S603" s="15">
        <v>0</v>
      </c>
      <c r="T603" s="16">
        <v>0</v>
      </c>
    </row>
    <row r="604" spans="1:20" ht="16" hidden="1">
      <c r="A604" s="80" t="s">
        <v>217</v>
      </c>
      <c r="B604" s="81" t="s">
        <v>76</v>
      </c>
      <c r="C604" s="18"/>
      <c r="D604" s="21">
        <v>5.0000000000000017E-2</v>
      </c>
      <c r="E604" s="21">
        <v>5.0000000000000031E-2</v>
      </c>
      <c r="F604" s="21">
        <v>5.0000000000000031E-2</v>
      </c>
      <c r="G604" s="21">
        <v>5.0000000000000031E-2</v>
      </c>
      <c r="H604" s="21">
        <v>5.0000000000000024E-2</v>
      </c>
      <c r="I604" s="21">
        <v>5.0000000000000058E-2</v>
      </c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>
        <v>0</v>
      </c>
      <c r="P604" s="18"/>
      <c r="Q604" s="82">
        <f t="shared" si="12"/>
        <v>5.7447878237922858E-9</v>
      </c>
      <c r="R604" s="14">
        <v>0</v>
      </c>
      <c r="S604" s="15">
        <v>0</v>
      </c>
      <c r="T604" s="16">
        <v>0</v>
      </c>
    </row>
    <row r="605" spans="1:20" ht="16" hidden="1">
      <c r="A605" s="80" t="s">
        <v>369</v>
      </c>
      <c r="B605" s="81" t="s">
        <v>76</v>
      </c>
      <c r="C605" s="18"/>
      <c r="D605" s="21">
        <v>220.04</v>
      </c>
      <c r="E605" s="21">
        <v>460.04</v>
      </c>
      <c r="F605" s="21">
        <v>4.0000000000000042E-2</v>
      </c>
      <c r="G605" s="21">
        <v>4.0000000000000036E-2</v>
      </c>
      <c r="H605" s="21">
        <v>4.0000000000000042E-2</v>
      </c>
      <c r="I605" s="21">
        <v>5.0000000000000044E-2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0</v>
      </c>
      <c r="P605" s="18"/>
      <c r="Q605" s="82">
        <f t="shared" si="12"/>
        <v>5.7447878237922841E-9</v>
      </c>
      <c r="R605" s="14">
        <v>0</v>
      </c>
      <c r="S605" s="15">
        <v>0</v>
      </c>
      <c r="T605" s="16">
        <v>0</v>
      </c>
    </row>
    <row r="606" spans="1:20" ht="16">
      <c r="A606" s="80" t="s">
        <v>143</v>
      </c>
      <c r="B606" s="81" t="s">
        <v>67</v>
      </c>
      <c r="C606" s="18"/>
      <c r="D606" s="21">
        <v>0.05</v>
      </c>
      <c r="E606" s="21">
        <v>0.05</v>
      </c>
      <c r="F606" s="21">
        <v>0.05</v>
      </c>
      <c r="G606" s="21">
        <v>0.05</v>
      </c>
      <c r="H606" s="21">
        <v>0.05</v>
      </c>
      <c r="I606" s="21">
        <v>0.05</v>
      </c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>
        <v>0</v>
      </c>
      <c r="P606" s="18"/>
      <c r="Q606" s="82">
        <f t="shared" si="12"/>
        <v>5.74478782379228E-9</v>
      </c>
      <c r="R606" s="14">
        <v>0</v>
      </c>
      <c r="S606" s="15">
        <v>0</v>
      </c>
      <c r="T606" s="16">
        <v>0</v>
      </c>
    </row>
    <row r="607" spans="1:20" ht="16" hidden="1">
      <c r="A607" s="80" t="s">
        <v>909</v>
      </c>
      <c r="B607" s="81" t="s">
        <v>85</v>
      </c>
      <c r="C607" s="18"/>
      <c r="D607" s="21">
        <v>0.05</v>
      </c>
      <c r="E607" s="21">
        <v>0.05</v>
      </c>
      <c r="F607" s="21">
        <v>1473.98</v>
      </c>
      <c r="G607" s="21">
        <v>1473.98</v>
      </c>
      <c r="H607" s="21">
        <v>0.05</v>
      </c>
      <c r="I607" s="21">
        <v>0.05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18"/>
      <c r="Q607" s="82">
        <f t="shared" si="12"/>
        <v>5.74478782379228E-9</v>
      </c>
      <c r="R607" s="14">
        <v>0</v>
      </c>
      <c r="S607" s="15">
        <v>0</v>
      </c>
      <c r="T607" s="16">
        <v>0</v>
      </c>
    </row>
    <row r="608" spans="1:20" ht="16" hidden="1">
      <c r="A608" s="80" t="s">
        <v>369</v>
      </c>
      <c r="B608" s="81" t="s">
        <v>66</v>
      </c>
      <c r="C608" s="18"/>
      <c r="D608" s="21">
        <v>1.999999999999999E-2</v>
      </c>
      <c r="E608" s="21">
        <v>1.999999999999999E-2</v>
      </c>
      <c r="F608" s="21">
        <v>2.9999999999999992E-2</v>
      </c>
      <c r="G608" s="21">
        <v>2.9999999999999992E-2</v>
      </c>
      <c r="H608" s="21">
        <v>3.9999999999999994E-2</v>
      </c>
      <c r="I608" s="21">
        <v>4.9999999999999996E-2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0</v>
      </c>
      <c r="P608" s="18"/>
      <c r="Q608" s="82">
        <f t="shared" si="12"/>
        <v>5.7447878237922792E-9</v>
      </c>
      <c r="R608" s="14">
        <v>0</v>
      </c>
      <c r="S608" s="15">
        <v>0</v>
      </c>
      <c r="T608" s="16">
        <v>0</v>
      </c>
    </row>
    <row r="609" spans="1:20" ht="16" hidden="1">
      <c r="A609" s="80" t="s">
        <v>571</v>
      </c>
      <c r="B609" s="81" t="s">
        <v>162</v>
      </c>
      <c r="C609" s="18"/>
      <c r="D609" s="21">
        <v>0.05</v>
      </c>
      <c r="E609" s="21">
        <v>0.05</v>
      </c>
      <c r="F609" s="21">
        <v>0.05</v>
      </c>
      <c r="G609" s="21">
        <v>0.05</v>
      </c>
      <c r="H609" s="21">
        <v>0.05</v>
      </c>
      <c r="I609" s="21">
        <v>4.9999999999999989E-2</v>
      </c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>
        <v>0</v>
      </c>
      <c r="P609" s="18"/>
      <c r="Q609" s="82">
        <f t="shared" si="12"/>
        <v>5.7447878237922784E-9</v>
      </c>
      <c r="R609" s="14">
        <v>0</v>
      </c>
      <c r="S609" s="15">
        <v>0</v>
      </c>
      <c r="T609" s="16">
        <v>0</v>
      </c>
    </row>
    <row r="610" spans="1:20" ht="16">
      <c r="A610" s="80" t="s">
        <v>369</v>
      </c>
      <c r="B610" s="81" t="s">
        <v>67</v>
      </c>
      <c r="C610" s="18"/>
      <c r="D610" s="21">
        <v>5873.89</v>
      </c>
      <c r="E610" s="21">
        <v>5.000000000000001E-2</v>
      </c>
      <c r="F610" s="21">
        <v>4.9999999999999996E-2</v>
      </c>
      <c r="G610" s="21">
        <v>4.9999999999999989E-2</v>
      </c>
      <c r="H610" s="21">
        <v>4.9999999999999989E-2</v>
      </c>
      <c r="I610" s="21">
        <v>4.9999999999999961E-2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18"/>
      <c r="Q610" s="82">
        <f t="shared" si="12"/>
        <v>5.7447878237922751E-9</v>
      </c>
      <c r="R610" s="14">
        <v>0</v>
      </c>
      <c r="S610" s="15">
        <v>0</v>
      </c>
      <c r="T610" s="16">
        <v>0</v>
      </c>
    </row>
    <row r="611" spans="1:20" ht="16" hidden="1">
      <c r="A611" s="80" t="s">
        <v>353</v>
      </c>
      <c r="B611" s="81" t="s">
        <v>78</v>
      </c>
      <c r="C611" s="18"/>
      <c r="D611" s="21">
        <v>0</v>
      </c>
      <c r="E611" s="21">
        <v>2.0000000000000018E-2</v>
      </c>
      <c r="F611" s="21">
        <v>3.9999999999999813E-2</v>
      </c>
      <c r="G611" s="21">
        <v>5.0000000000000044E-2</v>
      </c>
      <c r="H611" s="21">
        <v>5.0000000000000044E-2</v>
      </c>
      <c r="I611" s="21">
        <v>4.0000000000000036E-2</v>
      </c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>
        <v>0</v>
      </c>
      <c r="P611" s="18"/>
      <c r="Q611" s="82">
        <f t="shared" si="12"/>
        <v>4.595830259033828E-9</v>
      </c>
      <c r="R611" s="14">
        <v>0</v>
      </c>
      <c r="S611" s="15">
        <v>0</v>
      </c>
      <c r="T611" s="16">
        <v>0</v>
      </c>
    </row>
    <row r="612" spans="1:20" ht="16" hidden="1">
      <c r="A612" s="80" t="s">
        <v>1235</v>
      </c>
      <c r="B612" s="81" t="s">
        <v>66</v>
      </c>
      <c r="C612" s="18"/>
      <c r="D612" s="21">
        <v>3.0000000000000006E-2</v>
      </c>
      <c r="E612" s="21">
        <v>4.0000000000000008E-2</v>
      </c>
      <c r="F612" s="21">
        <v>4.0000000000000008E-2</v>
      </c>
      <c r="G612" s="21">
        <v>4.0000000000000008E-2</v>
      </c>
      <c r="H612" s="21">
        <v>4.0000000000000008E-2</v>
      </c>
      <c r="I612" s="21">
        <v>4.0000000000000008E-2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0</v>
      </c>
      <c r="P612" s="18"/>
      <c r="Q612" s="82">
        <f t="shared" si="12"/>
        <v>4.5958302590338247E-9</v>
      </c>
      <c r="R612" s="14">
        <v>0</v>
      </c>
      <c r="S612" s="15">
        <v>0</v>
      </c>
      <c r="T612" s="16">
        <v>4.8474089729055388E-10</v>
      </c>
    </row>
    <row r="613" spans="1:20" ht="16" hidden="1">
      <c r="A613" s="80" t="s">
        <v>225</v>
      </c>
      <c r="B613" s="81" t="s">
        <v>66</v>
      </c>
      <c r="C613" s="18"/>
      <c r="D613" s="21">
        <v>0.04</v>
      </c>
      <c r="E613" s="21">
        <v>0.04</v>
      </c>
      <c r="F613" s="21">
        <v>0.04</v>
      </c>
      <c r="G613" s="21">
        <v>0.04</v>
      </c>
      <c r="H613" s="21">
        <v>0.04</v>
      </c>
      <c r="I613" s="21">
        <v>0.04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0</v>
      </c>
      <c r="P613" s="18"/>
      <c r="Q613" s="82">
        <f t="shared" si="12"/>
        <v>4.5958302590338238E-9</v>
      </c>
      <c r="R613" s="14">
        <v>0</v>
      </c>
      <c r="S613" s="15">
        <v>0</v>
      </c>
      <c r="T613" s="16">
        <v>0</v>
      </c>
    </row>
    <row r="614" spans="1:20" ht="16" hidden="1">
      <c r="A614" s="80" t="s">
        <v>311</v>
      </c>
      <c r="B614" s="81" t="s">
        <v>62</v>
      </c>
      <c r="C614" s="18"/>
      <c r="D614" s="21">
        <v>0.04</v>
      </c>
      <c r="E614" s="21">
        <v>3.9999999999999994E-2</v>
      </c>
      <c r="F614" s="21">
        <v>0.04</v>
      </c>
      <c r="G614" s="21">
        <v>0.04</v>
      </c>
      <c r="H614" s="21">
        <v>0.04</v>
      </c>
      <c r="I614" s="21">
        <v>0.04</v>
      </c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>
        <v>0</v>
      </c>
      <c r="P614" s="18"/>
      <c r="Q614" s="82">
        <f t="shared" si="12"/>
        <v>4.5958302590338238E-9</v>
      </c>
      <c r="R614" s="14">
        <v>0</v>
      </c>
      <c r="S614" s="15">
        <v>0</v>
      </c>
      <c r="T614" s="16">
        <v>2.9084453837433243E-9</v>
      </c>
    </row>
    <row r="615" spans="1:20" ht="16" hidden="1">
      <c r="A615" s="80" t="s">
        <v>401</v>
      </c>
      <c r="B615" s="81" t="s">
        <v>62</v>
      </c>
      <c r="C615" s="18"/>
      <c r="D615" s="21">
        <v>0.04</v>
      </c>
      <c r="E615" s="21">
        <v>0.04</v>
      </c>
      <c r="F615" s="21">
        <v>0.04</v>
      </c>
      <c r="G615" s="21">
        <v>0.04</v>
      </c>
      <c r="H615" s="21">
        <v>0.04</v>
      </c>
      <c r="I615" s="21">
        <v>0.04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</v>
      </c>
      <c r="P615" s="18"/>
      <c r="Q615" s="82">
        <f t="shared" si="12"/>
        <v>4.5958302590338238E-9</v>
      </c>
      <c r="R615" s="14">
        <v>-2.0000000018626451E-2</v>
      </c>
      <c r="S615" s="15">
        <v>-3.6127801335941873E-8</v>
      </c>
      <c r="T615" s="16">
        <v>8.9449281403706678E-3</v>
      </c>
    </row>
    <row r="616" spans="1:20" ht="16">
      <c r="A616" s="80" t="s">
        <v>408</v>
      </c>
      <c r="B616" s="81" t="s">
        <v>67</v>
      </c>
      <c r="C616" s="18"/>
      <c r="D616" s="21">
        <v>0.04</v>
      </c>
      <c r="E616" s="21">
        <v>0.04</v>
      </c>
      <c r="F616" s="21">
        <v>0.04</v>
      </c>
      <c r="G616" s="21">
        <v>0.04</v>
      </c>
      <c r="H616" s="21">
        <v>0.04</v>
      </c>
      <c r="I616" s="21">
        <v>0.04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0</v>
      </c>
      <c r="P616" s="18"/>
      <c r="Q616" s="82">
        <f t="shared" si="12"/>
        <v>4.5958302590338238E-9</v>
      </c>
      <c r="R616" s="14">
        <v>0</v>
      </c>
      <c r="S616" s="15">
        <v>0</v>
      </c>
      <c r="T616" s="16">
        <v>8.6539544993373546E-3</v>
      </c>
    </row>
    <row r="617" spans="1:20" ht="16" hidden="1">
      <c r="A617" s="80" t="s">
        <v>509</v>
      </c>
      <c r="B617" s="81" t="s">
        <v>78</v>
      </c>
      <c r="C617" s="18"/>
      <c r="D617" s="21">
        <v>0.04</v>
      </c>
      <c r="E617" s="21">
        <v>0.04</v>
      </c>
      <c r="F617" s="21">
        <v>0.04</v>
      </c>
      <c r="G617" s="21">
        <v>0.04</v>
      </c>
      <c r="H617" s="21">
        <v>0.04</v>
      </c>
      <c r="I617" s="21">
        <v>0.04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0</v>
      </c>
      <c r="P617" s="18"/>
      <c r="Q617" s="82">
        <f t="shared" si="12"/>
        <v>4.5958302590338238E-9</v>
      </c>
      <c r="R617" s="14">
        <v>23087.999999999953</v>
      </c>
      <c r="S617" s="15">
        <v>0.74000142307965777</v>
      </c>
      <c r="T617" s="16">
        <v>8.7718615825519135E-4</v>
      </c>
    </row>
    <row r="618" spans="1:20" ht="16" hidden="1">
      <c r="A618" s="80" t="s">
        <v>739</v>
      </c>
      <c r="B618" s="81" t="s">
        <v>78</v>
      </c>
      <c r="C618" s="18"/>
      <c r="D618" s="21">
        <v>0.04</v>
      </c>
      <c r="E618" s="21">
        <v>0.04</v>
      </c>
      <c r="F618" s="21">
        <v>0.04</v>
      </c>
      <c r="G618" s="21">
        <v>0.04</v>
      </c>
      <c r="H618" s="21">
        <v>0.04</v>
      </c>
      <c r="I618" s="21">
        <v>0.04</v>
      </c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>
        <v>0</v>
      </c>
      <c r="P618" s="18"/>
      <c r="Q618" s="82">
        <f t="shared" si="12"/>
        <v>4.5958302590338238E-9</v>
      </c>
      <c r="R618" s="14">
        <v>-1886.2299999999814</v>
      </c>
      <c r="S618" s="15">
        <v>-5.8161470596578219E-3</v>
      </c>
      <c r="T618" s="16">
        <v>5.2097199928295137E-3</v>
      </c>
    </row>
    <row r="619" spans="1:20" ht="16" hidden="1">
      <c r="A619" s="80" t="s">
        <v>745</v>
      </c>
      <c r="B619" s="81" t="s">
        <v>62</v>
      </c>
      <c r="C619" s="18"/>
      <c r="D619" s="21">
        <v>0.04</v>
      </c>
      <c r="E619" s="21">
        <v>0.04</v>
      </c>
      <c r="F619" s="21">
        <v>0.04</v>
      </c>
      <c r="G619" s="21">
        <v>0.04</v>
      </c>
      <c r="H619" s="21">
        <v>0.04</v>
      </c>
      <c r="I619" s="21">
        <v>0.04</v>
      </c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>
        <v>0</v>
      </c>
      <c r="P619" s="18"/>
      <c r="Q619" s="82">
        <f t="shared" si="12"/>
        <v>4.5958302590338238E-9</v>
      </c>
      <c r="R619" s="14">
        <v>505.73999999999978</v>
      </c>
      <c r="S619" s="15">
        <v>8.2944774006898078E-2</v>
      </c>
      <c r="T619" s="16">
        <v>1.066922793951464E-4</v>
      </c>
    </row>
    <row r="620" spans="1:20" ht="16" hidden="1">
      <c r="A620" s="80" t="s">
        <v>934</v>
      </c>
      <c r="B620" s="81" t="s">
        <v>78</v>
      </c>
      <c r="C620" s="18"/>
      <c r="D620" s="21">
        <v>0.04</v>
      </c>
      <c r="E620" s="21">
        <v>0.04</v>
      </c>
      <c r="F620" s="21">
        <v>0.04</v>
      </c>
      <c r="G620" s="21">
        <v>0.04</v>
      </c>
      <c r="H620" s="21">
        <v>0.04</v>
      </c>
      <c r="I620" s="21">
        <v>0.04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18"/>
      <c r="Q620" s="82">
        <f t="shared" si="12"/>
        <v>4.5958302590338238E-9</v>
      </c>
      <c r="R620" s="14">
        <v>0</v>
      </c>
      <c r="S620" s="15">
        <v>0</v>
      </c>
      <c r="T620" s="16">
        <v>-4.8474089729055377E-10</v>
      </c>
    </row>
    <row r="621" spans="1:20" ht="16" hidden="1">
      <c r="A621" s="80" t="s">
        <v>973</v>
      </c>
      <c r="B621" s="81" t="s">
        <v>62</v>
      </c>
      <c r="C621" s="18"/>
      <c r="D621" s="21">
        <v>0.04</v>
      </c>
      <c r="E621" s="21">
        <v>0.04</v>
      </c>
      <c r="F621" s="21">
        <v>0.04</v>
      </c>
      <c r="G621" s="21">
        <v>0.04</v>
      </c>
      <c r="H621" s="21">
        <v>0.04</v>
      </c>
      <c r="I621" s="21">
        <v>0.04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0</v>
      </c>
      <c r="P621" s="18"/>
      <c r="Q621" s="82">
        <f t="shared" si="12"/>
        <v>4.5958302590338238E-9</v>
      </c>
      <c r="R621" s="14">
        <v>0</v>
      </c>
      <c r="S621" s="15">
        <v>0</v>
      </c>
      <c r="T621" s="16">
        <v>0</v>
      </c>
    </row>
    <row r="622" spans="1:20" ht="16" hidden="1">
      <c r="A622" s="80" t="s">
        <v>72</v>
      </c>
      <c r="B622" s="81" t="s">
        <v>66</v>
      </c>
      <c r="C622" s="18"/>
      <c r="D622" s="21">
        <v>290483.22999999986</v>
      </c>
      <c r="E622" s="21">
        <v>494999.83999999985</v>
      </c>
      <c r="F622" s="21">
        <v>494999.83999999985</v>
      </c>
      <c r="G622" s="21">
        <v>376284.07999999984</v>
      </c>
      <c r="H622" s="21">
        <v>3.9999999999999987E-2</v>
      </c>
      <c r="I622" s="21">
        <v>3.9999999999999987E-2</v>
      </c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>
        <v>0</v>
      </c>
      <c r="P622" s="18"/>
      <c r="Q622" s="82">
        <f t="shared" si="12"/>
        <v>4.5958302590338222E-9</v>
      </c>
      <c r="R622" s="14">
        <v>9720</v>
      </c>
      <c r="S622" s="15">
        <v>0.33333333333333331</v>
      </c>
      <c r="T622" s="16">
        <v>6.2822420288855788E-4</v>
      </c>
    </row>
    <row r="623" spans="1:20" ht="16" hidden="1">
      <c r="A623" s="80" t="s">
        <v>934</v>
      </c>
      <c r="B623" s="81" t="s">
        <v>85</v>
      </c>
      <c r="C623" s="18"/>
      <c r="D623" s="21">
        <v>3.0000000000000006E-2</v>
      </c>
      <c r="E623" s="21">
        <v>3.0000000000000006E-2</v>
      </c>
      <c r="F623" s="21">
        <v>3.0000000000000006E-2</v>
      </c>
      <c r="G623" s="21">
        <v>3.0000000000000006E-2</v>
      </c>
      <c r="H623" s="21">
        <v>3.0000000000000006E-2</v>
      </c>
      <c r="I623" s="21">
        <v>3.0000000000000006E-2</v>
      </c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>
        <v>0</v>
      </c>
      <c r="P623" s="18"/>
      <c r="Q623" s="82">
        <f t="shared" si="12"/>
        <v>3.4468726942753681E-9</v>
      </c>
      <c r="R623" s="14">
        <v>0</v>
      </c>
      <c r="S623" s="15">
        <v>0</v>
      </c>
      <c r="T623" s="16">
        <v>1.266385594171572E-3</v>
      </c>
    </row>
    <row r="624" spans="1:20" ht="16" hidden="1">
      <c r="A624" s="80" t="s">
        <v>1106</v>
      </c>
      <c r="B624" s="81" t="s">
        <v>89</v>
      </c>
      <c r="C624" s="18"/>
      <c r="D624" s="21">
        <v>2.9999999999999992E-2</v>
      </c>
      <c r="E624" s="21">
        <v>3.0000000000000006E-2</v>
      </c>
      <c r="F624" s="21">
        <v>0.03</v>
      </c>
      <c r="G624" s="21">
        <v>0.03</v>
      </c>
      <c r="H624" s="21">
        <v>3.0000000000000006E-2</v>
      </c>
      <c r="I624" s="21">
        <v>3.0000000000000006E-2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0</v>
      </c>
      <c r="P624" s="18"/>
      <c r="Q624" s="82">
        <f t="shared" si="12"/>
        <v>3.4468726942753681E-9</v>
      </c>
      <c r="R624" s="14">
        <v>0</v>
      </c>
      <c r="S624" s="15">
        <v>0</v>
      </c>
      <c r="T624" s="16">
        <v>1.8849957692638672E-5</v>
      </c>
    </row>
    <row r="625" spans="1:20" ht="16" hidden="1">
      <c r="A625" s="80" t="s">
        <v>1094</v>
      </c>
      <c r="B625" s="81" t="s">
        <v>76</v>
      </c>
      <c r="C625" s="18"/>
      <c r="D625" s="21">
        <v>3.9999999999999994E-2</v>
      </c>
      <c r="E625" s="21">
        <v>0.04</v>
      </c>
      <c r="F625" s="21">
        <v>0.04</v>
      </c>
      <c r="G625" s="21">
        <v>0.04</v>
      </c>
      <c r="H625" s="21">
        <v>0.04</v>
      </c>
      <c r="I625" s="21">
        <v>3.0000000000000002E-2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0</v>
      </c>
      <c r="P625" s="18"/>
      <c r="Q625" s="82">
        <f t="shared" si="12"/>
        <v>3.4468726942753681E-9</v>
      </c>
      <c r="R625" s="14">
        <v>0</v>
      </c>
      <c r="S625" s="15">
        <v>0</v>
      </c>
      <c r="T625" s="16">
        <v>-2.2621241873559183E-9</v>
      </c>
    </row>
    <row r="626" spans="1:20" ht="16" hidden="1">
      <c r="A626" s="80" t="s">
        <v>91</v>
      </c>
      <c r="B626" s="81" t="s">
        <v>78</v>
      </c>
      <c r="C626" s="18"/>
      <c r="D626" s="21">
        <v>0.03</v>
      </c>
      <c r="E626" s="21">
        <v>0.03</v>
      </c>
      <c r="F626" s="21">
        <v>0.03</v>
      </c>
      <c r="G626" s="21">
        <v>0.03</v>
      </c>
      <c r="H626" s="21">
        <v>0.03</v>
      </c>
      <c r="I626" s="21">
        <v>0.03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0</v>
      </c>
      <c r="P626" s="18"/>
      <c r="Q626" s="82">
        <f t="shared" si="12"/>
        <v>3.4468726942753677E-9</v>
      </c>
      <c r="R626" s="14">
        <v>74017.919999999998</v>
      </c>
      <c r="S626" s="15">
        <v>6.45482974711914</v>
      </c>
      <c r="T626" s="16">
        <v>1.3812688636688352E-3</v>
      </c>
    </row>
    <row r="627" spans="1:20" ht="16" hidden="1">
      <c r="A627" s="80" t="s">
        <v>539</v>
      </c>
      <c r="B627" s="81" t="s">
        <v>85</v>
      </c>
      <c r="C627" s="18"/>
      <c r="D627" s="21">
        <v>0.03</v>
      </c>
      <c r="E627" s="21">
        <v>0.03</v>
      </c>
      <c r="F627" s="21">
        <v>0.03</v>
      </c>
      <c r="G627" s="21">
        <v>0.03</v>
      </c>
      <c r="H627" s="21">
        <v>0.03</v>
      </c>
      <c r="I627" s="21">
        <v>0.03</v>
      </c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>
        <v>0</v>
      </c>
      <c r="P627" s="18"/>
      <c r="Q627" s="82">
        <f t="shared" si="12"/>
        <v>3.4468726942753677E-9</v>
      </c>
      <c r="R627" s="14">
        <v>0</v>
      </c>
      <c r="S627" s="15">
        <v>0</v>
      </c>
      <c r="T627" s="16">
        <v>5.9510024157370331E-7</v>
      </c>
    </row>
    <row r="628" spans="1:20" ht="16" hidden="1">
      <c r="A628" s="80" t="s">
        <v>666</v>
      </c>
      <c r="B628" s="81" t="s">
        <v>78</v>
      </c>
      <c r="C628" s="18"/>
      <c r="D628" s="21">
        <v>0.03</v>
      </c>
      <c r="E628" s="21">
        <v>0.03</v>
      </c>
      <c r="F628" s="21">
        <v>0.03</v>
      </c>
      <c r="G628" s="21">
        <v>0.03</v>
      </c>
      <c r="H628" s="21">
        <v>0.03</v>
      </c>
      <c r="I628" s="21">
        <v>0.03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18"/>
      <c r="Q628" s="82">
        <f t="shared" si="12"/>
        <v>3.4468726942753677E-9</v>
      </c>
      <c r="R628" s="14">
        <v>3.0000000000200089E-2</v>
      </c>
      <c r="S628" s="15">
        <v>9.5753339398350203E-6</v>
      </c>
      <c r="T628" s="16">
        <v>5.0624400349436255E-5</v>
      </c>
    </row>
    <row r="629" spans="1:20" ht="16" hidden="1">
      <c r="A629" s="80" t="s">
        <v>691</v>
      </c>
      <c r="B629" s="81" t="s">
        <v>66</v>
      </c>
      <c r="C629" s="18"/>
      <c r="D629" s="21">
        <v>0.03</v>
      </c>
      <c r="E629" s="21">
        <v>0.03</v>
      </c>
      <c r="F629" s="21">
        <v>0.03</v>
      </c>
      <c r="G629" s="21">
        <v>0.03</v>
      </c>
      <c r="H629" s="21">
        <v>0.03</v>
      </c>
      <c r="I629" s="21">
        <v>0.03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18"/>
      <c r="Q629" s="82">
        <f t="shared" si="12"/>
        <v>3.4468726942753677E-9</v>
      </c>
      <c r="R629" s="14">
        <v>28488.690000000002</v>
      </c>
      <c r="S629" s="15">
        <v>1841.5442792501628</v>
      </c>
      <c r="T629" s="16">
        <v>4.6057106983045056E-4</v>
      </c>
    </row>
    <row r="630" spans="1:20" ht="16" hidden="1">
      <c r="A630" s="80" t="s">
        <v>761</v>
      </c>
      <c r="B630" s="81" t="s">
        <v>62</v>
      </c>
      <c r="C630" s="18"/>
      <c r="D630" s="21">
        <v>-8383.86</v>
      </c>
      <c r="E630" s="21">
        <v>729.05999999999904</v>
      </c>
      <c r="F630" s="21">
        <v>0.03</v>
      </c>
      <c r="G630" s="21">
        <v>0.03</v>
      </c>
      <c r="H630" s="21">
        <v>0.03</v>
      </c>
      <c r="I630" s="21">
        <v>0.03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18"/>
      <c r="Q630" s="82">
        <f t="shared" si="12"/>
        <v>3.4468726942753677E-9</v>
      </c>
      <c r="R630" s="14">
        <v>6155.9300000000012</v>
      </c>
      <c r="S630" s="15">
        <v>22.874293995243782</v>
      </c>
      <c r="T630" s="16">
        <v>1.0381615007122247E-4</v>
      </c>
    </row>
    <row r="631" spans="1:20" ht="16" hidden="1">
      <c r="A631" s="80" t="s">
        <v>842</v>
      </c>
      <c r="B631" s="81" t="s">
        <v>85</v>
      </c>
      <c r="C631" s="18"/>
      <c r="D631" s="21">
        <v>44.990000000000023</v>
      </c>
      <c r="E631" s="21">
        <v>44.990000000000023</v>
      </c>
      <c r="F631" s="21">
        <v>0.03</v>
      </c>
      <c r="G631" s="21">
        <v>0.03</v>
      </c>
      <c r="H631" s="21">
        <v>0.03</v>
      </c>
      <c r="I631" s="21">
        <v>0.03</v>
      </c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>
        <v>0</v>
      </c>
      <c r="P631" s="18"/>
      <c r="Q631" s="82">
        <f t="shared" si="12"/>
        <v>3.4468726942753677E-9</v>
      </c>
      <c r="R631" s="14">
        <v>-101290.40999999999</v>
      </c>
      <c r="S631" s="15">
        <v>-0.98346429307952299</v>
      </c>
      <c r="T631" s="16">
        <v>2.7518255998287452E-5</v>
      </c>
    </row>
    <row r="632" spans="1:20" ht="16" hidden="1">
      <c r="A632" s="80" t="s">
        <v>924</v>
      </c>
      <c r="B632" s="81" t="s">
        <v>76</v>
      </c>
      <c r="C632" s="18"/>
      <c r="D632" s="21">
        <v>37120</v>
      </c>
      <c r="E632" s="21">
        <v>18560</v>
      </c>
      <c r="F632" s="21">
        <v>0</v>
      </c>
      <c r="G632" s="21">
        <v>0</v>
      </c>
      <c r="H632" s="21">
        <v>0</v>
      </c>
      <c r="I632" s="21">
        <v>0.03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18"/>
      <c r="Q632" s="82">
        <f t="shared" si="12"/>
        <v>3.4468726942753677E-9</v>
      </c>
      <c r="R632" s="14">
        <v>0</v>
      </c>
      <c r="S632" s="15">
        <v>0</v>
      </c>
      <c r="T632" s="16">
        <v>1.9389635891622159E-9</v>
      </c>
    </row>
    <row r="633" spans="1:20" ht="16">
      <c r="A633" s="80" t="s">
        <v>1016</v>
      </c>
      <c r="B633" s="81" t="s">
        <v>67</v>
      </c>
      <c r="C633" s="18"/>
      <c r="D633" s="21">
        <v>0.03</v>
      </c>
      <c r="E633" s="21">
        <v>0.03</v>
      </c>
      <c r="F633" s="21">
        <v>0.03</v>
      </c>
      <c r="G633" s="21">
        <v>0.03</v>
      </c>
      <c r="H633" s="21">
        <v>0.03</v>
      </c>
      <c r="I633" s="21">
        <v>0.03</v>
      </c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>
        <v>0</v>
      </c>
      <c r="P633" s="18"/>
      <c r="Q633" s="82">
        <f t="shared" si="12"/>
        <v>3.4468726942753677E-9</v>
      </c>
      <c r="R633" s="14">
        <v>0</v>
      </c>
      <c r="S633" s="15">
        <v>0</v>
      </c>
      <c r="T633" s="16">
        <v>0</v>
      </c>
    </row>
    <row r="634" spans="1:20" ht="16" hidden="1">
      <c r="A634" s="80" t="s">
        <v>1089</v>
      </c>
      <c r="B634" s="81" t="s">
        <v>85</v>
      </c>
      <c r="C634" s="18"/>
      <c r="D634" s="21">
        <v>33299.29</v>
      </c>
      <c r="E634" s="21">
        <v>0.03</v>
      </c>
      <c r="F634" s="21">
        <v>0.03</v>
      </c>
      <c r="G634" s="21">
        <v>0.03</v>
      </c>
      <c r="H634" s="21">
        <v>0.03</v>
      </c>
      <c r="I634" s="21">
        <v>0.03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0</v>
      </c>
      <c r="P634" s="18"/>
      <c r="Q634" s="82">
        <f t="shared" si="12"/>
        <v>3.4468726942753677E-9</v>
      </c>
      <c r="R634" s="14">
        <v>0</v>
      </c>
      <c r="S634" s="15">
        <v>0</v>
      </c>
      <c r="T634" s="16">
        <v>0</v>
      </c>
    </row>
    <row r="635" spans="1:20" ht="16" hidden="1">
      <c r="A635" s="80" t="s">
        <v>342</v>
      </c>
      <c r="B635" s="81" t="s">
        <v>76</v>
      </c>
      <c r="C635" s="18"/>
      <c r="D635" s="21">
        <v>2.9999999999999978E-2</v>
      </c>
      <c r="E635" s="21">
        <v>0.03</v>
      </c>
      <c r="F635" s="21">
        <v>2.9999999999999985E-2</v>
      </c>
      <c r="G635" s="21">
        <v>0.03</v>
      </c>
      <c r="H635" s="21">
        <v>0.03</v>
      </c>
      <c r="I635" s="21">
        <v>2.9999999999999992E-2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0</v>
      </c>
      <c r="P635" s="18"/>
      <c r="Q635" s="82">
        <f t="shared" si="12"/>
        <v>3.4468726942753668E-9</v>
      </c>
      <c r="R635" s="14">
        <v>0</v>
      </c>
      <c r="S635" s="15">
        <v>0</v>
      </c>
      <c r="T635" s="16">
        <v>1.2847427319519653E-4</v>
      </c>
    </row>
    <row r="636" spans="1:20" ht="16" hidden="1">
      <c r="A636" s="80" t="s">
        <v>951</v>
      </c>
      <c r="B636" s="81" t="s">
        <v>78</v>
      </c>
      <c r="C636" s="18"/>
      <c r="D636" s="21">
        <v>2.9999999999999992E-2</v>
      </c>
      <c r="E636" s="21">
        <v>2.9999999999999992E-2</v>
      </c>
      <c r="F636" s="21">
        <v>91293.580000000016</v>
      </c>
      <c r="G636" s="21">
        <v>2.9999999999999992E-2</v>
      </c>
      <c r="H636" s="21">
        <v>2.9999999999999992E-2</v>
      </c>
      <c r="I636" s="21">
        <v>2.9999999999999992E-2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18"/>
      <c r="Q636" s="82">
        <f t="shared" si="12"/>
        <v>3.4468726942753668E-9</v>
      </c>
      <c r="R636" s="14">
        <v>0</v>
      </c>
      <c r="S636" s="15">
        <v>0</v>
      </c>
      <c r="T636" s="16">
        <v>2.3978516385972736E-7</v>
      </c>
    </row>
    <row r="637" spans="1:20" ht="16" hidden="1">
      <c r="A637" s="80" t="s">
        <v>318</v>
      </c>
      <c r="B637" s="81" t="s">
        <v>62</v>
      </c>
      <c r="C637" s="18"/>
      <c r="D637" s="21">
        <v>2.0000000000000025E-2</v>
      </c>
      <c r="E637" s="21">
        <v>2.0000000000000025E-2</v>
      </c>
      <c r="F637" s="21">
        <v>2.0000000000000032E-2</v>
      </c>
      <c r="G637" s="21">
        <v>2.0000000000000032E-2</v>
      </c>
      <c r="H637" s="21">
        <v>2.0000000000000025E-2</v>
      </c>
      <c r="I637" s="21">
        <v>2.0000000000000032E-2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18"/>
      <c r="Q637" s="82">
        <f t="shared" si="12"/>
        <v>2.2979151295169152E-9</v>
      </c>
      <c r="R637" s="14">
        <v>0</v>
      </c>
      <c r="S637" s="15">
        <v>0</v>
      </c>
      <c r="T637" s="16">
        <v>2.1005438882590665E-8</v>
      </c>
    </row>
    <row r="638" spans="1:20" ht="16" hidden="1">
      <c r="A638" s="80" t="s">
        <v>393</v>
      </c>
      <c r="B638" s="81" t="s">
        <v>62</v>
      </c>
      <c r="C638" s="18"/>
      <c r="D638" s="21">
        <v>1.999999999999999E-2</v>
      </c>
      <c r="E638" s="21">
        <v>1.999999999999999E-2</v>
      </c>
      <c r="F638" s="21">
        <v>2.0000000000000011E-2</v>
      </c>
      <c r="G638" s="21">
        <v>2.0000000000000025E-2</v>
      </c>
      <c r="H638" s="21">
        <v>1.9999999999999997E-2</v>
      </c>
      <c r="I638" s="21">
        <v>2.0000000000000025E-2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0</v>
      </c>
      <c r="P638" s="18"/>
      <c r="Q638" s="82">
        <f t="shared" si="12"/>
        <v>2.2979151295169144E-9</v>
      </c>
      <c r="R638" s="14">
        <v>0</v>
      </c>
      <c r="S638" s="15">
        <v>0</v>
      </c>
      <c r="T638" s="16">
        <v>0</v>
      </c>
    </row>
    <row r="639" spans="1:20" ht="16">
      <c r="A639" s="80" t="s">
        <v>905</v>
      </c>
      <c r="B639" s="81" t="s">
        <v>67</v>
      </c>
      <c r="C639" s="18"/>
      <c r="D639" s="21">
        <v>7433.3100000000013</v>
      </c>
      <c r="E639" s="21">
        <v>7433.3100000000013</v>
      </c>
      <c r="F639" s="21">
        <v>1.9999999999999997E-2</v>
      </c>
      <c r="G639" s="21">
        <v>2.0000000000000011E-2</v>
      </c>
      <c r="H639" s="21">
        <v>2.0000000000000011E-2</v>
      </c>
      <c r="I639" s="21">
        <v>2.0000000000000011E-2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18"/>
      <c r="Q639" s="82">
        <f t="shared" si="12"/>
        <v>2.2979151295169132E-9</v>
      </c>
      <c r="R639" s="14">
        <v>0</v>
      </c>
      <c r="S639" s="15">
        <v>0</v>
      </c>
      <c r="T639" s="16">
        <v>0</v>
      </c>
    </row>
    <row r="640" spans="1:20" ht="16" hidden="1">
      <c r="A640" s="80" t="s">
        <v>288</v>
      </c>
      <c r="B640" s="81" t="s">
        <v>76</v>
      </c>
      <c r="C640" s="18"/>
      <c r="D640" s="21">
        <v>2.0000000000000004E-2</v>
      </c>
      <c r="E640" s="21">
        <v>0.02</v>
      </c>
      <c r="F640" s="21">
        <v>2.0000000000000004E-2</v>
      </c>
      <c r="G640" s="21">
        <v>0.02</v>
      </c>
      <c r="H640" s="21">
        <v>2.0000000000000004E-2</v>
      </c>
      <c r="I640" s="21">
        <v>2.0000000000000004E-2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</v>
      </c>
      <c r="P640" s="18"/>
      <c r="Q640" s="82">
        <f t="shared" si="12"/>
        <v>2.2979151295169123E-9</v>
      </c>
      <c r="R640" s="14">
        <v>1.0000000000218279E-2</v>
      </c>
      <c r="S640" s="15">
        <v>2.8601337399161051E-6</v>
      </c>
      <c r="T640" s="16">
        <v>5.6494127874727623E-5</v>
      </c>
    </row>
    <row r="641" spans="1:20" ht="16" hidden="1">
      <c r="A641" s="80" t="s">
        <v>315</v>
      </c>
      <c r="B641" s="81" t="s">
        <v>85</v>
      </c>
      <c r="C641" s="18"/>
      <c r="D641" s="21">
        <v>2.0000000000000004E-2</v>
      </c>
      <c r="E641" s="21">
        <v>2.0000000000000004E-2</v>
      </c>
      <c r="F641" s="21">
        <v>2.0000000000000004E-2</v>
      </c>
      <c r="G641" s="21">
        <v>2.0000000000000004E-2</v>
      </c>
      <c r="H641" s="21">
        <v>2.0000000000000004E-2</v>
      </c>
      <c r="I641" s="21">
        <v>2.0000000000000004E-2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</v>
      </c>
      <c r="P641" s="18"/>
      <c r="Q641" s="82">
        <f t="shared" si="12"/>
        <v>2.2979151295169123E-9</v>
      </c>
      <c r="R641" s="14">
        <v>0</v>
      </c>
      <c r="S641" s="15">
        <v>0</v>
      </c>
      <c r="T641" s="16">
        <v>0</v>
      </c>
    </row>
    <row r="642" spans="1:20" ht="16" hidden="1">
      <c r="A642" s="80" t="s">
        <v>195</v>
      </c>
      <c r="B642" s="81" t="s">
        <v>85</v>
      </c>
      <c r="C642" s="18"/>
      <c r="D642" s="21">
        <v>0.02</v>
      </c>
      <c r="E642" s="21">
        <v>0.02</v>
      </c>
      <c r="F642" s="21">
        <v>0.02</v>
      </c>
      <c r="G642" s="21">
        <v>0.02</v>
      </c>
      <c r="H642" s="21">
        <v>0.02</v>
      </c>
      <c r="I642" s="21">
        <v>0.02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0</v>
      </c>
      <c r="P642" s="18"/>
      <c r="Q642" s="82">
        <f t="shared" si="12"/>
        <v>2.2979151295169119E-9</v>
      </c>
      <c r="R642" s="14">
        <v>0</v>
      </c>
      <c r="S642" s="15">
        <v>0</v>
      </c>
      <c r="T642" s="16">
        <v>0</v>
      </c>
    </row>
    <row r="643" spans="1:20" ht="16" hidden="1">
      <c r="A643" s="80" t="s">
        <v>318</v>
      </c>
      <c r="B643" s="81" t="s">
        <v>76</v>
      </c>
      <c r="C643" s="18"/>
      <c r="D643" s="21">
        <v>0.02</v>
      </c>
      <c r="E643" s="21">
        <v>0.02</v>
      </c>
      <c r="F643" s="21">
        <v>0.02</v>
      </c>
      <c r="G643" s="21">
        <v>0.02</v>
      </c>
      <c r="H643" s="21">
        <v>0.02</v>
      </c>
      <c r="I643" s="21">
        <v>0.02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</v>
      </c>
      <c r="P643" s="18"/>
      <c r="Q643" s="82">
        <f t="shared" si="12"/>
        <v>2.2979151295169119E-9</v>
      </c>
      <c r="R643" s="14">
        <v>0</v>
      </c>
      <c r="S643" s="15">
        <v>0</v>
      </c>
      <c r="T643" s="16">
        <v>1.6158029909685129E-10</v>
      </c>
    </row>
    <row r="644" spans="1:20" ht="16">
      <c r="A644" s="80" t="s">
        <v>641</v>
      </c>
      <c r="B644" s="81" t="s">
        <v>67</v>
      </c>
      <c r="C644" s="18"/>
      <c r="D644" s="21">
        <v>0.02</v>
      </c>
      <c r="E644" s="21">
        <v>0.02</v>
      </c>
      <c r="F644" s="21">
        <v>0.02</v>
      </c>
      <c r="G644" s="21">
        <v>0.02</v>
      </c>
      <c r="H644" s="21">
        <v>0.02</v>
      </c>
      <c r="I644" s="21">
        <v>0.02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18"/>
      <c r="Q644" s="82">
        <f t="shared" si="12"/>
        <v>2.2979151295169119E-9</v>
      </c>
      <c r="R644" s="14">
        <v>0</v>
      </c>
      <c r="S644" s="15">
        <v>0</v>
      </c>
      <c r="T644" s="16">
        <v>0</v>
      </c>
    </row>
    <row r="645" spans="1:20" ht="16" hidden="1">
      <c r="A645" s="80" t="s">
        <v>830</v>
      </c>
      <c r="B645" s="81" t="s">
        <v>78</v>
      </c>
      <c r="C645" s="18"/>
      <c r="D645" s="21">
        <v>0.02</v>
      </c>
      <c r="E645" s="21">
        <v>0.02</v>
      </c>
      <c r="F645" s="21">
        <v>0.02</v>
      </c>
      <c r="G645" s="21">
        <v>0.02</v>
      </c>
      <c r="H645" s="21">
        <v>0.02</v>
      </c>
      <c r="I645" s="21">
        <v>0.02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</v>
      </c>
      <c r="P645" s="18"/>
      <c r="Q645" s="82">
        <f t="shared" si="12"/>
        <v>2.2979151295169119E-9</v>
      </c>
      <c r="R645" s="14">
        <v>0</v>
      </c>
      <c r="S645" s="15">
        <v>0</v>
      </c>
      <c r="T645" s="16">
        <v>0</v>
      </c>
    </row>
    <row r="646" spans="1:20" ht="16" hidden="1">
      <c r="A646" s="80" t="s">
        <v>840</v>
      </c>
      <c r="B646" s="81" t="s">
        <v>78</v>
      </c>
      <c r="C646" s="18"/>
      <c r="D646" s="21">
        <v>0</v>
      </c>
      <c r="E646" s="21">
        <v>0</v>
      </c>
      <c r="F646" s="21">
        <v>0</v>
      </c>
      <c r="G646" s="21">
        <v>0</v>
      </c>
      <c r="H646" s="21">
        <v>0.02</v>
      </c>
      <c r="I646" s="21">
        <v>0.02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0</v>
      </c>
      <c r="P646" s="18"/>
      <c r="Q646" s="82">
        <f t="shared" si="12"/>
        <v>2.2979151295169119E-9</v>
      </c>
      <c r="R646" s="14">
        <v>-23400</v>
      </c>
      <c r="S646" s="15">
        <v>-0.20652721313767261</v>
      </c>
      <c r="T646" s="16">
        <v>1.4526434060282893E-3</v>
      </c>
    </row>
    <row r="647" spans="1:20" ht="16" hidden="1">
      <c r="A647" s="80" t="s">
        <v>938</v>
      </c>
      <c r="B647" s="81" t="s">
        <v>62</v>
      </c>
      <c r="C647" s="18"/>
      <c r="D647" s="21">
        <v>0.02</v>
      </c>
      <c r="E647" s="21">
        <v>0.02</v>
      </c>
      <c r="F647" s="21">
        <v>0.02</v>
      </c>
      <c r="G647" s="21">
        <v>0.02</v>
      </c>
      <c r="H647" s="21">
        <v>0.02</v>
      </c>
      <c r="I647" s="21">
        <v>0.02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18"/>
      <c r="Q647" s="82">
        <f t="shared" si="12"/>
        <v>2.2979151295169119E-9</v>
      </c>
      <c r="R647" s="14">
        <v>0</v>
      </c>
      <c r="S647" s="15">
        <v>0</v>
      </c>
      <c r="T647" s="16">
        <v>1.9389635891622155E-9</v>
      </c>
    </row>
    <row r="648" spans="1:20" ht="16" hidden="1">
      <c r="A648" s="80" t="s">
        <v>1001</v>
      </c>
      <c r="B648" s="81" t="s">
        <v>78</v>
      </c>
      <c r="C648" s="18"/>
      <c r="D648" s="21">
        <v>0.02</v>
      </c>
      <c r="E648" s="21">
        <v>1.9999999999999997E-2</v>
      </c>
      <c r="F648" s="21">
        <v>1.9999999999999997E-2</v>
      </c>
      <c r="G648" s="21">
        <v>0.02</v>
      </c>
      <c r="H648" s="21">
        <v>0.02</v>
      </c>
      <c r="I648" s="21">
        <v>0.02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18"/>
      <c r="Q648" s="82">
        <f t="shared" si="12"/>
        <v>2.2979151295169119E-9</v>
      </c>
      <c r="R648" s="14">
        <v>0</v>
      </c>
      <c r="S648" s="15">
        <v>0</v>
      </c>
      <c r="T648" s="16">
        <v>3.2316059819370263E-9</v>
      </c>
    </row>
    <row r="649" spans="1:20" ht="16">
      <c r="A649" s="80" t="s">
        <v>1032</v>
      </c>
      <c r="B649" s="81" t="s">
        <v>67</v>
      </c>
      <c r="C649" s="18"/>
      <c r="D649" s="21">
        <v>3850.91</v>
      </c>
      <c r="E649" s="21">
        <v>0.02</v>
      </c>
      <c r="F649" s="21">
        <v>0.02</v>
      </c>
      <c r="G649" s="21">
        <v>0.02</v>
      </c>
      <c r="H649" s="21">
        <v>0.02</v>
      </c>
      <c r="I649" s="21">
        <v>0.02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0</v>
      </c>
      <c r="P649" s="18"/>
      <c r="Q649" s="82">
        <f t="shared" si="12"/>
        <v>2.2979151295169119E-9</v>
      </c>
      <c r="R649" s="14">
        <v>0</v>
      </c>
      <c r="S649" s="15">
        <v>0</v>
      </c>
      <c r="T649" s="16">
        <v>0</v>
      </c>
    </row>
    <row r="650" spans="1:20" ht="16" hidden="1">
      <c r="A650" s="80" t="s">
        <v>1139</v>
      </c>
      <c r="B650" s="81" t="s">
        <v>78</v>
      </c>
      <c r="C650" s="18"/>
      <c r="D650" s="21">
        <v>0</v>
      </c>
      <c r="E650" s="21">
        <v>0</v>
      </c>
      <c r="F650" s="21">
        <v>0</v>
      </c>
      <c r="G650" s="21">
        <v>0</v>
      </c>
      <c r="H650" s="21">
        <v>0.02</v>
      </c>
      <c r="I650" s="21">
        <v>0.02</v>
      </c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>
        <v>0</v>
      </c>
      <c r="P650" s="18"/>
      <c r="Q650" s="82">
        <f t="shared" si="12"/>
        <v>2.2979151295169119E-9</v>
      </c>
      <c r="R650" s="14">
        <v>0</v>
      </c>
      <c r="S650" s="15">
        <v>0</v>
      </c>
      <c r="T650" s="16">
        <v>1.9909924454714016E-4</v>
      </c>
    </row>
    <row r="651" spans="1:20" ht="16">
      <c r="A651" s="80" t="s">
        <v>1146</v>
      </c>
      <c r="B651" s="81" t="s">
        <v>67</v>
      </c>
      <c r="C651" s="18"/>
      <c r="D651" s="21">
        <v>0.01</v>
      </c>
      <c r="E651" s="21">
        <v>0.01</v>
      </c>
      <c r="F651" s="21">
        <v>0.01</v>
      </c>
      <c r="G651" s="21">
        <v>0.01</v>
      </c>
      <c r="H651" s="21">
        <v>0.01</v>
      </c>
      <c r="I651" s="21">
        <v>0.02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18"/>
      <c r="Q651" s="82">
        <f t="shared" ref="Q651:Q714" si="13">IFERROR(I651/$I$4," ")</f>
        <v>2.2979151295169119E-9</v>
      </c>
      <c r="R651" s="14">
        <v>-1.3877787807814457E-17</v>
      </c>
      <c r="S651" s="15">
        <v>-1.3877787807814471E-15</v>
      </c>
      <c r="T651" s="16">
        <v>1.615802990968509E-10</v>
      </c>
    </row>
    <row r="652" spans="1:20" ht="16">
      <c r="A652" s="80" t="s">
        <v>469</v>
      </c>
      <c r="B652" s="81" t="s">
        <v>67</v>
      </c>
      <c r="C652" s="18"/>
      <c r="D652" s="21">
        <v>3700.48</v>
      </c>
      <c r="E652" s="21">
        <v>1.9999999999999997E-2</v>
      </c>
      <c r="F652" s="21">
        <v>1.9999999999999997E-2</v>
      </c>
      <c r="G652" s="21">
        <v>1.9999999999999997E-2</v>
      </c>
      <c r="H652" s="21">
        <v>1.9999999999999997E-2</v>
      </c>
      <c r="I652" s="21">
        <v>1.9999999999999997E-2</v>
      </c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>
        <v>0</v>
      </c>
      <c r="P652" s="18"/>
      <c r="Q652" s="82">
        <f t="shared" si="13"/>
        <v>2.2979151295169115E-9</v>
      </c>
      <c r="R652" s="14">
        <v>3219.6099999999997</v>
      </c>
      <c r="S652" s="15">
        <v>0.52860215406843103</v>
      </c>
      <c r="T652" s="16">
        <v>1.5043788325143153E-4</v>
      </c>
    </row>
    <row r="653" spans="1:20" ht="16">
      <c r="A653" s="80" t="s">
        <v>615</v>
      </c>
      <c r="B653" s="81" t="s">
        <v>67</v>
      </c>
      <c r="C653" s="18"/>
      <c r="D653" s="21">
        <v>1.9999999999999997E-2</v>
      </c>
      <c r="E653" s="21">
        <v>1.9999999999999997E-2</v>
      </c>
      <c r="F653" s="21">
        <v>1.9999999999999997E-2</v>
      </c>
      <c r="G653" s="21">
        <v>1.9999999999999997E-2</v>
      </c>
      <c r="H653" s="21">
        <v>1.9999999999999997E-2</v>
      </c>
      <c r="I653" s="21">
        <v>1.9999999999999997E-2</v>
      </c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>
        <v>0</v>
      </c>
      <c r="P653" s="18"/>
      <c r="Q653" s="82">
        <f t="shared" si="13"/>
        <v>2.2979151295169115E-9</v>
      </c>
      <c r="R653" s="14">
        <v>0</v>
      </c>
      <c r="S653" s="15">
        <v>0</v>
      </c>
      <c r="T653" s="16">
        <v>0</v>
      </c>
    </row>
    <row r="654" spans="1:20" ht="16" hidden="1">
      <c r="A654" s="80" t="s">
        <v>987</v>
      </c>
      <c r="B654" s="81" t="s">
        <v>60</v>
      </c>
      <c r="C654" s="18"/>
      <c r="D654" s="21">
        <v>98.009999999999991</v>
      </c>
      <c r="E654" s="21">
        <v>98.009999999999991</v>
      </c>
      <c r="F654" s="21">
        <v>98.009999999999991</v>
      </c>
      <c r="G654" s="21">
        <v>98.009999999999991</v>
      </c>
      <c r="H654" s="21">
        <v>1.9999999999999997E-2</v>
      </c>
      <c r="I654" s="21">
        <v>1.9999999999999997E-2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0</v>
      </c>
      <c r="P654" s="18"/>
      <c r="Q654" s="82">
        <f t="shared" si="13"/>
        <v>2.2979151295169115E-9</v>
      </c>
      <c r="R654" s="14">
        <v>9.999999999999995E-3</v>
      </c>
      <c r="S654" s="15">
        <v>0.11111111111111106</v>
      </c>
      <c r="T654" s="16">
        <v>1.6158029909685129E-9</v>
      </c>
    </row>
    <row r="655" spans="1:20" ht="16" hidden="1">
      <c r="A655" s="80" t="s">
        <v>1163</v>
      </c>
      <c r="B655" s="81" t="s">
        <v>62</v>
      </c>
      <c r="C655" s="18"/>
      <c r="D655" s="21">
        <v>1.9999999999999997E-2</v>
      </c>
      <c r="E655" s="21">
        <v>1.9999999999999997E-2</v>
      </c>
      <c r="F655" s="21">
        <v>1.9999999999999997E-2</v>
      </c>
      <c r="G655" s="21">
        <v>1.9999999999999997E-2</v>
      </c>
      <c r="H655" s="21">
        <v>1.9999999999999997E-2</v>
      </c>
      <c r="I655" s="21">
        <v>1.9999999999999997E-2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0</v>
      </c>
      <c r="P655" s="18"/>
      <c r="Q655" s="82">
        <f t="shared" si="13"/>
        <v>2.2979151295169115E-9</v>
      </c>
      <c r="R655" s="14">
        <v>0</v>
      </c>
      <c r="S655" s="15">
        <v>0</v>
      </c>
      <c r="T655" s="16">
        <v>8.0790149548425636E-10</v>
      </c>
    </row>
    <row r="656" spans="1:20" ht="16" hidden="1">
      <c r="A656" s="80" t="s">
        <v>127</v>
      </c>
      <c r="B656" s="81" t="s">
        <v>66</v>
      </c>
      <c r="C656" s="18"/>
      <c r="D656" s="21">
        <v>312.40000000000003</v>
      </c>
      <c r="E656" s="21">
        <v>-6.9388939039072284E-18</v>
      </c>
      <c r="F656" s="21">
        <v>-6.9388939039072284E-18</v>
      </c>
      <c r="G656" s="21">
        <v>-6.9388939039072284E-18</v>
      </c>
      <c r="H656" s="21">
        <v>1.9999999999999993E-2</v>
      </c>
      <c r="I656" s="21">
        <v>1.9999999999999993E-2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</v>
      </c>
      <c r="P656" s="18"/>
      <c r="Q656" s="82">
        <f t="shared" si="13"/>
        <v>2.2979151295169111E-9</v>
      </c>
      <c r="R656" s="14">
        <v>0</v>
      </c>
      <c r="S656" s="15">
        <v>0</v>
      </c>
      <c r="T656" s="16">
        <v>0</v>
      </c>
    </row>
    <row r="657" spans="1:20" ht="16" hidden="1">
      <c r="A657" s="80" t="s">
        <v>378</v>
      </c>
      <c r="B657" s="81" t="s">
        <v>366</v>
      </c>
      <c r="C657" s="18"/>
      <c r="D657" s="21">
        <v>1.999999999999999E-2</v>
      </c>
      <c r="E657" s="21">
        <v>1.9999999999999976E-2</v>
      </c>
      <c r="F657" s="21">
        <v>1.999999999999999E-2</v>
      </c>
      <c r="G657" s="21">
        <v>1.9999999999999997E-2</v>
      </c>
      <c r="H657" s="21">
        <v>1.999999999999999E-2</v>
      </c>
      <c r="I657" s="21">
        <v>1.999999999999999E-2</v>
      </c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>
        <v>0</v>
      </c>
      <c r="P657" s="18"/>
      <c r="Q657" s="82">
        <f t="shared" si="13"/>
        <v>2.2979151295169107E-9</v>
      </c>
      <c r="R657" s="14">
        <v>-6739.5600000000122</v>
      </c>
      <c r="S657" s="15">
        <v>-8.2274609313532379E-2</v>
      </c>
      <c r="T657" s="16">
        <v>1.2146939559466014E-3</v>
      </c>
    </row>
    <row r="658" spans="1:20" ht="16">
      <c r="A658" s="80" t="s">
        <v>715</v>
      </c>
      <c r="B658" s="81" t="s">
        <v>67</v>
      </c>
      <c r="C658" s="18"/>
      <c r="D658" s="21">
        <v>9.9999999999996671E-3</v>
      </c>
      <c r="E658" s="21">
        <v>1221.6099999999999</v>
      </c>
      <c r="F658" s="21">
        <v>2443.21</v>
      </c>
      <c r="G658" s="21">
        <v>1.9999999999999667E-2</v>
      </c>
      <c r="H658" s="21">
        <v>1.9999999999999445E-2</v>
      </c>
      <c r="I658" s="21">
        <v>1.9999999999999667E-2</v>
      </c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>
        <v>0</v>
      </c>
      <c r="P658" s="18"/>
      <c r="Q658" s="82">
        <f t="shared" si="13"/>
        <v>2.2979151295168735E-9</v>
      </c>
      <c r="R658" s="14">
        <v>12933.570000000007</v>
      </c>
      <c r="S658" s="15">
        <v>2.6762643198299726E-2</v>
      </c>
      <c r="T658" s="16">
        <v>8.0176645310784823E-3</v>
      </c>
    </row>
    <row r="659" spans="1:20" ht="16">
      <c r="A659" s="80" t="s">
        <v>209</v>
      </c>
      <c r="B659" s="81" t="s">
        <v>67</v>
      </c>
      <c r="C659" s="18"/>
      <c r="D659" s="21">
        <v>2.4286128663675299E-17</v>
      </c>
      <c r="E659" s="21">
        <v>2.4286128663675299E-17</v>
      </c>
      <c r="F659" s="21">
        <v>2.4286128663675299E-17</v>
      </c>
      <c r="G659" s="21">
        <v>1210.95</v>
      </c>
      <c r="H659" s="21">
        <v>1.0000000000000045E-2</v>
      </c>
      <c r="I659" s="21">
        <v>1.0000000000000045E-2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</v>
      </c>
      <c r="P659" s="18"/>
      <c r="Q659" s="82">
        <f t="shared" si="13"/>
        <v>1.1489575647584611E-9</v>
      </c>
      <c r="R659" s="14">
        <v>0</v>
      </c>
      <c r="S659" s="15">
        <v>0</v>
      </c>
      <c r="T659" s="16">
        <v>6.8925372817863493E-4</v>
      </c>
    </row>
    <row r="660" spans="1:20" ht="16">
      <c r="A660" s="80" t="s">
        <v>355</v>
      </c>
      <c r="B660" s="81" t="s">
        <v>67</v>
      </c>
      <c r="C660" s="18"/>
      <c r="D660" s="21">
        <v>1.0000000000000004E-2</v>
      </c>
      <c r="E660" s="21">
        <v>1.0000000000000019E-2</v>
      </c>
      <c r="F660" s="21">
        <v>1.0000000000000019E-2</v>
      </c>
      <c r="G660" s="21">
        <v>1.0000000000000019E-2</v>
      </c>
      <c r="H660" s="21">
        <v>1.0000000000000019E-2</v>
      </c>
      <c r="I660" s="21">
        <v>1.0000000000000019E-2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</v>
      </c>
      <c r="P660" s="18"/>
      <c r="Q660" s="82">
        <f t="shared" si="13"/>
        <v>1.148957564758458E-9</v>
      </c>
      <c r="R660" s="14">
        <v>0</v>
      </c>
      <c r="S660" s="15">
        <v>0</v>
      </c>
      <c r="T660" s="16">
        <v>0</v>
      </c>
    </row>
    <row r="661" spans="1:20" ht="16" hidden="1">
      <c r="A661" s="80" t="s">
        <v>278</v>
      </c>
      <c r="B661" s="81" t="s">
        <v>162</v>
      </c>
      <c r="C661" s="18"/>
      <c r="D661" s="21">
        <v>1.0000000000000011E-2</v>
      </c>
      <c r="E661" s="21">
        <v>9.9999999999999967E-3</v>
      </c>
      <c r="F661" s="21">
        <v>1.0000000000000011E-2</v>
      </c>
      <c r="G661" s="21">
        <v>1.0000000000000024E-2</v>
      </c>
      <c r="H661" s="21">
        <v>9.9999999999999967E-3</v>
      </c>
      <c r="I661" s="21">
        <v>1.0000000000000011E-2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18"/>
      <c r="Q661" s="82">
        <f t="shared" si="13"/>
        <v>1.148957564758457E-9</v>
      </c>
      <c r="R661" s="14">
        <v>0</v>
      </c>
      <c r="S661" s="15">
        <v>0</v>
      </c>
      <c r="T661" s="16">
        <v>0</v>
      </c>
    </row>
    <row r="662" spans="1:20" ht="16">
      <c r="A662" s="80" t="s">
        <v>268</v>
      </c>
      <c r="B662" s="81" t="s">
        <v>67</v>
      </c>
      <c r="C662" s="18"/>
      <c r="D662" s="21">
        <v>1.0000000000000009E-2</v>
      </c>
      <c r="E662" s="21">
        <v>1.0000000000000018E-2</v>
      </c>
      <c r="F662" s="21">
        <v>1.0000000000000009E-2</v>
      </c>
      <c r="G662" s="21">
        <v>1.0000000000000009E-2</v>
      </c>
      <c r="H662" s="21">
        <v>1.0000000000000009E-2</v>
      </c>
      <c r="I662" s="21">
        <v>1.0000000000000009E-2</v>
      </c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>
        <v>0</v>
      </c>
      <c r="P662" s="18"/>
      <c r="Q662" s="82">
        <f t="shared" si="13"/>
        <v>1.148957564758457E-9</v>
      </c>
      <c r="R662" s="14">
        <v>0</v>
      </c>
      <c r="S662" s="15">
        <v>0</v>
      </c>
      <c r="T662" s="16">
        <v>0</v>
      </c>
    </row>
    <row r="663" spans="1:20" ht="16" hidden="1">
      <c r="A663" s="80" t="s">
        <v>74</v>
      </c>
      <c r="B663" s="81" t="s">
        <v>62</v>
      </c>
      <c r="C663" s="18"/>
      <c r="D663" s="21">
        <v>9.9999999999999985E-3</v>
      </c>
      <c r="E663" s="21">
        <v>9.9999999999999985E-3</v>
      </c>
      <c r="F663" s="21">
        <v>1.0000000000000002E-2</v>
      </c>
      <c r="G663" s="21">
        <v>9.999999999999995E-3</v>
      </c>
      <c r="H663" s="21">
        <v>1.0000000000000002E-2</v>
      </c>
      <c r="I663" s="21">
        <v>1.0000000000000002E-2</v>
      </c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>
        <v>0</v>
      </c>
      <c r="P663" s="18"/>
      <c r="Q663" s="82">
        <f t="shared" si="13"/>
        <v>1.1489575647584562E-9</v>
      </c>
      <c r="R663" s="14">
        <v>0</v>
      </c>
      <c r="S663" s="15">
        <v>0</v>
      </c>
      <c r="T663" s="16">
        <v>1.6158029909685129E-9</v>
      </c>
    </row>
    <row r="664" spans="1:20" ht="16">
      <c r="A664" s="80" t="s">
        <v>117</v>
      </c>
      <c r="B664" s="81" t="s">
        <v>67</v>
      </c>
      <c r="C664" s="18"/>
      <c r="D664" s="21">
        <v>1.0000000000000002E-2</v>
      </c>
      <c r="E664" s="21">
        <v>1.0000000000000002E-2</v>
      </c>
      <c r="F664" s="21">
        <v>0.01</v>
      </c>
      <c r="G664" s="21">
        <v>1.0000000000000002E-2</v>
      </c>
      <c r="H664" s="21">
        <v>1.0000000000000002E-2</v>
      </c>
      <c r="I664" s="21">
        <v>1.0000000000000002E-2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18"/>
      <c r="Q664" s="82">
        <f t="shared" si="13"/>
        <v>1.1489575647584562E-9</v>
      </c>
      <c r="R664" s="14">
        <v>0</v>
      </c>
      <c r="S664" s="15">
        <v>0</v>
      </c>
      <c r="T664" s="16">
        <v>1.2564484057771158E-4</v>
      </c>
    </row>
    <row r="665" spans="1:20" ht="16" hidden="1">
      <c r="A665" s="80" t="s">
        <v>106</v>
      </c>
      <c r="B665" s="81" t="s">
        <v>62</v>
      </c>
      <c r="C665" s="18"/>
      <c r="D665" s="21">
        <v>0</v>
      </c>
      <c r="E665" s="21">
        <v>0</v>
      </c>
      <c r="F665" s="21">
        <v>0</v>
      </c>
      <c r="G665" s="21">
        <v>0</v>
      </c>
      <c r="H665" s="21">
        <v>0</v>
      </c>
      <c r="I665" s="21">
        <v>0.01</v>
      </c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>
        <v>0</v>
      </c>
      <c r="P665" s="18"/>
      <c r="Q665" s="82">
        <f t="shared" si="13"/>
        <v>1.148957564758456E-9</v>
      </c>
      <c r="R665" s="14">
        <v>-74541.62</v>
      </c>
      <c r="S665" s="15">
        <v>-0.5894408404513054</v>
      </c>
      <c r="T665" s="16">
        <v>8.3892426658965552E-4</v>
      </c>
    </row>
    <row r="666" spans="1:20" ht="16" hidden="1">
      <c r="A666" s="80" t="s">
        <v>158</v>
      </c>
      <c r="B666" s="81" t="s">
        <v>76</v>
      </c>
      <c r="C666" s="18"/>
      <c r="D666" s="21">
        <v>0.01</v>
      </c>
      <c r="E666" s="21">
        <v>0.01</v>
      </c>
      <c r="F666" s="21">
        <v>0.01</v>
      </c>
      <c r="G666" s="21">
        <v>1.0000000000000009E-2</v>
      </c>
      <c r="H666" s="21">
        <v>0.01</v>
      </c>
      <c r="I666" s="21">
        <v>0.01</v>
      </c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>
        <v>0</v>
      </c>
      <c r="P666" s="18"/>
      <c r="Q666" s="82">
        <f t="shared" si="13"/>
        <v>1.148957564758456E-9</v>
      </c>
      <c r="R666" s="14">
        <v>4937.2900000000009</v>
      </c>
      <c r="S666" s="15">
        <v>0.23320663671733122</v>
      </c>
      <c r="T666" s="16">
        <v>4.2186353970000514E-4</v>
      </c>
    </row>
    <row r="667" spans="1:20" ht="16" hidden="1">
      <c r="A667" s="80" t="s">
        <v>236</v>
      </c>
      <c r="B667" s="81" t="s">
        <v>66</v>
      </c>
      <c r="C667" s="18"/>
      <c r="D667" s="21">
        <v>0.01</v>
      </c>
      <c r="E667" s="21">
        <v>0.01</v>
      </c>
      <c r="F667" s="21">
        <v>0.01</v>
      </c>
      <c r="G667" s="21">
        <v>0.01</v>
      </c>
      <c r="H667" s="21">
        <v>0.01</v>
      </c>
      <c r="I667" s="21">
        <v>0.01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18"/>
      <c r="Q667" s="82">
        <f t="shared" si="13"/>
        <v>1.148957564758456E-9</v>
      </c>
      <c r="R667" s="14">
        <v>0</v>
      </c>
      <c r="S667" s="15">
        <v>0</v>
      </c>
      <c r="T667" s="16">
        <v>0</v>
      </c>
    </row>
    <row r="668" spans="1:20" ht="16" hidden="1">
      <c r="A668" s="80" t="s">
        <v>311</v>
      </c>
      <c r="B668" s="81" t="s">
        <v>76</v>
      </c>
      <c r="C668" s="18"/>
      <c r="D668" s="21">
        <v>0.01</v>
      </c>
      <c r="E668" s="21">
        <v>0.01</v>
      </c>
      <c r="F668" s="21">
        <v>0.01</v>
      </c>
      <c r="G668" s="21">
        <v>0.01</v>
      </c>
      <c r="H668" s="21">
        <v>0.01</v>
      </c>
      <c r="I668" s="21">
        <v>0.01</v>
      </c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>
        <v>0</v>
      </c>
      <c r="P668" s="18"/>
      <c r="Q668" s="82">
        <f t="shared" si="13"/>
        <v>1.148957564758456E-9</v>
      </c>
      <c r="R668" s="14">
        <v>0</v>
      </c>
      <c r="S668" s="15">
        <v>0</v>
      </c>
      <c r="T668" s="16">
        <v>3.0173020312448718E-5</v>
      </c>
    </row>
    <row r="669" spans="1:20" ht="16" hidden="1">
      <c r="A669" s="80" t="s">
        <v>335</v>
      </c>
      <c r="B669" s="81" t="s">
        <v>89</v>
      </c>
      <c r="C669" s="18"/>
      <c r="D669" s="21">
        <v>0.01</v>
      </c>
      <c r="E669" s="21">
        <v>0.01</v>
      </c>
      <c r="F669" s="21">
        <v>0.01</v>
      </c>
      <c r="G669" s="21">
        <v>0.01</v>
      </c>
      <c r="H669" s="21">
        <v>0.01</v>
      </c>
      <c r="I669" s="21">
        <v>0.01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18"/>
      <c r="Q669" s="82">
        <f t="shared" si="13"/>
        <v>1.148957564758456E-9</v>
      </c>
      <c r="R669" s="14">
        <v>-13215.180000000004</v>
      </c>
      <c r="S669" s="15">
        <v>-1.0001496296555057</v>
      </c>
      <c r="T669" s="16">
        <v>-3.1945830880049649E-8</v>
      </c>
    </row>
    <row r="670" spans="1:20" ht="16">
      <c r="A670" s="80" t="s">
        <v>372</v>
      </c>
      <c r="B670" s="81" t="s">
        <v>67</v>
      </c>
      <c r="C670" s="18"/>
      <c r="D670" s="21">
        <v>0.01</v>
      </c>
      <c r="E670" s="21">
        <v>0.01</v>
      </c>
      <c r="F670" s="21">
        <v>0.01</v>
      </c>
      <c r="G670" s="21">
        <v>0.01</v>
      </c>
      <c r="H670" s="21">
        <v>0.01</v>
      </c>
      <c r="I670" s="21">
        <v>0.01</v>
      </c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>
        <v>0</v>
      </c>
      <c r="P670" s="18"/>
      <c r="Q670" s="82">
        <f t="shared" si="13"/>
        <v>1.148957564758456E-9</v>
      </c>
      <c r="R670" s="14">
        <v>0</v>
      </c>
      <c r="S670" s="15">
        <v>0</v>
      </c>
      <c r="T670" s="16">
        <v>0</v>
      </c>
    </row>
    <row r="671" spans="1:20" ht="16">
      <c r="A671" s="80" t="s">
        <v>382</v>
      </c>
      <c r="B671" s="81" t="s">
        <v>67</v>
      </c>
      <c r="C671" s="18"/>
      <c r="D671" s="21">
        <v>0.01</v>
      </c>
      <c r="E671" s="21">
        <v>0.01</v>
      </c>
      <c r="F671" s="21">
        <v>0.01</v>
      </c>
      <c r="G671" s="21">
        <v>0.01</v>
      </c>
      <c r="H671" s="21">
        <v>0.01</v>
      </c>
      <c r="I671" s="21">
        <v>0.01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18"/>
      <c r="Q671" s="82">
        <f t="shared" si="13"/>
        <v>1.148957564758456E-9</v>
      </c>
      <c r="R671" s="14">
        <v>18000</v>
      </c>
      <c r="S671" s="15">
        <v>-1800000</v>
      </c>
      <c r="T671" s="16">
        <v>2.9084437679403327E-4</v>
      </c>
    </row>
    <row r="672" spans="1:20" ht="16">
      <c r="A672" s="80" t="s">
        <v>396</v>
      </c>
      <c r="B672" s="81" t="s">
        <v>67</v>
      </c>
      <c r="C672" s="18"/>
      <c r="D672" s="21">
        <v>0</v>
      </c>
      <c r="E672" s="21">
        <v>0</v>
      </c>
      <c r="F672" s="21">
        <v>0</v>
      </c>
      <c r="G672" s="21">
        <v>0</v>
      </c>
      <c r="H672" s="21">
        <v>0</v>
      </c>
      <c r="I672" s="21">
        <v>0.01</v>
      </c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18"/>
      <c r="Q672" s="82">
        <f t="shared" si="13"/>
        <v>1.148957564758456E-9</v>
      </c>
      <c r="R672" s="14">
        <v>0</v>
      </c>
      <c r="S672" s="15">
        <v>0</v>
      </c>
      <c r="T672" s="16">
        <v>0</v>
      </c>
    </row>
    <row r="673" spans="1:20" ht="16" hidden="1">
      <c r="A673" s="80" t="s">
        <v>422</v>
      </c>
      <c r="B673" s="81" t="s">
        <v>78</v>
      </c>
      <c r="C673" s="18"/>
      <c r="D673" s="21">
        <v>0.01</v>
      </c>
      <c r="E673" s="21">
        <v>0.01</v>
      </c>
      <c r="F673" s="21">
        <v>0.01</v>
      </c>
      <c r="G673" s="21">
        <v>0.01</v>
      </c>
      <c r="H673" s="21">
        <v>0.01</v>
      </c>
      <c r="I673" s="21">
        <v>0.01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18"/>
      <c r="Q673" s="82">
        <f t="shared" si="13"/>
        <v>1.148957564758456E-9</v>
      </c>
      <c r="R673" s="14">
        <v>166269.28000000003</v>
      </c>
      <c r="S673" s="15">
        <v>0.11798005771475738</v>
      </c>
      <c r="T673" s="16">
        <v>2.5458093450477171E-2</v>
      </c>
    </row>
    <row r="674" spans="1:20" ht="16">
      <c r="A674" s="80" t="s">
        <v>428</v>
      </c>
      <c r="B674" s="81" t="s">
        <v>67</v>
      </c>
      <c r="C674" s="18"/>
      <c r="D674" s="21">
        <v>0.01</v>
      </c>
      <c r="E674" s="21">
        <v>0.01</v>
      </c>
      <c r="F674" s="21">
        <v>0.01</v>
      </c>
      <c r="G674" s="21">
        <v>0.01</v>
      </c>
      <c r="H674" s="21">
        <v>0.01</v>
      </c>
      <c r="I674" s="21">
        <v>0.01</v>
      </c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>
        <v>0</v>
      </c>
      <c r="P674" s="18"/>
      <c r="Q674" s="82">
        <f t="shared" si="13"/>
        <v>1.148957564758456E-9</v>
      </c>
      <c r="R674" s="14">
        <v>0</v>
      </c>
      <c r="S674" s="15">
        <v>0</v>
      </c>
      <c r="T674" s="16">
        <v>0</v>
      </c>
    </row>
    <row r="675" spans="1:20" ht="16" hidden="1">
      <c r="A675" s="80" t="s">
        <v>480</v>
      </c>
      <c r="B675" s="81" t="s">
        <v>366</v>
      </c>
      <c r="C675" s="18"/>
      <c r="D675" s="21">
        <v>8363.6</v>
      </c>
      <c r="E675" s="21">
        <v>16727.2</v>
      </c>
      <c r="F675" s="21">
        <v>0.01</v>
      </c>
      <c r="G675" s="21">
        <v>0.01</v>
      </c>
      <c r="H675" s="21">
        <v>0.01</v>
      </c>
      <c r="I675" s="21">
        <v>0.01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</v>
      </c>
      <c r="P675" s="18"/>
      <c r="Q675" s="82">
        <f t="shared" si="13"/>
        <v>1.148957564758456E-9</v>
      </c>
      <c r="R675" s="14">
        <v>0</v>
      </c>
      <c r="S675" s="15">
        <v>0</v>
      </c>
      <c r="T675" s="16">
        <v>-6.4632119638740517E-10</v>
      </c>
    </row>
    <row r="676" spans="1:20" ht="16">
      <c r="A676" s="80" t="s">
        <v>495</v>
      </c>
      <c r="B676" s="81" t="s">
        <v>67</v>
      </c>
      <c r="C676" s="18"/>
      <c r="D676" s="21">
        <v>0.01</v>
      </c>
      <c r="E676" s="21">
        <v>0.01</v>
      </c>
      <c r="F676" s="21">
        <v>0.01</v>
      </c>
      <c r="G676" s="21">
        <v>0.01</v>
      </c>
      <c r="H676" s="21">
        <v>0.01</v>
      </c>
      <c r="I676" s="21">
        <v>0.01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0</v>
      </c>
      <c r="P676" s="18"/>
      <c r="Q676" s="82">
        <f t="shared" si="13"/>
        <v>1.148957564758456E-9</v>
      </c>
      <c r="R676" s="14">
        <v>1516.1000000000013</v>
      </c>
      <c r="S676" s="15">
        <v>0.40129698253043983</v>
      </c>
      <c r="T676" s="16">
        <v>8.5542226144864054E-5</v>
      </c>
    </row>
    <row r="677" spans="1:20" ht="16" hidden="1">
      <c r="A677" s="80" t="s">
        <v>561</v>
      </c>
      <c r="B677" s="81" t="s">
        <v>60</v>
      </c>
      <c r="C677" s="18"/>
      <c r="D677" s="21">
        <v>0</v>
      </c>
      <c r="E677" s="21">
        <v>0</v>
      </c>
      <c r="F677" s="21">
        <v>0</v>
      </c>
      <c r="G677" s="21">
        <v>0</v>
      </c>
      <c r="H677" s="21">
        <v>0.01</v>
      </c>
      <c r="I677" s="21">
        <v>0.01</v>
      </c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>
        <v>0</v>
      </c>
      <c r="P677" s="18"/>
      <c r="Q677" s="82">
        <f t="shared" si="13"/>
        <v>1.148957564758456E-9</v>
      </c>
      <c r="R677" s="14">
        <v>9.9999999999909051E-3</v>
      </c>
      <c r="S677" s="15">
        <v>5.0279048720352477E-5</v>
      </c>
      <c r="T677" s="16">
        <v>3.2138321490363725E-6</v>
      </c>
    </row>
    <row r="678" spans="1:20" ht="16" hidden="1">
      <c r="A678" s="80" t="s">
        <v>623</v>
      </c>
      <c r="B678" s="81" t="s">
        <v>85</v>
      </c>
      <c r="C678" s="18"/>
      <c r="D678" s="21">
        <v>0.01</v>
      </c>
      <c r="E678" s="21">
        <v>0.01</v>
      </c>
      <c r="F678" s="21">
        <v>0.01</v>
      </c>
      <c r="G678" s="21">
        <v>0.01</v>
      </c>
      <c r="H678" s="21">
        <v>0.01</v>
      </c>
      <c r="I678" s="21">
        <v>0.01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0</v>
      </c>
      <c r="P678" s="18"/>
      <c r="Q678" s="82">
        <f t="shared" si="13"/>
        <v>1.148957564758456E-9</v>
      </c>
      <c r="R678" s="14">
        <v>-1558.409999999998</v>
      </c>
      <c r="S678" s="15">
        <v>-0.16768925177329366</v>
      </c>
      <c r="T678" s="16">
        <v>1.2498284609231179E-4</v>
      </c>
    </row>
    <row r="679" spans="1:20" ht="16" hidden="1">
      <c r="A679" s="80" t="s">
        <v>763</v>
      </c>
      <c r="B679" s="81" t="s">
        <v>66</v>
      </c>
      <c r="C679" s="18"/>
      <c r="D679" s="21">
        <v>0.01</v>
      </c>
      <c r="E679" s="21">
        <v>0.01</v>
      </c>
      <c r="F679" s="21">
        <v>0.01</v>
      </c>
      <c r="G679" s="21">
        <v>0.01</v>
      </c>
      <c r="H679" s="21">
        <v>0.01</v>
      </c>
      <c r="I679" s="21">
        <v>0.01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18"/>
      <c r="Q679" s="82">
        <f t="shared" si="13"/>
        <v>1.148957564758456E-9</v>
      </c>
      <c r="R679" s="14">
        <v>0</v>
      </c>
      <c r="S679" s="15">
        <v>0</v>
      </c>
      <c r="T679" s="16">
        <v>0</v>
      </c>
    </row>
    <row r="680" spans="1:20" ht="16" hidden="1">
      <c r="A680" s="80" t="s">
        <v>811</v>
      </c>
      <c r="B680" s="81" t="s">
        <v>78</v>
      </c>
      <c r="C680" s="18"/>
      <c r="D680" s="21">
        <v>0.01</v>
      </c>
      <c r="E680" s="21">
        <v>0.01</v>
      </c>
      <c r="F680" s="21">
        <v>0.01</v>
      </c>
      <c r="G680" s="21">
        <v>0.01</v>
      </c>
      <c r="H680" s="21">
        <v>0.01</v>
      </c>
      <c r="I680" s="21">
        <v>0.01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0</v>
      </c>
      <c r="P680" s="18"/>
      <c r="Q680" s="82">
        <f t="shared" si="13"/>
        <v>1.148957564758456E-9</v>
      </c>
      <c r="R680" s="14">
        <v>0</v>
      </c>
      <c r="S680" s="15">
        <v>0</v>
      </c>
      <c r="T680" s="16">
        <v>3.0946618310434872E-8</v>
      </c>
    </row>
    <row r="681" spans="1:20" ht="16" hidden="1">
      <c r="A681" s="80" t="s">
        <v>946</v>
      </c>
      <c r="B681" s="81" t="s">
        <v>78</v>
      </c>
      <c r="C681" s="18"/>
      <c r="D681" s="21">
        <v>0</v>
      </c>
      <c r="E681" s="21">
        <v>0</v>
      </c>
      <c r="F681" s="21">
        <v>0</v>
      </c>
      <c r="G681" s="21">
        <v>0</v>
      </c>
      <c r="H681" s="21">
        <v>0.01</v>
      </c>
      <c r="I681" s="21">
        <v>0.01</v>
      </c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>
        <v>0</v>
      </c>
      <c r="P681" s="18"/>
      <c r="Q681" s="82">
        <f t="shared" si="13"/>
        <v>1.148957564758456E-9</v>
      </c>
      <c r="R681" s="14">
        <v>0</v>
      </c>
      <c r="S681" s="15">
        <v>0</v>
      </c>
      <c r="T681" s="16">
        <v>0</v>
      </c>
    </row>
    <row r="682" spans="1:20" ht="16" hidden="1">
      <c r="A682" s="80" t="s">
        <v>1017</v>
      </c>
      <c r="B682" s="81" t="s">
        <v>76</v>
      </c>
      <c r="C682" s="18"/>
      <c r="D682" s="21">
        <v>0</v>
      </c>
      <c r="E682" s="21">
        <v>0</v>
      </c>
      <c r="F682" s="21">
        <v>0.01</v>
      </c>
      <c r="G682" s="21">
        <v>0.01</v>
      </c>
      <c r="H682" s="21">
        <v>0.02</v>
      </c>
      <c r="I682" s="21">
        <v>0.01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18"/>
      <c r="Q682" s="82">
        <f t="shared" si="13"/>
        <v>1.148957564758456E-9</v>
      </c>
      <c r="R682" s="14">
        <v>93.910000000000025</v>
      </c>
      <c r="S682" s="15">
        <v>0.50000000000000011</v>
      </c>
      <c r="T682" s="16">
        <v>4.552201766455592E-6</v>
      </c>
    </row>
    <row r="683" spans="1:20" ht="16">
      <c r="A683" s="80" t="s">
        <v>1051</v>
      </c>
      <c r="B683" s="81" t="s">
        <v>67</v>
      </c>
      <c r="C683" s="18"/>
      <c r="D683" s="21">
        <v>0.01</v>
      </c>
      <c r="E683" s="21">
        <v>0.01</v>
      </c>
      <c r="F683" s="21">
        <v>0.01</v>
      </c>
      <c r="G683" s="21">
        <v>0.01</v>
      </c>
      <c r="H683" s="21">
        <v>0.01</v>
      </c>
      <c r="I683" s="21">
        <v>0.01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</v>
      </c>
      <c r="P683" s="18"/>
      <c r="Q683" s="82">
        <f t="shared" si="13"/>
        <v>1.148957564758456E-9</v>
      </c>
      <c r="R683" s="14">
        <v>12792</v>
      </c>
      <c r="S683" s="15">
        <v>0.59828819980356396</v>
      </c>
      <c r="T683" s="16">
        <v>5.521683561036699E-4</v>
      </c>
    </row>
    <row r="684" spans="1:20" ht="16" hidden="1">
      <c r="A684" s="80" t="s">
        <v>1056</v>
      </c>
      <c r="B684" s="81" t="s">
        <v>85</v>
      </c>
      <c r="C684" s="18"/>
      <c r="D684" s="21">
        <v>4688.1000000000004</v>
      </c>
      <c r="E684" s="21">
        <v>0.01</v>
      </c>
      <c r="F684" s="21">
        <v>0.01</v>
      </c>
      <c r="G684" s="21">
        <v>0.01</v>
      </c>
      <c r="H684" s="21">
        <v>0.01</v>
      </c>
      <c r="I684" s="21">
        <v>0.01</v>
      </c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>
        <v>0</v>
      </c>
      <c r="P684" s="18"/>
      <c r="Q684" s="82">
        <f t="shared" si="13"/>
        <v>1.148957564758456E-9</v>
      </c>
      <c r="R684" s="14">
        <v>0</v>
      </c>
      <c r="S684" s="15">
        <v>0</v>
      </c>
      <c r="T684" s="16">
        <v>0</v>
      </c>
    </row>
    <row r="685" spans="1:20" ht="16" hidden="1">
      <c r="A685" s="80" t="s">
        <v>1072</v>
      </c>
      <c r="B685" s="81" t="s">
        <v>78</v>
      </c>
      <c r="C685" s="18"/>
      <c r="D685" s="21">
        <v>0.01</v>
      </c>
      <c r="E685" s="21">
        <v>0.01</v>
      </c>
      <c r="F685" s="21">
        <v>0.01</v>
      </c>
      <c r="G685" s="21">
        <v>0.01</v>
      </c>
      <c r="H685" s="21">
        <v>0.01</v>
      </c>
      <c r="I685" s="21">
        <v>0.01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18"/>
      <c r="Q685" s="82">
        <f t="shared" si="13"/>
        <v>1.148957564758456E-9</v>
      </c>
      <c r="R685" s="14">
        <v>380199.75999999978</v>
      </c>
      <c r="S685" s="15">
        <v>0.14755236932618862</v>
      </c>
      <c r="T685" s="16">
        <v>4.777784668345901E-2</v>
      </c>
    </row>
    <row r="686" spans="1:20" ht="16" hidden="1">
      <c r="A686" s="80" t="s">
        <v>1115</v>
      </c>
      <c r="B686" s="81" t="s">
        <v>162</v>
      </c>
      <c r="C686" s="18"/>
      <c r="D686" s="21">
        <v>3640.71</v>
      </c>
      <c r="E686" s="21">
        <v>0.01</v>
      </c>
      <c r="F686" s="21">
        <v>0.01</v>
      </c>
      <c r="G686" s="21">
        <v>0.01</v>
      </c>
      <c r="H686" s="21">
        <v>0.01</v>
      </c>
      <c r="I686" s="21">
        <v>0.01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0</v>
      </c>
      <c r="P686" s="18"/>
      <c r="Q686" s="82">
        <f t="shared" si="13"/>
        <v>1.148957564758456E-9</v>
      </c>
      <c r="R686" s="14">
        <v>0</v>
      </c>
      <c r="S686" s="15">
        <v>0</v>
      </c>
      <c r="T686" s="16">
        <v>3.3652975214097609E-5</v>
      </c>
    </row>
    <row r="687" spans="1:20" ht="16" hidden="1">
      <c r="A687" s="80" t="s">
        <v>1144</v>
      </c>
      <c r="B687" s="81" t="s">
        <v>78</v>
      </c>
      <c r="C687" s="18"/>
      <c r="D687" s="21">
        <v>9.9999999999999967E-3</v>
      </c>
      <c r="E687" s="21">
        <v>9.9999999999999967E-3</v>
      </c>
      <c r="F687" s="21">
        <v>9.9999999999999967E-3</v>
      </c>
      <c r="G687" s="21">
        <v>0.01</v>
      </c>
      <c r="H687" s="21">
        <v>9.9999999999999967E-3</v>
      </c>
      <c r="I687" s="21">
        <v>0.01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0</v>
      </c>
      <c r="P687" s="18"/>
      <c r="Q687" s="82">
        <f t="shared" si="13"/>
        <v>1.148957564758456E-9</v>
      </c>
      <c r="R687" s="14">
        <v>0</v>
      </c>
      <c r="S687" s="15">
        <v>0</v>
      </c>
      <c r="T687" s="16">
        <v>0</v>
      </c>
    </row>
    <row r="688" spans="1:20" ht="16">
      <c r="A688" s="80" t="s">
        <v>1152</v>
      </c>
      <c r="B688" s="81" t="s">
        <v>67</v>
      </c>
      <c r="C688" s="18"/>
      <c r="D688" s="21">
        <v>0.01</v>
      </c>
      <c r="E688" s="21">
        <v>0.01</v>
      </c>
      <c r="F688" s="21">
        <v>0.01</v>
      </c>
      <c r="G688" s="21">
        <v>0.01</v>
      </c>
      <c r="H688" s="21">
        <v>0.01</v>
      </c>
      <c r="I688" s="21">
        <v>0.01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</v>
      </c>
      <c r="P688" s="18"/>
      <c r="Q688" s="82">
        <f t="shared" si="13"/>
        <v>1.148957564758456E-9</v>
      </c>
      <c r="R688" s="14">
        <v>0</v>
      </c>
      <c r="S688" s="15">
        <v>0</v>
      </c>
      <c r="T688" s="16">
        <v>0</v>
      </c>
    </row>
    <row r="689" spans="1:20" ht="16" hidden="1">
      <c r="A689" s="80" t="s">
        <v>1171</v>
      </c>
      <c r="B689" s="81" t="s">
        <v>78</v>
      </c>
      <c r="C689" s="18"/>
      <c r="D689" s="21">
        <v>0</v>
      </c>
      <c r="E689" s="21">
        <v>0</v>
      </c>
      <c r="F689" s="21">
        <v>0</v>
      </c>
      <c r="G689" s="21">
        <v>0</v>
      </c>
      <c r="H689" s="21">
        <v>0.01</v>
      </c>
      <c r="I689" s="21">
        <v>0.01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</v>
      </c>
      <c r="P689" s="18"/>
      <c r="Q689" s="82">
        <f t="shared" si="13"/>
        <v>1.148957564758456E-9</v>
      </c>
      <c r="R689" s="14">
        <v>102870.88</v>
      </c>
      <c r="S689" s="15">
        <v>0.44586570476886722</v>
      </c>
      <c r="T689" s="16">
        <v>5.3901984005481317E-3</v>
      </c>
    </row>
    <row r="690" spans="1:20" ht="16" hidden="1">
      <c r="A690" s="80" t="s">
        <v>1192</v>
      </c>
      <c r="B690" s="81" t="s">
        <v>66</v>
      </c>
      <c r="C690" s="18"/>
      <c r="D690" s="21">
        <v>0.01</v>
      </c>
      <c r="E690" s="21">
        <v>0.01</v>
      </c>
      <c r="F690" s="21">
        <v>0.01</v>
      </c>
      <c r="G690" s="21">
        <v>0.01</v>
      </c>
      <c r="H690" s="21">
        <v>0.01</v>
      </c>
      <c r="I690" s="21">
        <v>0.01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</v>
      </c>
      <c r="P690" s="18"/>
      <c r="Q690" s="82">
        <f t="shared" si="13"/>
        <v>1.148957564758456E-9</v>
      </c>
      <c r="R690" s="14">
        <v>0</v>
      </c>
      <c r="S690" s="15">
        <v>0</v>
      </c>
      <c r="T690" s="16">
        <v>0</v>
      </c>
    </row>
    <row r="691" spans="1:20" ht="16" hidden="1">
      <c r="A691" s="80" t="s">
        <v>1190</v>
      </c>
      <c r="B691" s="81" t="s">
        <v>60</v>
      </c>
      <c r="C691" s="18"/>
      <c r="D691" s="21">
        <v>9.9999999999999985E-3</v>
      </c>
      <c r="E691" s="21">
        <v>9.9999999999999985E-3</v>
      </c>
      <c r="F691" s="21">
        <v>9.9999999999999985E-3</v>
      </c>
      <c r="G691" s="21">
        <v>9.9999999999999985E-3</v>
      </c>
      <c r="H691" s="21">
        <v>9.9999999999999985E-3</v>
      </c>
      <c r="I691" s="21">
        <v>9.9999999999999985E-3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18"/>
      <c r="Q691" s="82">
        <f t="shared" si="13"/>
        <v>1.1489575647584558E-9</v>
      </c>
      <c r="R691" s="14">
        <v>0</v>
      </c>
      <c r="S691" s="15">
        <v>0</v>
      </c>
      <c r="T691" s="16">
        <v>0</v>
      </c>
    </row>
    <row r="692" spans="1:20" ht="16" hidden="1">
      <c r="A692" s="80" t="s">
        <v>125</v>
      </c>
      <c r="B692" s="81" t="s">
        <v>78</v>
      </c>
      <c r="C692" s="18"/>
      <c r="D692" s="21">
        <v>9.9999999999999967E-3</v>
      </c>
      <c r="E692" s="21">
        <v>9.9999999999999967E-3</v>
      </c>
      <c r="F692" s="21">
        <v>9.9999999999999967E-3</v>
      </c>
      <c r="G692" s="21">
        <v>9.9999999999999967E-3</v>
      </c>
      <c r="H692" s="21">
        <v>9.9999999999999967E-3</v>
      </c>
      <c r="I692" s="21">
        <v>9.9999999999999967E-3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</v>
      </c>
      <c r="P692" s="18"/>
      <c r="Q692" s="82">
        <f t="shared" si="13"/>
        <v>1.1489575647584555E-9</v>
      </c>
      <c r="R692" s="14">
        <v>0</v>
      </c>
      <c r="S692" s="15">
        <v>0</v>
      </c>
      <c r="T692" s="16">
        <v>0</v>
      </c>
    </row>
    <row r="693" spans="1:20" ht="16" hidden="1">
      <c r="A693" s="80" t="s">
        <v>609</v>
      </c>
      <c r="B693" s="81" t="s">
        <v>76</v>
      </c>
      <c r="C693" s="18"/>
      <c r="D693" s="21">
        <v>9.9999999999999967E-3</v>
      </c>
      <c r="E693" s="21">
        <v>9.9999999999999967E-3</v>
      </c>
      <c r="F693" s="21">
        <v>9.9999999999999967E-3</v>
      </c>
      <c r="G693" s="21">
        <v>9.9999999999999967E-3</v>
      </c>
      <c r="H693" s="21">
        <v>9.9999999999999967E-3</v>
      </c>
      <c r="I693" s="21">
        <v>9.9999999999999967E-3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18"/>
      <c r="Q693" s="82">
        <f t="shared" si="13"/>
        <v>1.1489575647584555E-9</v>
      </c>
      <c r="R693" s="14">
        <v>0</v>
      </c>
      <c r="S693" s="15">
        <v>0</v>
      </c>
      <c r="T693" s="16">
        <v>0</v>
      </c>
    </row>
    <row r="694" spans="1:20" ht="16" hidden="1">
      <c r="A694" s="80" t="s">
        <v>1132</v>
      </c>
      <c r="B694" s="81" t="s">
        <v>62</v>
      </c>
      <c r="C694" s="18"/>
      <c r="D694" s="21">
        <v>0.01</v>
      </c>
      <c r="E694" s="21">
        <v>0.01</v>
      </c>
      <c r="F694" s="21">
        <v>0.01</v>
      </c>
      <c r="G694" s="21">
        <v>0.01</v>
      </c>
      <c r="H694" s="21">
        <v>0.01</v>
      </c>
      <c r="I694" s="21">
        <v>9.9999999999999967E-3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0</v>
      </c>
      <c r="P694" s="18"/>
      <c r="Q694" s="82">
        <f t="shared" si="13"/>
        <v>1.1489575647584555E-9</v>
      </c>
      <c r="R694" s="14">
        <v>5.0500000000465661</v>
      </c>
      <c r="S694" s="15">
        <v>7.0207904234507921E-6</v>
      </c>
      <c r="T694" s="16">
        <v>1.1622426964195165E-2</v>
      </c>
    </row>
    <row r="695" spans="1:20" ht="16" hidden="1">
      <c r="A695" s="80" t="s">
        <v>213</v>
      </c>
      <c r="B695" s="81" t="s">
        <v>78</v>
      </c>
      <c r="C695" s="18"/>
      <c r="D695" s="21">
        <v>9.9999999999999915E-3</v>
      </c>
      <c r="E695" s="21">
        <v>0.01</v>
      </c>
      <c r="F695" s="21">
        <v>1.0000000000000009E-2</v>
      </c>
      <c r="G695" s="21">
        <v>1.0000000000000009E-2</v>
      </c>
      <c r="H695" s="21">
        <v>9.9999999999999967E-3</v>
      </c>
      <c r="I695" s="21">
        <v>9.9999999999999915E-3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</v>
      </c>
      <c r="P695" s="18"/>
      <c r="Q695" s="82">
        <f t="shared" si="13"/>
        <v>1.1489575647584549E-9</v>
      </c>
      <c r="R695" s="14">
        <v>2.0000000018626451E-2</v>
      </c>
      <c r="S695" s="15">
        <v>1.9054457256390295E-8</v>
      </c>
      <c r="T695" s="16">
        <v>1.6959843059499411E-2</v>
      </c>
    </row>
    <row r="696" spans="1:20" ht="16" hidden="1">
      <c r="A696" s="80" t="s">
        <v>569</v>
      </c>
      <c r="B696" s="81" t="s">
        <v>78</v>
      </c>
      <c r="C696" s="18"/>
      <c r="D696" s="21">
        <v>1.9999999999999983E-2</v>
      </c>
      <c r="E696" s="21">
        <v>24301.27</v>
      </c>
      <c r="F696" s="21">
        <v>1.9999999999999997E-2</v>
      </c>
      <c r="G696" s="21">
        <v>1.999999999999999E-2</v>
      </c>
      <c r="H696" s="21">
        <v>9.9999999999999898E-3</v>
      </c>
      <c r="I696" s="21">
        <v>9.9999999999999759E-3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0</v>
      </c>
      <c r="P696" s="18"/>
      <c r="Q696" s="82">
        <f t="shared" si="13"/>
        <v>1.1489575647584531E-9</v>
      </c>
      <c r="R696" s="14">
        <v>0</v>
      </c>
      <c r="S696" s="15">
        <v>0</v>
      </c>
      <c r="T696" s="16">
        <v>0</v>
      </c>
    </row>
    <row r="697" spans="1:20" ht="16" hidden="1">
      <c r="A697" s="80" t="s">
        <v>104</v>
      </c>
      <c r="B697" s="81" t="s">
        <v>78</v>
      </c>
      <c r="C697" s="18"/>
      <c r="D697" s="21">
        <v>9.9999999999997868E-3</v>
      </c>
      <c r="E697" s="21">
        <v>9.9999999999997868E-3</v>
      </c>
      <c r="F697" s="21">
        <v>9.9999999999997868E-3</v>
      </c>
      <c r="G697" s="21">
        <v>9.9999999999997868E-3</v>
      </c>
      <c r="H697" s="21">
        <v>9.9999999999997868E-3</v>
      </c>
      <c r="I697" s="21">
        <v>9.9999999999997868E-3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</v>
      </c>
      <c r="P697" s="18"/>
      <c r="Q697" s="82">
        <f t="shared" si="13"/>
        <v>1.1489575647584314E-9</v>
      </c>
      <c r="R697" s="14">
        <v>187.81999999999971</v>
      </c>
      <c r="S697" s="15">
        <v>9.0905570882338568E-2</v>
      </c>
      <c r="T697" s="16">
        <v>3.6418906774037506E-5</v>
      </c>
    </row>
    <row r="698" spans="1:20" ht="16" hidden="1">
      <c r="A698" s="80" t="s">
        <v>398</v>
      </c>
      <c r="B698" s="81" t="s">
        <v>62</v>
      </c>
      <c r="C698" s="18"/>
      <c r="D698" s="21">
        <v>42522.310000000005</v>
      </c>
      <c r="E698" s="21">
        <v>42522.310000000005</v>
      </c>
      <c r="F698" s="21">
        <v>42522.310000000005</v>
      </c>
      <c r="G698" s="21">
        <v>42522.310000000005</v>
      </c>
      <c r="H698" s="21">
        <v>42522.310000000005</v>
      </c>
      <c r="I698" s="21">
        <v>9.9999999999992924E-3</v>
      </c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>
        <v>0</v>
      </c>
      <c r="P698" s="18"/>
      <c r="Q698" s="82">
        <f t="shared" si="13"/>
        <v>1.1489575647583745E-9</v>
      </c>
      <c r="R698" s="14">
        <v>26488</v>
      </c>
      <c r="S698" s="15">
        <v>0.37745205612191096</v>
      </c>
      <c r="T698" s="16">
        <v>1.5618965715838216E-3</v>
      </c>
    </row>
    <row r="699" spans="1:20" ht="16">
      <c r="A699" s="80" t="s">
        <v>251</v>
      </c>
      <c r="B699" s="81" t="s">
        <v>67</v>
      </c>
      <c r="C699" s="18"/>
      <c r="D699" s="21">
        <v>9.9999999999986506E-3</v>
      </c>
      <c r="E699" s="21">
        <v>9.9999999999984372E-3</v>
      </c>
      <c r="F699" s="21">
        <v>9.999999999999511E-3</v>
      </c>
      <c r="G699" s="21">
        <v>9.9999999999982239E-3</v>
      </c>
      <c r="H699" s="21">
        <v>9.9999999999982239E-3</v>
      </c>
      <c r="I699" s="21">
        <v>9.9999999999988657E-3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</v>
      </c>
      <c r="P699" s="18"/>
      <c r="Q699" s="82">
        <f t="shared" si="13"/>
        <v>1.1489575647583255E-9</v>
      </c>
      <c r="R699" s="14">
        <v>0</v>
      </c>
      <c r="S699" s="15">
        <v>0</v>
      </c>
      <c r="T699" s="16">
        <v>-1.6158029909685129E-10</v>
      </c>
    </row>
    <row r="700" spans="1:20" ht="16" hidden="1">
      <c r="A700" s="80" t="s">
        <v>277</v>
      </c>
      <c r="B700" s="81" t="s">
        <v>89</v>
      </c>
      <c r="C700" s="18"/>
      <c r="D700" s="21">
        <v>0</v>
      </c>
      <c r="E700" s="21">
        <v>1.0231399061311208E-14</v>
      </c>
      <c r="F700" s="21">
        <v>1.0231399061311208E-14</v>
      </c>
      <c r="G700" s="21">
        <v>1.0231399061311208E-14</v>
      </c>
      <c r="H700" s="21">
        <v>1.0231399061311208E-14</v>
      </c>
      <c r="I700" s="21">
        <v>1.0231399061311208E-14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0</v>
      </c>
      <c r="P700" s="18"/>
      <c r="Q700" s="82">
        <f t="shared" si="13"/>
        <v>1.1755443349556077E-21</v>
      </c>
      <c r="R700" s="14">
        <v>0</v>
      </c>
      <c r="S700" s="15">
        <v>0</v>
      </c>
      <c r="T700" s="16">
        <v>2.4237044864527693E-9</v>
      </c>
    </row>
    <row r="701" spans="1:20" ht="16" hidden="1">
      <c r="A701" s="80" t="s">
        <v>1178</v>
      </c>
      <c r="B701" s="81" t="s">
        <v>62</v>
      </c>
      <c r="C701" s="18"/>
      <c r="D701" s="21">
        <v>0</v>
      </c>
      <c r="E701" s="21">
        <v>1.5629858518551032E-15</v>
      </c>
      <c r="F701" s="21">
        <v>1.5629858518551032E-15</v>
      </c>
      <c r="G701" s="21">
        <v>1.5629858518551032E-15</v>
      </c>
      <c r="H701" s="21">
        <v>1.5629858518551032E-15</v>
      </c>
      <c r="I701" s="21">
        <v>1.5629858518551032E-15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18"/>
      <c r="Q701" s="82">
        <f t="shared" si="13"/>
        <v>1.79580441809936E-22</v>
      </c>
      <c r="R701" s="14">
        <v>-32870.150000000038</v>
      </c>
      <c r="S701" s="15">
        <v>-0.66700141719398887</v>
      </c>
      <c r="T701" s="16">
        <v>2.651586029678029E-4</v>
      </c>
    </row>
    <row r="702" spans="1:20" ht="16" hidden="1">
      <c r="A702" s="80" t="s">
        <v>369</v>
      </c>
      <c r="B702" s="81" t="s">
        <v>162</v>
      </c>
      <c r="C702" s="18"/>
      <c r="D702" s="21">
        <v>-0.01</v>
      </c>
      <c r="E702" s="21">
        <v>-9.9999999999995561E-3</v>
      </c>
      <c r="F702" s="21">
        <v>-9.9999999999995561E-3</v>
      </c>
      <c r="G702" s="21">
        <v>-1.0000000000000198E-2</v>
      </c>
      <c r="H702" s="21">
        <v>-6.4184768611141862E-16</v>
      </c>
      <c r="I702" s="21">
        <v>5.4643789493269423E-16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18"/>
      <c r="Q702" s="82">
        <f t="shared" si="13"/>
        <v>6.2783395305360538E-23</v>
      </c>
      <c r="R702" s="14">
        <v>0</v>
      </c>
      <c r="S702" s="15">
        <v>0</v>
      </c>
      <c r="T702" s="16">
        <v>1.6158029909685124E-10</v>
      </c>
    </row>
    <row r="703" spans="1:20" ht="16">
      <c r="A703" s="80" t="s">
        <v>906</v>
      </c>
      <c r="B703" s="81" t="s">
        <v>67</v>
      </c>
      <c r="C703" s="18"/>
      <c r="D703" s="21">
        <v>3.4694469519536142E-18</v>
      </c>
      <c r="E703" s="21">
        <v>3.4694469519536142E-18</v>
      </c>
      <c r="F703" s="21">
        <v>3.4694469519536142E-18</v>
      </c>
      <c r="G703" s="21">
        <v>3.4694469519536142E-18</v>
      </c>
      <c r="H703" s="21">
        <v>3.4694469519536142E-18</v>
      </c>
      <c r="I703" s="21">
        <v>3.4694469519536142E-18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</v>
      </c>
      <c r="P703" s="18"/>
      <c r="Q703" s="82">
        <f t="shared" si="13"/>
        <v>3.986247320975272E-25</v>
      </c>
      <c r="R703" s="14">
        <v>5136.74</v>
      </c>
      <c r="S703" s="15">
        <v>0</v>
      </c>
      <c r="T703" s="16">
        <v>8.2999598558275992E-5</v>
      </c>
    </row>
    <row r="704" spans="1:20" ht="16" hidden="1">
      <c r="A704" s="80" t="s">
        <v>64</v>
      </c>
      <c r="B704" s="81" t="s">
        <v>60</v>
      </c>
      <c r="C704" s="18"/>
      <c r="D704" s="21">
        <v>0</v>
      </c>
      <c r="E704" s="21">
        <v>0</v>
      </c>
      <c r="F704" s="21">
        <v>0</v>
      </c>
      <c r="G704" s="21">
        <v>0</v>
      </c>
      <c r="H704" s="21">
        <v>0</v>
      </c>
      <c r="I704" s="21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18"/>
      <c r="Q704" s="82">
        <f t="shared" si="13"/>
        <v>0</v>
      </c>
      <c r="R704" s="14">
        <v>0</v>
      </c>
      <c r="S704" s="15">
        <v>0</v>
      </c>
      <c r="T704" s="16">
        <v>0</v>
      </c>
    </row>
    <row r="705" spans="1:20" ht="16" hidden="1">
      <c r="A705" s="80" t="s">
        <v>65</v>
      </c>
      <c r="B705" s="81" t="s">
        <v>66</v>
      </c>
      <c r="C705" s="18"/>
      <c r="D705" s="21">
        <v>0</v>
      </c>
      <c r="E705" s="21">
        <v>0</v>
      </c>
      <c r="F705" s="21">
        <v>0</v>
      </c>
      <c r="G705" s="21">
        <v>0</v>
      </c>
      <c r="H705" s="21">
        <v>0</v>
      </c>
      <c r="I705" s="21">
        <v>0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</v>
      </c>
      <c r="P705" s="18"/>
      <c r="Q705" s="82">
        <f t="shared" si="13"/>
        <v>0</v>
      </c>
      <c r="R705" s="14">
        <v>0</v>
      </c>
      <c r="S705" s="15">
        <v>0</v>
      </c>
      <c r="T705" s="16">
        <v>0</v>
      </c>
    </row>
    <row r="706" spans="1:20" ht="16">
      <c r="A706" s="80" t="s">
        <v>65</v>
      </c>
      <c r="B706" s="81" t="s">
        <v>67</v>
      </c>
      <c r="C706" s="18"/>
      <c r="D706" s="21">
        <v>0</v>
      </c>
      <c r="E706" s="21">
        <v>0</v>
      </c>
      <c r="F706" s="21">
        <v>0</v>
      </c>
      <c r="G706" s="21">
        <v>0</v>
      </c>
      <c r="H706" s="21">
        <v>0</v>
      </c>
      <c r="I706" s="21">
        <v>0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</v>
      </c>
      <c r="P706" s="18"/>
      <c r="Q706" s="82">
        <f t="shared" si="13"/>
        <v>0</v>
      </c>
      <c r="R706" s="14">
        <v>0</v>
      </c>
      <c r="S706" s="15">
        <v>0</v>
      </c>
      <c r="T706" s="16">
        <v>2.3190053000469828E-3</v>
      </c>
    </row>
    <row r="707" spans="1:20" ht="16" hidden="1">
      <c r="A707" s="80" t="s">
        <v>65</v>
      </c>
      <c r="B707" s="81" t="s">
        <v>62</v>
      </c>
      <c r="C707" s="18"/>
      <c r="D707" s="21">
        <v>0</v>
      </c>
      <c r="E707" s="21">
        <v>0</v>
      </c>
      <c r="F707" s="21">
        <v>0</v>
      </c>
      <c r="G707" s="21">
        <v>0</v>
      </c>
      <c r="H707" s="21">
        <v>0</v>
      </c>
      <c r="I707" s="21">
        <v>0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</v>
      </c>
      <c r="P707" s="18"/>
      <c r="Q707" s="82">
        <f t="shared" si="13"/>
        <v>0</v>
      </c>
      <c r="R707" s="14">
        <v>-42503.369999999995</v>
      </c>
      <c r="S707" s="15">
        <v>-0.33333335947505327</v>
      </c>
      <c r="T707" s="16">
        <v>1.3735412858645285E-3</v>
      </c>
    </row>
    <row r="708" spans="1:20" ht="16" hidden="1">
      <c r="A708" s="80" t="s">
        <v>70</v>
      </c>
      <c r="B708" s="81" t="s">
        <v>62</v>
      </c>
      <c r="C708" s="18"/>
      <c r="D708" s="21">
        <v>0</v>
      </c>
      <c r="E708" s="21">
        <v>0</v>
      </c>
      <c r="F708" s="21">
        <v>0</v>
      </c>
      <c r="G708" s="21">
        <v>0</v>
      </c>
      <c r="H708" s="21">
        <v>0</v>
      </c>
      <c r="I708" s="21">
        <v>0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0</v>
      </c>
      <c r="P708" s="18"/>
      <c r="Q708" s="82">
        <f t="shared" si="13"/>
        <v>0</v>
      </c>
      <c r="R708" s="14">
        <v>0</v>
      </c>
      <c r="S708" s="15">
        <v>0</v>
      </c>
      <c r="T708" s="16">
        <v>0</v>
      </c>
    </row>
    <row r="709" spans="1:20" ht="16" hidden="1">
      <c r="A709" s="80" t="s">
        <v>71</v>
      </c>
      <c r="B709" s="81" t="s">
        <v>60</v>
      </c>
      <c r="C709" s="18"/>
      <c r="D709" s="21">
        <v>0</v>
      </c>
      <c r="E709" s="21">
        <v>0</v>
      </c>
      <c r="F709" s="21">
        <v>0</v>
      </c>
      <c r="G709" s="21">
        <v>0</v>
      </c>
      <c r="H709" s="21">
        <v>0</v>
      </c>
      <c r="I709" s="21">
        <v>0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</v>
      </c>
      <c r="P709" s="18"/>
      <c r="Q709" s="82">
        <f t="shared" si="13"/>
        <v>0</v>
      </c>
      <c r="R709" s="14">
        <v>0</v>
      </c>
      <c r="S709" s="15">
        <v>0</v>
      </c>
      <c r="T709" s="16">
        <v>3.2316059819370253E-10</v>
      </c>
    </row>
    <row r="710" spans="1:20" ht="16" hidden="1">
      <c r="A710" s="80" t="s">
        <v>86</v>
      </c>
      <c r="B710" s="81" t="s">
        <v>62</v>
      </c>
      <c r="C710" s="18"/>
      <c r="D710" s="21">
        <v>0</v>
      </c>
      <c r="E710" s="21">
        <v>0</v>
      </c>
      <c r="F710" s="21">
        <v>0</v>
      </c>
      <c r="G710" s="21">
        <v>0</v>
      </c>
      <c r="H710" s="21">
        <v>0</v>
      </c>
      <c r="I710" s="21">
        <v>0</v>
      </c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>
        <v>0</v>
      </c>
      <c r="P710" s="18"/>
      <c r="Q710" s="82">
        <f t="shared" si="13"/>
        <v>0</v>
      </c>
      <c r="R710" s="14">
        <v>0</v>
      </c>
      <c r="S710" s="15">
        <v>0</v>
      </c>
      <c r="T710" s="16">
        <v>-1.6158029909685129E-10</v>
      </c>
    </row>
    <row r="711" spans="1:20" ht="16" hidden="1">
      <c r="A711" s="80" t="s">
        <v>88</v>
      </c>
      <c r="B711" s="81" t="s">
        <v>89</v>
      </c>
      <c r="C711" s="18"/>
      <c r="D711" s="21">
        <v>0</v>
      </c>
      <c r="E711" s="21">
        <v>0</v>
      </c>
      <c r="F711" s="21">
        <v>0</v>
      </c>
      <c r="G711" s="21">
        <v>0</v>
      </c>
      <c r="H711" s="21">
        <v>0</v>
      </c>
      <c r="I711" s="21">
        <v>0</v>
      </c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>
        <v>0</v>
      </c>
      <c r="P711" s="18"/>
      <c r="Q711" s="82">
        <f t="shared" si="13"/>
        <v>0</v>
      </c>
      <c r="R711" s="14">
        <v>0</v>
      </c>
      <c r="S711" s="15">
        <v>0</v>
      </c>
      <c r="T711" s="16">
        <v>-5.6059427619732405E-26</v>
      </c>
    </row>
    <row r="712" spans="1:20" ht="16">
      <c r="A712" s="80" t="s">
        <v>90</v>
      </c>
      <c r="B712" s="81" t="s">
        <v>67</v>
      </c>
      <c r="C712" s="18"/>
      <c r="D712" s="21">
        <v>0</v>
      </c>
      <c r="E712" s="21">
        <v>0</v>
      </c>
      <c r="F712" s="21">
        <v>0</v>
      </c>
      <c r="G712" s="21">
        <v>0</v>
      </c>
      <c r="H712" s="21">
        <v>0</v>
      </c>
      <c r="I712" s="21">
        <v>0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</v>
      </c>
      <c r="P712" s="18"/>
      <c r="Q712" s="82">
        <f t="shared" si="13"/>
        <v>0</v>
      </c>
      <c r="R712" s="14">
        <v>7285.1699999999983</v>
      </c>
      <c r="S712" s="15">
        <v>0.14014499715195841</v>
      </c>
      <c r="T712" s="16">
        <v>9.5765831777499481E-4</v>
      </c>
    </row>
    <row r="713" spans="1:20" ht="16" hidden="1">
      <c r="A713" s="80" t="s">
        <v>92</v>
      </c>
      <c r="B713" s="81" t="s">
        <v>62</v>
      </c>
      <c r="C713" s="18"/>
      <c r="D713" s="21">
        <v>0</v>
      </c>
      <c r="E713" s="21">
        <v>0</v>
      </c>
      <c r="F713" s="21">
        <v>0</v>
      </c>
      <c r="G713" s="21">
        <v>0</v>
      </c>
      <c r="H713" s="21">
        <v>0</v>
      </c>
      <c r="I713" s="21">
        <v>0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</v>
      </c>
      <c r="P713" s="18"/>
      <c r="Q713" s="82">
        <f t="shared" si="13"/>
        <v>0</v>
      </c>
      <c r="R713" s="14">
        <v>0</v>
      </c>
      <c r="S713" s="15">
        <v>0</v>
      </c>
      <c r="T713" s="16">
        <v>-1.6158029909685137E-10</v>
      </c>
    </row>
    <row r="714" spans="1:20" ht="16" hidden="1">
      <c r="A714" s="80" t="s">
        <v>94</v>
      </c>
      <c r="B714" s="81" t="s">
        <v>85</v>
      </c>
      <c r="C714" s="18"/>
      <c r="D714" s="21">
        <v>0</v>
      </c>
      <c r="E714" s="21">
        <v>0</v>
      </c>
      <c r="F714" s="21">
        <v>0</v>
      </c>
      <c r="G714" s="21">
        <v>0</v>
      </c>
      <c r="H714" s="21">
        <v>0</v>
      </c>
      <c r="I714" s="21">
        <v>0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</v>
      </c>
      <c r="P714" s="18"/>
      <c r="Q714" s="82">
        <f t="shared" si="13"/>
        <v>0</v>
      </c>
      <c r="R714" s="14">
        <v>786.04000000000087</v>
      </c>
      <c r="S714" s="15">
        <v>2.398451643298212E-2</v>
      </c>
      <c r="T714" s="16">
        <v>5.4224490203463697E-4</v>
      </c>
    </row>
    <row r="715" spans="1:20" ht="16" hidden="1">
      <c r="A715" s="80" t="s">
        <v>95</v>
      </c>
      <c r="B715" s="81" t="s">
        <v>66</v>
      </c>
      <c r="C715" s="18"/>
      <c r="D715" s="21">
        <v>0</v>
      </c>
      <c r="E715" s="21">
        <v>0</v>
      </c>
      <c r="F715" s="21">
        <v>0</v>
      </c>
      <c r="G715" s="21">
        <v>0</v>
      </c>
      <c r="H715" s="21">
        <v>0</v>
      </c>
      <c r="I715" s="21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18"/>
      <c r="Q715" s="82">
        <f t="shared" ref="Q715:Q756" si="14">IFERROR(I715/$I$4," ")</f>
        <v>0</v>
      </c>
      <c r="R715" s="14">
        <v>1.0000000000019327E-2</v>
      </c>
      <c r="S715" s="15">
        <v>7.0269130770988169E-5</v>
      </c>
      <c r="T715" s="16">
        <v>2.2996108167463879E-6</v>
      </c>
    </row>
    <row r="716" spans="1:20" ht="16" hidden="1">
      <c r="A716" s="80" t="s">
        <v>96</v>
      </c>
      <c r="B716" s="81" t="s">
        <v>66</v>
      </c>
      <c r="C716" s="18"/>
      <c r="D716" s="21">
        <v>0</v>
      </c>
      <c r="E716" s="21">
        <v>0</v>
      </c>
      <c r="F716" s="21">
        <v>0</v>
      </c>
      <c r="G716" s="21">
        <v>0</v>
      </c>
      <c r="H716" s="21">
        <v>0</v>
      </c>
      <c r="I716" s="21">
        <v>0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</v>
      </c>
      <c r="P716" s="18"/>
      <c r="Q716" s="82">
        <f t="shared" si="14"/>
        <v>0</v>
      </c>
      <c r="R716" s="14">
        <v>-59970.449999999953</v>
      </c>
      <c r="S716" s="15">
        <v>-0.17603021814726713</v>
      </c>
      <c r="T716" s="16">
        <v>4.5357569315150094E-3</v>
      </c>
    </row>
    <row r="717" spans="1:20" ht="16" hidden="1">
      <c r="A717" s="80" t="s">
        <v>97</v>
      </c>
      <c r="B717" s="81" t="s">
        <v>85</v>
      </c>
      <c r="C717" s="18"/>
      <c r="D717" s="21">
        <v>0</v>
      </c>
      <c r="E717" s="21">
        <v>0</v>
      </c>
      <c r="F717" s="21">
        <v>0</v>
      </c>
      <c r="G717" s="21">
        <v>0</v>
      </c>
      <c r="H717" s="21">
        <v>0</v>
      </c>
      <c r="I717" s="21">
        <v>0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0</v>
      </c>
      <c r="P717" s="18"/>
      <c r="Q717" s="82">
        <f t="shared" si="14"/>
        <v>0</v>
      </c>
      <c r="R717" s="14">
        <v>0</v>
      </c>
      <c r="S717" s="15">
        <v>0</v>
      </c>
      <c r="T717" s="16">
        <v>-1.6158029909685129E-10</v>
      </c>
    </row>
    <row r="718" spans="1:20" ht="16" hidden="1">
      <c r="A718" s="80" t="s">
        <v>98</v>
      </c>
      <c r="B718" s="81" t="s">
        <v>60</v>
      </c>
      <c r="C718" s="18"/>
      <c r="D718" s="21">
        <v>0</v>
      </c>
      <c r="E718" s="21">
        <v>0</v>
      </c>
      <c r="F718" s="21">
        <v>0</v>
      </c>
      <c r="G718" s="21">
        <v>0</v>
      </c>
      <c r="H718" s="21">
        <v>0</v>
      </c>
      <c r="I718" s="21">
        <v>0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18"/>
      <c r="Q718" s="82">
        <f t="shared" si="14"/>
        <v>0</v>
      </c>
      <c r="R718" s="14">
        <v>0</v>
      </c>
      <c r="S718" s="15">
        <v>0</v>
      </c>
      <c r="T718" s="16">
        <v>1.6158029909685129E-10</v>
      </c>
    </row>
    <row r="719" spans="1:20" ht="16" hidden="1">
      <c r="A719" s="80" t="s">
        <v>100</v>
      </c>
      <c r="B719" s="81" t="s">
        <v>62</v>
      </c>
      <c r="C719" s="18"/>
      <c r="D719" s="21">
        <v>0</v>
      </c>
      <c r="E719" s="21">
        <v>0</v>
      </c>
      <c r="F719" s="21">
        <v>0</v>
      </c>
      <c r="G719" s="21">
        <v>0</v>
      </c>
      <c r="H719" s="21">
        <v>0</v>
      </c>
      <c r="I719" s="21">
        <v>0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</v>
      </c>
      <c r="P719" s="18"/>
      <c r="Q719" s="82">
        <f t="shared" si="14"/>
        <v>0</v>
      </c>
      <c r="R719" s="14">
        <v>0</v>
      </c>
      <c r="S719" s="15">
        <v>0</v>
      </c>
      <c r="T719" s="16">
        <v>0</v>
      </c>
    </row>
    <row r="720" spans="1:20" ht="16" hidden="1">
      <c r="A720" s="80" t="s">
        <v>101</v>
      </c>
      <c r="B720" s="81" t="s">
        <v>62</v>
      </c>
      <c r="C720" s="18"/>
      <c r="D720" s="21">
        <v>0</v>
      </c>
      <c r="E720" s="21">
        <v>0</v>
      </c>
      <c r="F720" s="21">
        <v>0</v>
      </c>
      <c r="G720" s="21">
        <v>0</v>
      </c>
      <c r="H720" s="21">
        <v>0</v>
      </c>
      <c r="I720" s="21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18"/>
      <c r="Q720" s="82">
        <f t="shared" si="14"/>
        <v>0</v>
      </c>
      <c r="R720" s="14">
        <v>0</v>
      </c>
      <c r="S720" s="15">
        <v>0</v>
      </c>
      <c r="T720" s="16">
        <v>4.1636577002323482E-4</v>
      </c>
    </row>
    <row r="721" spans="1:20" ht="16" hidden="1">
      <c r="A721" s="80" t="s">
        <v>102</v>
      </c>
      <c r="B721" s="81" t="s">
        <v>62</v>
      </c>
      <c r="C721" s="18"/>
      <c r="D721" s="21">
        <v>0</v>
      </c>
      <c r="E721" s="21">
        <v>0</v>
      </c>
      <c r="F721" s="21">
        <v>0</v>
      </c>
      <c r="G721" s="21">
        <v>0</v>
      </c>
      <c r="H721" s="21">
        <v>0</v>
      </c>
      <c r="I721" s="21">
        <v>0</v>
      </c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>
        <v>0</v>
      </c>
      <c r="P721" s="18"/>
      <c r="Q721" s="82">
        <f t="shared" si="14"/>
        <v>0</v>
      </c>
      <c r="R721" s="14">
        <v>0.59000000000000008</v>
      </c>
      <c r="S721" s="15">
        <v>0.50427350427350526</v>
      </c>
      <c r="T721" s="16">
        <v>2.8438132641045796E-8</v>
      </c>
    </row>
    <row r="722" spans="1:20" ht="16" hidden="1">
      <c r="A722" s="80" t="s">
        <v>105</v>
      </c>
      <c r="B722" s="81" t="s">
        <v>76</v>
      </c>
      <c r="C722" s="18"/>
      <c r="D722" s="21">
        <v>0</v>
      </c>
      <c r="E722" s="21">
        <v>0</v>
      </c>
      <c r="F722" s="21">
        <v>0</v>
      </c>
      <c r="G722" s="21">
        <v>0</v>
      </c>
      <c r="H722" s="21">
        <v>0</v>
      </c>
      <c r="I722" s="21">
        <v>0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</v>
      </c>
      <c r="P722" s="18"/>
      <c r="Q722" s="82">
        <f t="shared" si="14"/>
        <v>0</v>
      </c>
      <c r="R722" s="14">
        <v>1.999999999998181E-2</v>
      </c>
      <c r="S722" s="15">
        <v>3.659317537275969E-5</v>
      </c>
      <c r="T722" s="16">
        <v>8.8314944077366025E-6</v>
      </c>
    </row>
    <row r="723" spans="1:20" ht="16" hidden="1">
      <c r="A723" s="80" t="s">
        <v>108</v>
      </c>
      <c r="B723" s="81" t="s">
        <v>66</v>
      </c>
      <c r="C723" s="18"/>
      <c r="D723" s="21">
        <v>0</v>
      </c>
      <c r="E723" s="21">
        <v>0</v>
      </c>
      <c r="F723" s="21">
        <v>0</v>
      </c>
      <c r="G723" s="21">
        <v>0</v>
      </c>
      <c r="H723" s="21">
        <v>0</v>
      </c>
      <c r="I723" s="21">
        <v>0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0</v>
      </c>
      <c r="P723" s="18"/>
      <c r="Q723" s="82">
        <f t="shared" si="14"/>
        <v>0</v>
      </c>
      <c r="R723" s="14">
        <v>0</v>
      </c>
      <c r="S723" s="15">
        <v>0</v>
      </c>
      <c r="T723" s="16">
        <v>0</v>
      </c>
    </row>
    <row r="724" spans="1:20" ht="16" hidden="1">
      <c r="A724" s="80" t="s">
        <v>111</v>
      </c>
      <c r="B724" s="81" t="s">
        <v>62</v>
      </c>
      <c r="C724" s="18"/>
      <c r="D724" s="21">
        <v>0</v>
      </c>
      <c r="E724" s="21">
        <v>0</v>
      </c>
      <c r="F724" s="21">
        <v>0</v>
      </c>
      <c r="G724" s="21">
        <v>0</v>
      </c>
      <c r="H724" s="21">
        <v>0</v>
      </c>
      <c r="I724" s="21">
        <v>0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</v>
      </c>
      <c r="P724" s="18"/>
      <c r="Q724" s="82">
        <f t="shared" si="14"/>
        <v>0</v>
      </c>
      <c r="R724" s="14">
        <v>0</v>
      </c>
      <c r="S724" s="15">
        <v>0</v>
      </c>
      <c r="T724" s="16">
        <v>0</v>
      </c>
    </row>
    <row r="725" spans="1:20" ht="16" hidden="1">
      <c r="A725" s="80" t="s">
        <v>112</v>
      </c>
      <c r="B725" s="81" t="s">
        <v>62</v>
      </c>
      <c r="C725" s="18"/>
      <c r="D725" s="21">
        <v>0</v>
      </c>
      <c r="E725" s="21">
        <v>0</v>
      </c>
      <c r="F725" s="21">
        <v>0</v>
      </c>
      <c r="G725" s="21">
        <v>0</v>
      </c>
      <c r="H725" s="21">
        <v>0</v>
      </c>
      <c r="I725" s="21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18"/>
      <c r="Q725" s="82">
        <f t="shared" si="14"/>
        <v>0</v>
      </c>
      <c r="R725" s="14">
        <v>0</v>
      </c>
      <c r="S725" s="15">
        <v>0</v>
      </c>
      <c r="T725" s="16">
        <v>-1.6158029909685094E-9</v>
      </c>
    </row>
    <row r="726" spans="1:20" ht="16">
      <c r="A726" s="80" t="s">
        <v>114</v>
      </c>
      <c r="B726" s="81" t="s">
        <v>67</v>
      </c>
      <c r="C726" s="18"/>
      <c r="D726" s="21">
        <v>0</v>
      </c>
      <c r="E726" s="21">
        <v>0</v>
      </c>
      <c r="F726" s="21">
        <v>0</v>
      </c>
      <c r="G726" s="21">
        <v>0</v>
      </c>
      <c r="H726" s="21">
        <v>0</v>
      </c>
      <c r="I726" s="21">
        <v>0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0</v>
      </c>
      <c r="P726" s="18"/>
      <c r="Q726" s="82">
        <f t="shared" si="14"/>
        <v>0</v>
      </c>
      <c r="R726" s="14">
        <v>0</v>
      </c>
      <c r="S726" s="15">
        <v>0</v>
      </c>
      <c r="T726" s="16">
        <v>1.615802990968513E-7</v>
      </c>
    </row>
    <row r="727" spans="1:20" ht="16">
      <c r="A727" s="80" t="s">
        <v>116</v>
      </c>
      <c r="B727" s="81" t="s">
        <v>67</v>
      </c>
      <c r="C727" s="18"/>
      <c r="D727" s="21">
        <v>0</v>
      </c>
      <c r="E727" s="21">
        <v>0</v>
      </c>
      <c r="F727" s="21">
        <v>0</v>
      </c>
      <c r="G727" s="21">
        <v>0</v>
      </c>
      <c r="H727" s="21">
        <v>0</v>
      </c>
      <c r="I727" s="21">
        <v>0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0</v>
      </c>
      <c r="P727" s="18"/>
      <c r="Q727" s="82">
        <f t="shared" si="14"/>
        <v>0</v>
      </c>
      <c r="R727" s="14">
        <v>0</v>
      </c>
      <c r="S727" s="15">
        <v>0</v>
      </c>
      <c r="T727" s="16">
        <v>0</v>
      </c>
    </row>
    <row r="728" spans="1:20" ht="16">
      <c r="A728" s="80" t="s">
        <v>120</v>
      </c>
      <c r="B728" s="81" t="s">
        <v>67</v>
      </c>
      <c r="C728" s="18"/>
      <c r="D728" s="21">
        <v>0</v>
      </c>
      <c r="E728" s="21">
        <v>0</v>
      </c>
      <c r="F728" s="21">
        <v>0</v>
      </c>
      <c r="G728" s="21">
        <v>0</v>
      </c>
      <c r="H728" s="21">
        <v>0</v>
      </c>
      <c r="I728" s="21">
        <v>0</v>
      </c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>
        <v>0</v>
      </c>
      <c r="P728" s="18"/>
      <c r="Q728" s="82">
        <f t="shared" si="14"/>
        <v>0</v>
      </c>
      <c r="R728" s="14">
        <v>5000.0000000000018</v>
      </c>
      <c r="S728" s="15">
        <v>0.48813871730812997</v>
      </c>
      <c r="T728" s="16">
        <v>2.4629668833303138E-4</v>
      </c>
    </row>
    <row r="729" spans="1:20" ht="16" hidden="1">
      <c r="A729" s="80" t="s">
        <v>122</v>
      </c>
      <c r="B729" s="81" t="s">
        <v>78</v>
      </c>
      <c r="C729" s="18"/>
      <c r="D729" s="21">
        <v>0</v>
      </c>
      <c r="E729" s="21">
        <v>0</v>
      </c>
      <c r="F729" s="21">
        <v>0</v>
      </c>
      <c r="G729" s="21">
        <v>0</v>
      </c>
      <c r="H729" s="21">
        <v>0</v>
      </c>
      <c r="I729" s="21">
        <v>0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0</v>
      </c>
      <c r="P729" s="18"/>
      <c r="Q729" s="82">
        <f t="shared" si="14"/>
        <v>0</v>
      </c>
      <c r="R729" s="14">
        <v>0</v>
      </c>
      <c r="S729" s="15">
        <v>0</v>
      </c>
      <c r="T729" s="16">
        <v>2.9438314692455339E-6</v>
      </c>
    </row>
    <row r="730" spans="1:20" ht="16" hidden="1">
      <c r="A730" s="80" t="s">
        <v>124</v>
      </c>
      <c r="B730" s="81" t="s">
        <v>85</v>
      </c>
      <c r="C730" s="18"/>
      <c r="D730" s="21">
        <v>0</v>
      </c>
      <c r="E730" s="21">
        <v>44973.100000000006</v>
      </c>
      <c r="F730" s="21">
        <v>267467.57</v>
      </c>
      <c r="G730" s="21">
        <v>2958.16</v>
      </c>
      <c r="H730" s="21">
        <v>13019.57</v>
      </c>
      <c r="I730" s="21">
        <v>0</v>
      </c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>
        <v>0</v>
      </c>
      <c r="P730" s="18"/>
      <c r="Q730" s="82">
        <f t="shared" si="14"/>
        <v>0</v>
      </c>
      <c r="R730" s="14">
        <v>0</v>
      </c>
      <c r="S730" s="15">
        <v>0</v>
      </c>
      <c r="T730" s="16">
        <v>5.5875598489784861E-5</v>
      </c>
    </row>
    <row r="731" spans="1:20" ht="16" hidden="1">
      <c r="A731" s="80" t="s">
        <v>126</v>
      </c>
      <c r="B731" s="81" t="s">
        <v>62</v>
      </c>
      <c r="C731" s="18"/>
      <c r="D731" s="21">
        <v>0</v>
      </c>
      <c r="E731" s="21">
        <v>0</v>
      </c>
      <c r="F731" s="21">
        <v>0</v>
      </c>
      <c r="G731" s="21">
        <v>0</v>
      </c>
      <c r="H731" s="21">
        <v>0</v>
      </c>
      <c r="I731" s="21">
        <v>0</v>
      </c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>
        <v>0</v>
      </c>
      <c r="P731" s="18"/>
      <c r="Q731" s="82">
        <f t="shared" si="14"/>
        <v>0</v>
      </c>
      <c r="R731" s="14">
        <v>0</v>
      </c>
      <c r="S731" s="15">
        <v>0</v>
      </c>
      <c r="T731" s="16">
        <v>0</v>
      </c>
    </row>
    <row r="732" spans="1:20" ht="16" hidden="1">
      <c r="A732" s="80" t="s">
        <v>128</v>
      </c>
      <c r="B732" s="81" t="s">
        <v>85</v>
      </c>
      <c r="C732" s="18"/>
      <c r="D732" s="21">
        <v>0</v>
      </c>
      <c r="E732" s="21">
        <v>0</v>
      </c>
      <c r="F732" s="21">
        <v>0</v>
      </c>
      <c r="G732" s="21">
        <v>0</v>
      </c>
      <c r="H732" s="21">
        <v>0</v>
      </c>
      <c r="I732" s="21">
        <v>0</v>
      </c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>
        <v>0</v>
      </c>
      <c r="P732" s="18"/>
      <c r="Q732" s="82">
        <f t="shared" si="14"/>
        <v>0</v>
      </c>
      <c r="R732" s="14">
        <v>43318.8</v>
      </c>
      <c r="S732" s="15">
        <v>0.72776561534774531</v>
      </c>
      <c r="T732" s="16">
        <v>1.6617210419461554E-3</v>
      </c>
    </row>
    <row r="733" spans="1:20" ht="16" hidden="1">
      <c r="A733" s="80" t="s">
        <v>129</v>
      </c>
      <c r="B733" s="81" t="s">
        <v>85</v>
      </c>
      <c r="C733" s="18"/>
      <c r="D733" s="21">
        <v>0</v>
      </c>
      <c r="E733" s="21">
        <v>0</v>
      </c>
      <c r="F733" s="21">
        <v>0</v>
      </c>
      <c r="G733" s="21">
        <v>0</v>
      </c>
      <c r="H733" s="21">
        <v>0</v>
      </c>
      <c r="I733" s="21">
        <v>0</v>
      </c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>
        <v>0</v>
      </c>
      <c r="P733" s="18"/>
      <c r="Q733" s="82">
        <f t="shared" si="14"/>
        <v>0</v>
      </c>
      <c r="R733" s="14">
        <v>0</v>
      </c>
      <c r="S733" s="15">
        <v>0</v>
      </c>
      <c r="T733" s="16">
        <v>0</v>
      </c>
    </row>
    <row r="734" spans="1:20" ht="16" hidden="1">
      <c r="A734" s="80" t="s">
        <v>130</v>
      </c>
      <c r="B734" s="81" t="s">
        <v>66</v>
      </c>
      <c r="C734" s="18"/>
      <c r="D734" s="21">
        <v>0</v>
      </c>
      <c r="E734" s="21">
        <v>0</v>
      </c>
      <c r="F734" s="21">
        <v>0</v>
      </c>
      <c r="G734" s="21">
        <v>0</v>
      </c>
      <c r="H734" s="21">
        <v>1500</v>
      </c>
      <c r="I734" s="21">
        <v>0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0</v>
      </c>
      <c r="P734" s="18"/>
      <c r="Q734" s="82">
        <f t="shared" si="14"/>
        <v>0</v>
      </c>
      <c r="R734" s="14">
        <v>0</v>
      </c>
      <c r="S734" s="15">
        <v>0</v>
      </c>
      <c r="T734" s="16">
        <v>0</v>
      </c>
    </row>
    <row r="735" spans="1:20" ht="16" hidden="1">
      <c r="A735" s="80" t="s">
        <v>131</v>
      </c>
      <c r="B735" s="81" t="s">
        <v>60</v>
      </c>
      <c r="C735" s="18"/>
      <c r="D735" s="21">
        <v>0</v>
      </c>
      <c r="E735" s="21">
        <v>0</v>
      </c>
      <c r="F735" s="21">
        <v>0</v>
      </c>
      <c r="G735" s="21">
        <v>0</v>
      </c>
      <c r="H735" s="21">
        <v>0</v>
      </c>
      <c r="I735" s="21">
        <v>0</v>
      </c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>
        <v>0</v>
      </c>
      <c r="P735" s="18"/>
      <c r="Q735" s="82">
        <f t="shared" si="14"/>
        <v>0</v>
      </c>
      <c r="R735" s="14">
        <v>-1.0000000000000009E-2</v>
      </c>
      <c r="S735" s="15">
        <v>1.3888888888888902E-2</v>
      </c>
      <c r="T735" s="16">
        <v>-1.1795361834070145E-8</v>
      </c>
    </row>
    <row r="736" spans="1:20" ht="16" hidden="1">
      <c r="A736" s="80" t="s">
        <v>132</v>
      </c>
      <c r="B736" s="81" t="s">
        <v>85</v>
      </c>
      <c r="C736" s="18"/>
      <c r="D736" s="21">
        <v>0</v>
      </c>
      <c r="E736" s="21">
        <v>0</v>
      </c>
      <c r="F736" s="21">
        <v>0</v>
      </c>
      <c r="G736" s="21">
        <v>0</v>
      </c>
      <c r="H736" s="21">
        <v>0</v>
      </c>
      <c r="I736" s="21">
        <v>0</v>
      </c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>
        <v>0</v>
      </c>
      <c r="P736" s="18"/>
      <c r="Q736" s="82">
        <f t="shared" si="14"/>
        <v>0</v>
      </c>
      <c r="R736" s="14">
        <v>0</v>
      </c>
      <c r="S736" s="15">
        <v>0</v>
      </c>
      <c r="T736" s="16">
        <v>3.637692821233214E-4</v>
      </c>
    </row>
    <row r="737" spans="1:20" ht="16" hidden="1">
      <c r="A737" s="80" t="s">
        <v>133</v>
      </c>
      <c r="B737" s="81" t="s">
        <v>60</v>
      </c>
      <c r="C737" s="18"/>
      <c r="D737" s="21">
        <v>0</v>
      </c>
      <c r="E737" s="21">
        <v>0</v>
      </c>
      <c r="F737" s="21">
        <v>0</v>
      </c>
      <c r="G737" s="21">
        <v>0</v>
      </c>
      <c r="H737" s="21">
        <v>0</v>
      </c>
      <c r="I737" s="21">
        <v>0</v>
      </c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>
        <v>0</v>
      </c>
      <c r="P737" s="18"/>
      <c r="Q737" s="82">
        <f t="shared" si="14"/>
        <v>0</v>
      </c>
      <c r="R737" s="14">
        <v>0</v>
      </c>
      <c r="S737" s="15">
        <v>0</v>
      </c>
      <c r="T737" s="16">
        <v>3.2316059819370259E-10</v>
      </c>
    </row>
    <row r="738" spans="1:20" ht="16" hidden="1">
      <c r="A738" s="80" t="s">
        <v>134</v>
      </c>
      <c r="B738" s="81" t="s">
        <v>66</v>
      </c>
      <c r="C738" s="18"/>
      <c r="D738" s="21">
        <v>0</v>
      </c>
      <c r="E738" s="21">
        <v>0</v>
      </c>
      <c r="F738" s="21">
        <v>0</v>
      </c>
      <c r="G738" s="21">
        <v>0</v>
      </c>
      <c r="H738" s="21">
        <v>0</v>
      </c>
      <c r="I738" s="21">
        <v>0</v>
      </c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>
        <v>0</v>
      </c>
      <c r="P738" s="18"/>
      <c r="Q738" s="82">
        <f t="shared" si="14"/>
        <v>0</v>
      </c>
      <c r="R738" s="14">
        <v>0</v>
      </c>
      <c r="S738" s="15">
        <v>0</v>
      </c>
      <c r="T738" s="16">
        <v>0</v>
      </c>
    </row>
    <row r="739" spans="1:20" ht="16" hidden="1">
      <c r="A739" s="80" t="s">
        <v>136</v>
      </c>
      <c r="B739" s="81" t="s">
        <v>78</v>
      </c>
      <c r="C739" s="18"/>
      <c r="D739" s="21">
        <v>0</v>
      </c>
      <c r="E739" s="21">
        <v>0</v>
      </c>
      <c r="F739" s="21">
        <v>0</v>
      </c>
      <c r="G739" s="21">
        <v>0</v>
      </c>
      <c r="H739" s="21">
        <v>0</v>
      </c>
      <c r="I739" s="21">
        <v>0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</v>
      </c>
      <c r="P739" s="18"/>
      <c r="Q739" s="82">
        <f t="shared" si="14"/>
        <v>0</v>
      </c>
      <c r="R739" s="14">
        <v>0</v>
      </c>
      <c r="S739" s="15">
        <v>0</v>
      </c>
      <c r="T739" s="16">
        <v>0</v>
      </c>
    </row>
    <row r="740" spans="1:20" ht="16" hidden="1">
      <c r="A740" s="80" t="s">
        <v>138</v>
      </c>
      <c r="B740" s="81" t="s">
        <v>78</v>
      </c>
      <c r="C740" s="18"/>
      <c r="D740" s="21">
        <v>0</v>
      </c>
      <c r="E740" s="21">
        <v>0</v>
      </c>
      <c r="F740" s="21">
        <v>0</v>
      </c>
      <c r="G740" s="21">
        <v>0</v>
      </c>
      <c r="H740" s="21">
        <v>0</v>
      </c>
      <c r="I740" s="21">
        <v>0</v>
      </c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>
        <v>0</v>
      </c>
      <c r="P740" s="18"/>
      <c r="Q740" s="82">
        <f t="shared" si="14"/>
        <v>0</v>
      </c>
      <c r="R740" s="14">
        <v>0</v>
      </c>
      <c r="S740" s="15">
        <v>0</v>
      </c>
      <c r="T740" s="16">
        <v>0</v>
      </c>
    </row>
    <row r="741" spans="1:20" ht="16" hidden="1">
      <c r="A741" s="80" t="s">
        <v>140</v>
      </c>
      <c r="B741" s="81" t="s">
        <v>78</v>
      </c>
      <c r="C741" s="18"/>
      <c r="D741" s="21">
        <v>0</v>
      </c>
      <c r="E741" s="21">
        <v>0</v>
      </c>
      <c r="F741" s="21">
        <v>0</v>
      </c>
      <c r="G741" s="21">
        <v>0</v>
      </c>
      <c r="H741" s="21">
        <v>0</v>
      </c>
      <c r="I741" s="21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18"/>
      <c r="Q741" s="82">
        <f t="shared" si="14"/>
        <v>0</v>
      </c>
      <c r="R741" s="14">
        <v>0</v>
      </c>
      <c r="S741" s="15">
        <v>0</v>
      </c>
      <c r="T741" s="16">
        <v>0</v>
      </c>
    </row>
    <row r="742" spans="1:20" ht="16" hidden="1">
      <c r="A742" s="80" t="s">
        <v>141</v>
      </c>
      <c r="B742" s="81" t="s">
        <v>85</v>
      </c>
      <c r="C742" s="18"/>
      <c r="D742" s="21">
        <v>0</v>
      </c>
      <c r="E742" s="21">
        <v>0</v>
      </c>
      <c r="F742" s="21">
        <v>0</v>
      </c>
      <c r="G742" s="21">
        <v>0</v>
      </c>
      <c r="H742" s="21">
        <v>0</v>
      </c>
      <c r="I742" s="21">
        <v>0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0</v>
      </c>
      <c r="P742" s="18"/>
      <c r="Q742" s="82">
        <f t="shared" si="14"/>
        <v>0</v>
      </c>
      <c r="R742" s="14">
        <v>0</v>
      </c>
      <c r="S742" s="15">
        <v>0</v>
      </c>
      <c r="T742" s="16">
        <v>0</v>
      </c>
    </row>
    <row r="743" spans="1:20" ht="16" hidden="1">
      <c r="A743" s="80" t="s">
        <v>142</v>
      </c>
      <c r="B743" s="81" t="s">
        <v>62</v>
      </c>
      <c r="C743" s="18"/>
      <c r="D743" s="21">
        <v>0</v>
      </c>
      <c r="E743" s="21">
        <v>0</v>
      </c>
      <c r="F743" s="21">
        <v>0</v>
      </c>
      <c r="G743" s="21">
        <v>0</v>
      </c>
      <c r="H743" s="21">
        <v>0</v>
      </c>
      <c r="I743" s="21">
        <v>0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0</v>
      </c>
      <c r="P743" s="18"/>
      <c r="Q743" s="82">
        <f t="shared" si="14"/>
        <v>0</v>
      </c>
      <c r="R743" s="14">
        <v>0</v>
      </c>
      <c r="S743" s="15">
        <v>0</v>
      </c>
      <c r="T743" s="16">
        <v>0</v>
      </c>
    </row>
    <row r="744" spans="1:20" ht="16">
      <c r="A744" s="80" t="s">
        <v>147</v>
      </c>
      <c r="B744" s="81" t="s">
        <v>67</v>
      </c>
      <c r="C744" s="18"/>
      <c r="D744" s="21">
        <v>0</v>
      </c>
      <c r="E744" s="21">
        <v>0</v>
      </c>
      <c r="F744" s="21">
        <v>0</v>
      </c>
      <c r="G744" s="21">
        <v>0</v>
      </c>
      <c r="H744" s="21">
        <v>0</v>
      </c>
      <c r="I744" s="21">
        <v>0</v>
      </c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>
        <v>0</v>
      </c>
      <c r="P744" s="18"/>
      <c r="Q744" s="82">
        <f t="shared" si="14"/>
        <v>0</v>
      </c>
      <c r="R744" s="14">
        <v>0</v>
      </c>
      <c r="S744" s="15">
        <v>0</v>
      </c>
      <c r="T744" s="16">
        <v>1.2431826632212642E-5</v>
      </c>
    </row>
    <row r="745" spans="1:20" ht="16" hidden="1">
      <c r="A745" s="80" t="s">
        <v>147</v>
      </c>
      <c r="B745" s="81" t="s">
        <v>62</v>
      </c>
      <c r="C745" s="18"/>
      <c r="D745" s="21">
        <v>0</v>
      </c>
      <c r="E745" s="21">
        <v>0</v>
      </c>
      <c r="F745" s="21">
        <v>0</v>
      </c>
      <c r="G745" s="21">
        <v>0</v>
      </c>
      <c r="H745" s="21">
        <v>0</v>
      </c>
      <c r="I745" s="21">
        <v>0</v>
      </c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>
        <v>0</v>
      </c>
      <c r="P745" s="18"/>
      <c r="Q745" s="82">
        <f t="shared" si="14"/>
        <v>0</v>
      </c>
      <c r="R745" s="14">
        <v>0</v>
      </c>
      <c r="S745" s="15">
        <v>0</v>
      </c>
      <c r="T745" s="16">
        <v>0</v>
      </c>
    </row>
    <row r="746" spans="1:20" ht="16">
      <c r="A746" s="80" t="s">
        <v>148</v>
      </c>
      <c r="B746" s="81" t="s">
        <v>67</v>
      </c>
      <c r="C746" s="18"/>
      <c r="D746" s="21">
        <v>0</v>
      </c>
      <c r="E746" s="21">
        <v>0</v>
      </c>
      <c r="F746" s="21">
        <v>0</v>
      </c>
      <c r="G746" s="21">
        <v>0</v>
      </c>
      <c r="H746" s="21">
        <v>0</v>
      </c>
      <c r="I746" s="21">
        <v>0</v>
      </c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>
        <v>0</v>
      </c>
      <c r="P746" s="18"/>
      <c r="Q746" s="82">
        <f t="shared" si="14"/>
        <v>0</v>
      </c>
      <c r="R746" s="14">
        <v>0</v>
      </c>
      <c r="S746" s="15">
        <v>0</v>
      </c>
      <c r="T746" s="16">
        <v>0</v>
      </c>
    </row>
    <row r="747" spans="1:20" ht="16" hidden="1">
      <c r="A747" s="80" t="s">
        <v>148</v>
      </c>
      <c r="B747" s="81" t="s">
        <v>62</v>
      </c>
      <c r="C747" s="18"/>
      <c r="D747" s="21">
        <v>0</v>
      </c>
      <c r="E747" s="21">
        <v>0</v>
      </c>
      <c r="F747" s="21">
        <v>0</v>
      </c>
      <c r="G747" s="21">
        <v>0</v>
      </c>
      <c r="H747" s="21">
        <v>0</v>
      </c>
      <c r="I747" s="21">
        <v>0</v>
      </c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>
        <v>0</v>
      </c>
      <c r="P747" s="18"/>
      <c r="Q747" s="82">
        <f t="shared" si="14"/>
        <v>0</v>
      </c>
      <c r="R747" s="14">
        <v>-686.3700000000008</v>
      </c>
      <c r="S747" s="15">
        <v>-4.4800523217789455E-2</v>
      </c>
      <c r="T747" s="16">
        <v>2.3646000288461323E-4</v>
      </c>
    </row>
    <row r="748" spans="1:20" ht="16">
      <c r="A748" s="80" t="s">
        <v>151</v>
      </c>
      <c r="B748" s="81" t="s">
        <v>67</v>
      </c>
      <c r="C748" s="18"/>
      <c r="D748" s="21">
        <v>0</v>
      </c>
      <c r="E748" s="21">
        <v>0</v>
      </c>
      <c r="F748" s="21">
        <v>0</v>
      </c>
      <c r="G748" s="21">
        <v>0</v>
      </c>
      <c r="H748" s="21">
        <v>0</v>
      </c>
      <c r="I748" s="21">
        <v>0</v>
      </c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>
        <v>0</v>
      </c>
      <c r="P748" s="18"/>
      <c r="Q748" s="82">
        <f t="shared" si="14"/>
        <v>0</v>
      </c>
      <c r="R748" s="14">
        <v>1.0000000000218279E-2</v>
      </c>
      <c r="S748" s="15">
        <v>6.7876405212760488E-7</v>
      </c>
      <c r="T748" s="16">
        <v>2.3805092250952083E-4</v>
      </c>
    </row>
    <row r="749" spans="1:20" ht="16">
      <c r="A749" s="80" t="s">
        <v>154</v>
      </c>
      <c r="B749" s="81" t="s">
        <v>67</v>
      </c>
      <c r="C749" s="18"/>
      <c r="D749" s="21">
        <v>0</v>
      </c>
      <c r="E749" s="21">
        <v>0</v>
      </c>
      <c r="F749" s="21">
        <v>0</v>
      </c>
      <c r="G749" s="21">
        <v>0</v>
      </c>
      <c r="H749" s="21">
        <v>0</v>
      </c>
      <c r="I749" s="21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18"/>
      <c r="Q749" s="82">
        <f t="shared" si="14"/>
        <v>0</v>
      </c>
      <c r="R749" s="14">
        <v>0.49000000000000021</v>
      </c>
      <c r="S749" s="15">
        <v>0.24137931034482771</v>
      </c>
      <c r="T749" s="16">
        <v>4.0718235372406525E-8</v>
      </c>
    </row>
    <row r="750" spans="1:20" ht="16">
      <c r="A750" s="80" t="s">
        <v>161</v>
      </c>
      <c r="B750" s="81" t="s">
        <v>67</v>
      </c>
      <c r="C750" s="18"/>
      <c r="D750" s="21">
        <v>0</v>
      </c>
      <c r="E750" s="21">
        <v>0</v>
      </c>
      <c r="F750" s="21">
        <v>0</v>
      </c>
      <c r="G750" s="21">
        <v>0</v>
      </c>
      <c r="H750" s="21">
        <v>0</v>
      </c>
      <c r="I750" s="21">
        <v>0</v>
      </c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>
        <v>0</v>
      </c>
      <c r="P750" s="18"/>
      <c r="Q750" s="82">
        <f t="shared" si="14"/>
        <v>0</v>
      </c>
      <c r="R750" s="14">
        <v>0</v>
      </c>
      <c r="S750" s="15">
        <v>0</v>
      </c>
      <c r="T750" s="16">
        <v>2.8536696623494906E-6</v>
      </c>
    </row>
    <row r="751" spans="1:20" ht="16" hidden="1">
      <c r="A751" s="80" t="s">
        <v>161</v>
      </c>
      <c r="B751" s="81" t="s">
        <v>62</v>
      </c>
      <c r="C751" s="18"/>
      <c r="D751" s="21">
        <v>0</v>
      </c>
      <c r="E751" s="21">
        <v>0</v>
      </c>
      <c r="F751" s="21">
        <v>0</v>
      </c>
      <c r="G751" s="21">
        <v>0</v>
      </c>
      <c r="H751" s="21">
        <v>0</v>
      </c>
      <c r="I751" s="21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18"/>
      <c r="Q751" s="82">
        <f t="shared" si="14"/>
        <v>0</v>
      </c>
      <c r="R751" s="14">
        <v>0</v>
      </c>
      <c r="S751" s="15">
        <v>0</v>
      </c>
      <c r="T751" s="16">
        <v>0</v>
      </c>
    </row>
    <row r="752" spans="1:20" ht="16" hidden="1">
      <c r="A752" s="80" t="s">
        <v>161</v>
      </c>
      <c r="B752" s="81" t="s">
        <v>76</v>
      </c>
      <c r="C752" s="18"/>
      <c r="D752" s="21">
        <v>0</v>
      </c>
      <c r="E752" s="21">
        <v>0</v>
      </c>
      <c r="F752" s="21">
        <v>0</v>
      </c>
      <c r="G752" s="21">
        <v>0</v>
      </c>
      <c r="H752" s="21">
        <v>0</v>
      </c>
      <c r="I752" s="21">
        <v>0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0</v>
      </c>
      <c r="P752" s="18"/>
      <c r="Q752" s="82">
        <f t="shared" si="14"/>
        <v>0</v>
      </c>
      <c r="R752" s="14">
        <v>0.86000000000000654</v>
      </c>
      <c r="S752" s="15">
        <v>3.9759593157651714E-2</v>
      </c>
      <c r="T752" s="16">
        <v>3.6339409266881864E-7</v>
      </c>
    </row>
    <row r="753" spans="1:20" ht="16" hidden="1">
      <c r="A753" s="80" t="s">
        <v>161</v>
      </c>
      <c r="B753" s="81" t="s">
        <v>85</v>
      </c>
      <c r="C753" s="18"/>
      <c r="D753" s="21">
        <v>0</v>
      </c>
      <c r="E753" s="21">
        <v>0</v>
      </c>
      <c r="F753" s="21">
        <v>0</v>
      </c>
      <c r="G753" s="21">
        <v>0</v>
      </c>
      <c r="H753" s="21">
        <v>0</v>
      </c>
      <c r="I753" s="21">
        <v>0</v>
      </c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>
        <v>0</v>
      </c>
      <c r="P753" s="18"/>
      <c r="Q753" s="82">
        <f t="shared" si="14"/>
        <v>0</v>
      </c>
      <c r="R753" s="14">
        <v>0</v>
      </c>
      <c r="S753" s="15">
        <v>0</v>
      </c>
      <c r="T753" s="16">
        <v>1.7709200781014896E-7</v>
      </c>
    </row>
    <row r="754" spans="1:20" ht="16" hidden="1">
      <c r="A754" s="80" t="s">
        <v>161</v>
      </c>
      <c r="B754" s="81" t="s">
        <v>145</v>
      </c>
      <c r="C754" s="18"/>
      <c r="D754" s="21">
        <v>0</v>
      </c>
      <c r="E754" s="21">
        <v>0</v>
      </c>
      <c r="F754" s="21">
        <v>0</v>
      </c>
      <c r="G754" s="21">
        <v>0</v>
      </c>
      <c r="H754" s="21">
        <v>0</v>
      </c>
      <c r="I754" s="21">
        <v>0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0</v>
      </c>
      <c r="P754" s="18"/>
      <c r="Q754" s="82">
        <f t="shared" si="14"/>
        <v>0</v>
      </c>
      <c r="R754" s="14">
        <v>0</v>
      </c>
      <c r="S754" s="15">
        <v>0</v>
      </c>
      <c r="T754" s="16">
        <v>0</v>
      </c>
    </row>
    <row r="755" spans="1:20" ht="16" hidden="1">
      <c r="A755" s="80" t="s">
        <v>161</v>
      </c>
      <c r="B755" s="81" t="s">
        <v>162</v>
      </c>
      <c r="C755" s="18"/>
      <c r="D755" s="21">
        <v>0</v>
      </c>
      <c r="E755" s="21">
        <v>0</v>
      </c>
      <c r="F755" s="21">
        <v>0</v>
      </c>
      <c r="G755" s="21">
        <v>0</v>
      </c>
      <c r="H755" s="21">
        <v>0</v>
      </c>
      <c r="I755" s="21">
        <v>0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0</v>
      </c>
      <c r="P755" s="18"/>
      <c r="Q755" s="82">
        <f t="shared" si="14"/>
        <v>0</v>
      </c>
      <c r="R755" s="14">
        <v>0</v>
      </c>
      <c r="S755" s="15">
        <v>0</v>
      </c>
      <c r="T755" s="16">
        <v>-1.2926423927748105E-8</v>
      </c>
    </row>
    <row r="756" spans="1:20" ht="16" hidden="1">
      <c r="A756" s="80" t="s">
        <v>163</v>
      </c>
      <c r="B756" s="81" t="s">
        <v>78</v>
      </c>
      <c r="C756" s="18"/>
      <c r="D756" s="21">
        <v>0</v>
      </c>
      <c r="E756" s="21">
        <v>0</v>
      </c>
      <c r="F756" s="21">
        <v>0</v>
      </c>
      <c r="G756" s="21">
        <v>0</v>
      </c>
      <c r="H756" s="21">
        <v>0</v>
      </c>
      <c r="I756" s="21">
        <v>0</v>
      </c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>
        <v>0</v>
      </c>
      <c r="P756" s="18"/>
      <c r="Q756" s="82">
        <f t="shared" si="14"/>
        <v>0</v>
      </c>
      <c r="R756" s="14">
        <v>0</v>
      </c>
      <c r="S756" s="15">
        <v>0</v>
      </c>
      <c r="T756" s="16">
        <v>0</v>
      </c>
    </row>
    <row r="757" spans="1:20" customFormat="1" ht="16" hidden="1">
      <c r="A757" s="11" t="s">
        <v>163</v>
      </c>
      <c r="B757" s="12" t="s">
        <v>69</v>
      </c>
      <c r="C757" s="1"/>
      <c r="D757" s="3">
        <v>-0.02</v>
      </c>
      <c r="E757" s="3">
        <v>-0.02</v>
      </c>
      <c r="F757" s="3">
        <v>-0.02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>
        <v>0</v>
      </c>
      <c r="P757" s="1"/>
      <c r="Q757" s="1"/>
      <c r="R757" s="14">
        <v>0</v>
      </c>
      <c r="S757" s="15">
        <v>0</v>
      </c>
      <c r="T757" s="16">
        <v>0</v>
      </c>
    </row>
    <row r="758" spans="1:20" ht="16" hidden="1">
      <c r="A758" s="80" t="s">
        <v>164</v>
      </c>
      <c r="B758" s="81" t="s">
        <v>62</v>
      </c>
      <c r="C758" s="18"/>
      <c r="D758" s="21">
        <v>0</v>
      </c>
      <c r="E758" s="21">
        <v>0</v>
      </c>
      <c r="F758" s="21">
        <v>0</v>
      </c>
      <c r="G758" s="21">
        <v>0</v>
      </c>
      <c r="H758" s="21">
        <v>0</v>
      </c>
      <c r="I758" s="21">
        <v>0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>
        <v>0</v>
      </c>
      <c r="P758" s="18"/>
      <c r="Q758" s="82">
        <f t="shared" ref="Q758:Q783" si="15">IFERROR(I758/$I$4," ")</f>
        <v>0</v>
      </c>
      <c r="R758" s="14">
        <v>0</v>
      </c>
      <c r="S758" s="15">
        <v>0</v>
      </c>
      <c r="T758" s="16">
        <v>0</v>
      </c>
    </row>
    <row r="759" spans="1:20" ht="16">
      <c r="A759" s="80" t="s">
        <v>169</v>
      </c>
      <c r="B759" s="81" t="s">
        <v>67</v>
      </c>
      <c r="C759" s="18"/>
      <c r="D759" s="21">
        <v>0</v>
      </c>
      <c r="E759" s="21">
        <v>0</v>
      </c>
      <c r="F759" s="21">
        <v>0</v>
      </c>
      <c r="G759" s="21">
        <v>0</v>
      </c>
      <c r="H759" s="21">
        <v>0</v>
      </c>
      <c r="I759" s="21">
        <v>0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0</v>
      </c>
      <c r="P759" s="18"/>
      <c r="Q759" s="82">
        <f t="shared" si="15"/>
        <v>0</v>
      </c>
      <c r="R759" s="14">
        <v>9.9999999999980105E-3</v>
      </c>
      <c r="S759" s="15">
        <v>3.3211557622045862E-4</v>
      </c>
      <c r="T759" s="16">
        <v>4.8667986087971617E-7</v>
      </c>
    </row>
    <row r="760" spans="1:20" ht="16" hidden="1">
      <c r="A760" s="80" t="s">
        <v>170</v>
      </c>
      <c r="B760" s="81" t="s">
        <v>78</v>
      </c>
      <c r="C760" s="18"/>
      <c r="D760" s="21">
        <v>1776</v>
      </c>
      <c r="E760" s="21">
        <v>1776</v>
      </c>
      <c r="F760" s="21">
        <v>0</v>
      </c>
      <c r="G760" s="21">
        <v>0</v>
      </c>
      <c r="H760" s="21">
        <v>0</v>
      </c>
      <c r="I760" s="21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18"/>
      <c r="Q760" s="82">
        <f t="shared" si="15"/>
        <v>0</v>
      </c>
      <c r="R760" s="14">
        <v>9.9999999999909051E-3</v>
      </c>
      <c r="S760" s="15">
        <v>1.0971649258306532E-5</v>
      </c>
      <c r="T760" s="16">
        <v>1.4727236361182511E-5</v>
      </c>
    </row>
    <row r="761" spans="1:20" ht="16" hidden="1">
      <c r="A761" s="80" t="s">
        <v>171</v>
      </c>
      <c r="B761" s="81" t="s">
        <v>62</v>
      </c>
      <c r="C761" s="18"/>
      <c r="D761" s="21">
        <v>0</v>
      </c>
      <c r="E761" s="21">
        <v>0</v>
      </c>
      <c r="F761" s="21">
        <v>0</v>
      </c>
      <c r="G761" s="21">
        <v>0</v>
      </c>
      <c r="H761" s="21">
        <v>0</v>
      </c>
      <c r="I761" s="21">
        <v>0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>
        <v>0</v>
      </c>
      <c r="P761" s="18"/>
      <c r="Q761" s="82">
        <f t="shared" si="15"/>
        <v>0</v>
      </c>
      <c r="R761" s="14">
        <v>0</v>
      </c>
      <c r="S761" s="15">
        <v>0</v>
      </c>
      <c r="T761" s="16">
        <v>0</v>
      </c>
    </row>
    <row r="762" spans="1:20" ht="16" hidden="1">
      <c r="A762" s="80" t="s">
        <v>174</v>
      </c>
      <c r="B762" s="81" t="s">
        <v>66</v>
      </c>
      <c r="C762" s="18"/>
      <c r="D762" s="21">
        <v>0</v>
      </c>
      <c r="E762" s="21">
        <v>0</v>
      </c>
      <c r="F762" s="21">
        <v>0</v>
      </c>
      <c r="G762" s="21">
        <v>0</v>
      </c>
      <c r="H762" s="21">
        <v>0</v>
      </c>
      <c r="I762" s="21">
        <v>0</v>
      </c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>
        <v>0</v>
      </c>
      <c r="P762" s="18"/>
      <c r="Q762" s="82">
        <f t="shared" si="15"/>
        <v>0</v>
      </c>
      <c r="R762" s="14">
        <v>0</v>
      </c>
      <c r="S762" s="15">
        <v>0</v>
      </c>
      <c r="T762" s="16">
        <v>4.8474089729055388E-10</v>
      </c>
    </row>
    <row r="763" spans="1:20" ht="16">
      <c r="A763" s="80" t="s">
        <v>176</v>
      </c>
      <c r="B763" s="81" t="s">
        <v>67</v>
      </c>
      <c r="C763" s="18"/>
      <c r="D763" s="21">
        <v>0</v>
      </c>
      <c r="E763" s="21">
        <v>0</v>
      </c>
      <c r="F763" s="21">
        <v>0</v>
      </c>
      <c r="G763" s="21">
        <v>0</v>
      </c>
      <c r="H763" s="21">
        <v>0</v>
      </c>
      <c r="I763" s="21">
        <v>0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>
        <v>0</v>
      </c>
      <c r="P763" s="18"/>
      <c r="Q763" s="82">
        <f t="shared" si="15"/>
        <v>0</v>
      </c>
      <c r="R763" s="14">
        <v>0</v>
      </c>
      <c r="S763" s="15">
        <v>0</v>
      </c>
      <c r="T763" s="16">
        <v>1.3120320286664325E-4</v>
      </c>
    </row>
    <row r="764" spans="1:20" ht="16" hidden="1">
      <c r="A764" s="80" t="s">
        <v>176</v>
      </c>
      <c r="B764" s="81" t="s">
        <v>62</v>
      </c>
      <c r="C764" s="18"/>
      <c r="D764" s="21">
        <v>0</v>
      </c>
      <c r="E764" s="21">
        <v>0</v>
      </c>
      <c r="F764" s="21">
        <v>0</v>
      </c>
      <c r="G764" s="21">
        <v>0</v>
      </c>
      <c r="H764" s="21">
        <v>0</v>
      </c>
      <c r="I764" s="21">
        <v>0</v>
      </c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>
        <v>0</v>
      </c>
      <c r="P764" s="18"/>
      <c r="Q764" s="82">
        <f t="shared" si="15"/>
        <v>0</v>
      </c>
      <c r="R764" s="14">
        <v>0</v>
      </c>
      <c r="S764" s="15">
        <v>0</v>
      </c>
      <c r="T764" s="16">
        <v>0</v>
      </c>
    </row>
    <row r="765" spans="1:20" ht="16" hidden="1">
      <c r="A765" s="80" t="s">
        <v>178</v>
      </c>
      <c r="B765" s="81" t="s">
        <v>62</v>
      </c>
      <c r="C765" s="18"/>
      <c r="D765" s="21">
        <v>0</v>
      </c>
      <c r="E765" s="21">
        <v>0</v>
      </c>
      <c r="F765" s="21">
        <v>0</v>
      </c>
      <c r="G765" s="21">
        <v>0</v>
      </c>
      <c r="H765" s="21">
        <v>0</v>
      </c>
      <c r="I765" s="21">
        <v>0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>
        <v>0</v>
      </c>
      <c r="P765" s="18"/>
      <c r="Q765" s="82">
        <f t="shared" si="15"/>
        <v>0</v>
      </c>
      <c r="R765" s="14">
        <v>0</v>
      </c>
      <c r="S765" s="15">
        <v>0</v>
      </c>
      <c r="T765" s="16">
        <v>0</v>
      </c>
    </row>
    <row r="766" spans="1:20" ht="16" hidden="1">
      <c r="A766" s="80" t="s">
        <v>179</v>
      </c>
      <c r="B766" s="81" t="s">
        <v>85</v>
      </c>
      <c r="C766" s="18"/>
      <c r="D766" s="21">
        <v>0</v>
      </c>
      <c r="E766" s="21">
        <v>0</v>
      </c>
      <c r="F766" s="21">
        <v>0</v>
      </c>
      <c r="G766" s="21">
        <v>0</v>
      </c>
      <c r="H766" s="21">
        <v>0</v>
      </c>
      <c r="I766" s="21">
        <v>0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18"/>
      <c r="Q766" s="82">
        <f t="shared" si="15"/>
        <v>0</v>
      </c>
      <c r="R766" s="14">
        <v>0</v>
      </c>
      <c r="S766" s="15">
        <v>0</v>
      </c>
      <c r="T766" s="16">
        <v>0</v>
      </c>
    </row>
    <row r="767" spans="1:20" ht="16" hidden="1">
      <c r="A767" s="80" t="s">
        <v>180</v>
      </c>
      <c r="B767" s="81" t="s">
        <v>62</v>
      </c>
      <c r="C767" s="18"/>
      <c r="D767" s="21">
        <v>0</v>
      </c>
      <c r="E767" s="21">
        <v>0</v>
      </c>
      <c r="F767" s="21">
        <v>0</v>
      </c>
      <c r="G767" s="21">
        <v>0</v>
      </c>
      <c r="H767" s="21">
        <v>0</v>
      </c>
      <c r="I767" s="21">
        <v>0</v>
      </c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>
        <v>0</v>
      </c>
      <c r="P767" s="18"/>
      <c r="Q767" s="82">
        <f t="shared" si="15"/>
        <v>0</v>
      </c>
      <c r="R767" s="14">
        <v>0</v>
      </c>
      <c r="S767" s="15">
        <v>0</v>
      </c>
      <c r="T767" s="16">
        <v>0</v>
      </c>
    </row>
    <row r="768" spans="1:20" ht="16" hidden="1">
      <c r="A768" s="80" t="s">
        <v>181</v>
      </c>
      <c r="B768" s="81" t="s">
        <v>85</v>
      </c>
      <c r="C768" s="18"/>
      <c r="D768" s="21">
        <v>0</v>
      </c>
      <c r="E768" s="21">
        <v>0</v>
      </c>
      <c r="F768" s="21">
        <v>0</v>
      </c>
      <c r="G768" s="21">
        <v>0</v>
      </c>
      <c r="H768" s="21">
        <v>0</v>
      </c>
      <c r="I768" s="21">
        <v>0</v>
      </c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>
        <v>0</v>
      </c>
      <c r="P768" s="18"/>
      <c r="Q768" s="82">
        <f t="shared" si="15"/>
        <v>0</v>
      </c>
      <c r="R768" s="14">
        <v>0</v>
      </c>
      <c r="S768" s="15">
        <v>0</v>
      </c>
      <c r="T768" s="16">
        <v>1.777383290065364E-8</v>
      </c>
    </row>
    <row r="769" spans="1:20" ht="16" hidden="1">
      <c r="A769" s="80" t="s">
        <v>183</v>
      </c>
      <c r="B769" s="81" t="s">
        <v>85</v>
      </c>
      <c r="C769" s="18"/>
      <c r="D769" s="21">
        <v>0</v>
      </c>
      <c r="E769" s="21">
        <v>0</v>
      </c>
      <c r="F769" s="21">
        <v>0</v>
      </c>
      <c r="G769" s="21">
        <v>0</v>
      </c>
      <c r="H769" s="21">
        <v>0</v>
      </c>
      <c r="I769" s="21">
        <v>0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18"/>
      <c r="Q769" s="82">
        <f t="shared" si="15"/>
        <v>0</v>
      </c>
      <c r="R769" s="14">
        <v>0</v>
      </c>
      <c r="S769" s="15">
        <v>0</v>
      </c>
      <c r="T769" s="16">
        <v>-4.8474089729055398E-10</v>
      </c>
    </row>
    <row r="770" spans="1:20" ht="16" hidden="1">
      <c r="A770" s="80" t="s">
        <v>184</v>
      </c>
      <c r="B770" s="81" t="s">
        <v>85</v>
      </c>
      <c r="C770" s="18"/>
      <c r="D770" s="21">
        <v>0</v>
      </c>
      <c r="E770" s="21">
        <v>0</v>
      </c>
      <c r="F770" s="21">
        <v>0</v>
      </c>
      <c r="G770" s="21">
        <v>0</v>
      </c>
      <c r="H770" s="21">
        <v>0</v>
      </c>
      <c r="I770" s="21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18"/>
      <c r="Q770" s="82">
        <f t="shared" si="15"/>
        <v>0</v>
      </c>
      <c r="R770" s="14">
        <v>0</v>
      </c>
      <c r="S770" s="15">
        <v>0</v>
      </c>
      <c r="T770" s="16">
        <v>8.175963134300677E-8</v>
      </c>
    </row>
    <row r="771" spans="1:20" ht="16" hidden="1">
      <c r="A771" s="80" t="s">
        <v>185</v>
      </c>
      <c r="B771" s="81" t="s">
        <v>85</v>
      </c>
      <c r="C771" s="18"/>
      <c r="D771" s="21">
        <v>0</v>
      </c>
      <c r="E771" s="21">
        <v>0</v>
      </c>
      <c r="F771" s="21">
        <v>0</v>
      </c>
      <c r="G771" s="21">
        <v>0</v>
      </c>
      <c r="H771" s="21">
        <v>0</v>
      </c>
      <c r="I771" s="21">
        <v>0</v>
      </c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>
        <v>0</v>
      </c>
      <c r="P771" s="18"/>
      <c r="Q771" s="82">
        <f t="shared" si="15"/>
        <v>0</v>
      </c>
      <c r="R771" s="14">
        <v>94066.01</v>
      </c>
      <c r="S771" s="15">
        <v>1.0094828013622319</v>
      </c>
      <c r="T771" s="16">
        <v>3.0255650861603857E-3</v>
      </c>
    </row>
    <row r="772" spans="1:20" ht="16" hidden="1">
      <c r="A772" s="80" t="s">
        <v>186</v>
      </c>
      <c r="B772" s="81" t="s">
        <v>66</v>
      </c>
      <c r="C772" s="18"/>
      <c r="D772" s="21">
        <v>0</v>
      </c>
      <c r="E772" s="21">
        <v>0</v>
      </c>
      <c r="F772" s="21">
        <v>0</v>
      </c>
      <c r="G772" s="21">
        <v>0</v>
      </c>
      <c r="H772" s="21">
        <v>0</v>
      </c>
      <c r="I772" s="21">
        <v>0</v>
      </c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>
        <v>0</v>
      </c>
      <c r="P772" s="18"/>
      <c r="Q772" s="82">
        <f t="shared" si="15"/>
        <v>0</v>
      </c>
      <c r="R772" s="14">
        <v>0</v>
      </c>
      <c r="S772" s="15">
        <v>0</v>
      </c>
      <c r="T772" s="16">
        <v>1.5675389556282834E-8</v>
      </c>
    </row>
    <row r="773" spans="1:20" ht="16" hidden="1">
      <c r="A773" s="80" t="s">
        <v>187</v>
      </c>
      <c r="B773" s="81" t="s">
        <v>85</v>
      </c>
      <c r="C773" s="18"/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>
        <v>0</v>
      </c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>
        <v>0</v>
      </c>
      <c r="P773" s="18"/>
      <c r="Q773" s="82">
        <f t="shared" si="15"/>
        <v>0</v>
      </c>
      <c r="R773" s="14">
        <v>0</v>
      </c>
      <c r="S773" s="15">
        <v>0</v>
      </c>
      <c r="T773" s="16">
        <v>3.5547665801307282E-9</v>
      </c>
    </row>
    <row r="774" spans="1:20" ht="16" hidden="1">
      <c r="A774" s="80" t="s">
        <v>188</v>
      </c>
      <c r="B774" s="81" t="s">
        <v>60</v>
      </c>
      <c r="C774" s="18"/>
      <c r="D774" s="21">
        <v>0</v>
      </c>
      <c r="E774" s="21">
        <v>0</v>
      </c>
      <c r="F774" s="21">
        <v>0</v>
      </c>
      <c r="G774" s="21">
        <v>0</v>
      </c>
      <c r="H774" s="21">
        <v>0</v>
      </c>
      <c r="I774" s="21">
        <v>0</v>
      </c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>
        <v>0</v>
      </c>
      <c r="P774" s="18"/>
      <c r="Q774" s="82">
        <f t="shared" si="15"/>
        <v>0</v>
      </c>
      <c r="R774" s="14">
        <v>-1.0000000001127773E-2</v>
      </c>
      <c r="S774" s="15">
        <v>-1.7303582708750888E-6</v>
      </c>
      <c r="T774" s="16">
        <v>9.3379516972257742E-5</v>
      </c>
    </row>
    <row r="775" spans="1:20" ht="16" hidden="1">
      <c r="A775" s="80" t="s">
        <v>189</v>
      </c>
      <c r="B775" s="81" t="s">
        <v>78</v>
      </c>
      <c r="C775" s="18"/>
      <c r="D775" s="21">
        <v>0</v>
      </c>
      <c r="E775" s="21">
        <v>0</v>
      </c>
      <c r="F775" s="21">
        <v>0</v>
      </c>
      <c r="G775" s="21">
        <v>0</v>
      </c>
      <c r="H775" s="21">
        <v>0</v>
      </c>
      <c r="I775" s="21">
        <v>0</v>
      </c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>
        <v>0</v>
      </c>
      <c r="P775" s="18"/>
      <c r="Q775" s="82">
        <f t="shared" si="15"/>
        <v>0</v>
      </c>
      <c r="R775" s="14">
        <v>31879.5</v>
      </c>
      <c r="S775" s="15">
        <v>3187950</v>
      </c>
      <c r="T775" s="16">
        <v>5.1511007608610621E-4</v>
      </c>
    </row>
    <row r="776" spans="1:20" ht="16" hidden="1">
      <c r="A776" s="80" t="s">
        <v>190</v>
      </c>
      <c r="B776" s="81" t="s">
        <v>78</v>
      </c>
      <c r="C776" s="18"/>
      <c r="D776" s="21">
        <v>0</v>
      </c>
      <c r="E776" s="21">
        <v>0</v>
      </c>
      <c r="F776" s="21">
        <v>0</v>
      </c>
      <c r="G776" s="21">
        <v>0</v>
      </c>
      <c r="H776" s="21">
        <v>0</v>
      </c>
      <c r="I776" s="21">
        <v>0</v>
      </c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>
        <v>0</v>
      </c>
      <c r="P776" s="18"/>
      <c r="Q776" s="82">
        <f t="shared" si="15"/>
        <v>0</v>
      </c>
      <c r="R776" s="14">
        <v>5710.4199999999837</v>
      </c>
      <c r="S776" s="15">
        <v>2.0775116050139729E-2</v>
      </c>
      <c r="T776" s="16">
        <v>4.5335987034599758E-3</v>
      </c>
    </row>
    <row r="777" spans="1:20" ht="16" hidden="1">
      <c r="A777" s="80" t="s">
        <v>191</v>
      </c>
      <c r="B777" s="81" t="s">
        <v>60</v>
      </c>
      <c r="C777" s="18"/>
      <c r="D777" s="21">
        <v>0</v>
      </c>
      <c r="E777" s="21">
        <v>0</v>
      </c>
      <c r="F777" s="21">
        <v>0</v>
      </c>
      <c r="G777" s="21">
        <v>0</v>
      </c>
      <c r="H777" s="21">
        <v>0</v>
      </c>
      <c r="I777" s="21">
        <v>0</v>
      </c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>
        <v>0</v>
      </c>
      <c r="P777" s="18"/>
      <c r="Q777" s="82">
        <f t="shared" si="15"/>
        <v>0</v>
      </c>
      <c r="R777" s="14">
        <v>-63000.000000000007</v>
      </c>
      <c r="S777" s="15">
        <v>-0.96665396718624064</v>
      </c>
      <c r="T777" s="16">
        <v>3.5115761661821394E-5</v>
      </c>
    </row>
    <row r="778" spans="1:20" ht="16" hidden="1">
      <c r="A778" s="80" t="s">
        <v>192</v>
      </c>
      <c r="B778" s="81" t="s">
        <v>66</v>
      </c>
      <c r="C778" s="18"/>
      <c r="D778" s="21">
        <v>0</v>
      </c>
      <c r="E778" s="21">
        <v>0</v>
      </c>
      <c r="F778" s="21">
        <v>0</v>
      </c>
      <c r="G778" s="21">
        <v>0</v>
      </c>
      <c r="H778" s="21">
        <v>0</v>
      </c>
      <c r="I778" s="21">
        <v>0</v>
      </c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>
        <v>0</v>
      </c>
      <c r="P778" s="18"/>
      <c r="Q778" s="82">
        <f t="shared" si="15"/>
        <v>0</v>
      </c>
      <c r="R778" s="14">
        <v>0</v>
      </c>
      <c r="S778" s="15">
        <v>0</v>
      </c>
      <c r="T778" s="16">
        <v>1.0277702716773058E-4</v>
      </c>
    </row>
    <row r="779" spans="1:20" ht="16" hidden="1">
      <c r="A779" s="80" t="s">
        <v>198</v>
      </c>
      <c r="B779" s="81" t="s">
        <v>62</v>
      </c>
      <c r="C779" s="18"/>
      <c r="D779" s="21">
        <v>0</v>
      </c>
      <c r="E779" s="21">
        <v>0</v>
      </c>
      <c r="F779" s="21">
        <v>0</v>
      </c>
      <c r="G779" s="21">
        <v>0</v>
      </c>
      <c r="H779" s="21">
        <v>0</v>
      </c>
      <c r="I779" s="21">
        <v>0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18"/>
      <c r="Q779" s="82">
        <f t="shared" si="15"/>
        <v>0</v>
      </c>
      <c r="R779" s="14">
        <v>0</v>
      </c>
      <c r="S779" s="15">
        <v>0</v>
      </c>
      <c r="T779" s="16">
        <v>0</v>
      </c>
    </row>
    <row r="780" spans="1:20" ht="16" hidden="1">
      <c r="A780" s="80" t="s">
        <v>201</v>
      </c>
      <c r="B780" s="81" t="s">
        <v>62</v>
      </c>
      <c r="C780" s="18"/>
      <c r="D780" s="21">
        <v>0</v>
      </c>
      <c r="E780" s="21">
        <v>0</v>
      </c>
      <c r="F780" s="21">
        <v>157440</v>
      </c>
      <c r="G780" s="21">
        <v>340070.40000000002</v>
      </c>
      <c r="H780" s="21">
        <v>0</v>
      </c>
      <c r="I780" s="21">
        <v>0</v>
      </c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>
        <v>0</v>
      </c>
      <c r="P780" s="18"/>
      <c r="Q780" s="82">
        <f t="shared" si="15"/>
        <v>0</v>
      </c>
      <c r="R780" s="14">
        <v>0</v>
      </c>
      <c r="S780" s="15">
        <v>0</v>
      </c>
      <c r="T780" s="16">
        <v>1.6158029909685129E-9</v>
      </c>
    </row>
    <row r="781" spans="1:20" ht="16" hidden="1">
      <c r="A781" s="80" t="s">
        <v>204</v>
      </c>
      <c r="B781" s="81" t="s">
        <v>145</v>
      </c>
      <c r="C781" s="18"/>
      <c r="D781" s="21">
        <v>5230.34</v>
      </c>
      <c r="E781" s="21">
        <v>5230.34</v>
      </c>
      <c r="F781" s="21">
        <v>5230.34</v>
      </c>
      <c r="G781" s="21">
        <v>10460.68</v>
      </c>
      <c r="H781" s="21">
        <v>0</v>
      </c>
      <c r="I781" s="21">
        <v>0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18"/>
      <c r="Q781" s="82">
        <f t="shared" si="15"/>
        <v>0</v>
      </c>
      <c r="R781" s="14">
        <v>0</v>
      </c>
      <c r="S781" s="15">
        <v>0</v>
      </c>
      <c r="T781" s="16">
        <v>4.3457506182995456E-5</v>
      </c>
    </row>
    <row r="782" spans="1:20" ht="16" hidden="1">
      <c r="A782" s="80" t="s">
        <v>205</v>
      </c>
      <c r="B782" s="81" t="s">
        <v>66</v>
      </c>
      <c r="C782" s="18"/>
      <c r="D782" s="21">
        <v>0</v>
      </c>
      <c r="E782" s="21">
        <v>0</v>
      </c>
      <c r="F782" s="21">
        <v>0</v>
      </c>
      <c r="G782" s="21">
        <v>0</v>
      </c>
      <c r="H782" s="21">
        <v>0</v>
      </c>
      <c r="I782" s="21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18"/>
      <c r="Q782" s="82">
        <f t="shared" si="15"/>
        <v>0</v>
      </c>
      <c r="R782" s="14">
        <v>1.0000000000000002E-2</v>
      </c>
      <c r="S782" s="15">
        <v>0.20000000000000004</v>
      </c>
      <c r="T782" s="16">
        <v>9.6948179458110796E-10</v>
      </c>
    </row>
    <row r="783" spans="1:20" ht="16" hidden="1">
      <c r="A783" s="80" t="s">
        <v>206</v>
      </c>
      <c r="B783" s="81" t="s">
        <v>76</v>
      </c>
      <c r="C783" s="18"/>
      <c r="D783" s="21">
        <v>0</v>
      </c>
      <c r="E783" s="21">
        <v>0</v>
      </c>
      <c r="F783" s="21">
        <v>0</v>
      </c>
      <c r="G783" s="21">
        <v>0</v>
      </c>
      <c r="H783" s="21">
        <v>0</v>
      </c>
      <c r="I783" s="21">
        <v>0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>
        <v>0</v>
      </c>
      <c r="P783" s="18"/>
      <c r="Q783" s="82">
        <f t="shared" si="15"/>
        <v>0</v>
      </c>
      <c r="R783" s="14">
        <v>0</v>
      </c>
      <c r="S783" s="15">
        <v>0</v>
      </c>
      <c r="T783" s="16">
        <v>-3.877927178324431E-9</v>
      </c>
    </row>
    <row r="784" spans="1:20" customFormat="1" ht="16" hidden="1">
      <c r="A784" s="11" t="s">
        <v>207</v>
      </c>
      <c r="B784" s="12" t="s">
        <v>69</v>
      </c>
      <c r="C784" s="1"/>
      <c r="D784" s="3">
        <v>0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1"/>
      <c r="Q784" s="1"/>
      <c r="R784" s="14">
        <v>0</v>
      </c>
      <c r="S784" s="15">
        <v>0</v>
      </c>
      <c r="T784" s="16">
        <v>1.4542226918716616E-4</v>
      </c>
    </row>
    <row r="785" spans="1:20" ht="16" hidden="1">
      <c r="A785" s="80" t="s">
        <v>210</v>
      </c>
      <c r="B785" s="81" t="s">
        <v>60</v>
      </c>
      <c r="C785" s="18"/>
      <c r="D785" s="21">
        <v>0</v>
      </c>
      <c r="E785" s="21">
        <v>0</v>
      </c>
      <c r="F785" s="21">
        <v>0</v>
      </c>
      <c r="G785" s="21">
        <v>0</v>
      </c>
      <c r="H785" s="21">
        <v>0</v>
      </c>
      <c r="I785" s="21">
        <v>0</v>
      </c>
      <c r="J785" s="3">
        <v>0</v>
      </c>
      <c r="K785" s="3">
        <v>0</v>
      </c>
      <c r="L785" s="3">
        <v>0</v>
      </c>
      <c r="M785" s="3">
        <v>0</v>
      </c>
      <c r="N785" s="3">
        <v>0</v>
      </c>
      <c r="O785" s="3">
        <v>0</v>
      </c>
      <c r="P785" s="18"/>
      <c r="Q785" s="82">
        <f t="shared" ref="Q785:Q848" si="16">IFERROR(I785/$I$4," ")</f>
        <v>0</v>
      </c>
      <c r="R785" s="14">
        <v>0</v>
      </c>
      <c r="S785" s="15">
        <v>0</v>
      </c>
      <c r="T785" s="16">
        <v>0</v>
      </c>
    </row>
    <row r="786" spans="1:20" ht="16" hidden="1">
      <c r="A786" s="80" t="s">
        <v>212</v>
      </c>
      <c r="B786" s="81" t="s">
        <v>62</v>
      </c>
      <c r="C786" s="18"/>
      <c r="D786" s="21">
        <v>0</v>
      </c>
      <c r="E786" s="21">
        <v>0</v>
      </c>
      <c r="F786" s="21">
        <v>0</v>
      </c>
      <c r="G786" s="21">
        <v>0</v>
      </c>
      <c r="H786" s="21">
        <v>0</v>
      </c>
      <c r="I786" s="21">
        <v>0</v>
      </c>
      <c r="J786" s="3">
        <v>0</v>
      </c>
      <c r="K786" s="3">
        <v>0</v>
      </c>
      <c r="L786" s="3">
        <v>0</v>
      </c>
      <c r="M786" s="3">
        <v>0</v>
      </c>
      <c r="N786" s="3">
        <v>0</v>
      </c>
      <c r="O786" s="3">
        <v>0</v>
      </c>
      <c r="P786" s="18"/>
      <c r="Q786" s="82">
        <f t="shared" si="16"/>
        <v>0</v>
      </c>
      <c r="R786" s="14">
        <v>44451.97980500001</v>
      </c>
      <c r="S786" s="15">
        <v>0.46511449787385162</v>
      </c>
      <c r="T786" s="16">
        <v>2.2625136344298011E-3</v>
      </c>
    </row>
    <row r="787" spans="1:20" ht="16" hidden="1">
      <c r="A787" s="80" t="s">
        <v>214</v>
      </c>
      <c r="B787" s="81" t="s">
        <v>85</v>
      </c>
      <c r="C787" s="18"/>
      <c r="D787" s="21">
        <v>0</v>
      </c>
      <c r="E787" s="21">
        <v>0</v>
      </c>
      <c r="F787" s="21">
        <v>0</v>
      </c>
      <c r="G787" s="21">
        <v>0</v>
      </c>
      <c r="H787" s="21">
        <v>0</v>
      </c>
      <c r="I787" s="21">
        <v>0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18"/>
      <c r="Q787" s="82">
        <f t="shared" si="16"/>
        <v>0</v>
      </c>
      <c r="R787" s="14">
        <v>31664.96999999999</v>
      </c>
      <c r="S787" s="15">
        <v>7.0059273321031705</v>
      </c>
      <c r="T787" s="16">
        <v>5.8467362645328244E-4</v>
      </c>
    </row>
    <row r="788" spans="1:20" ht="16" hidden="1">
      <c r="A788" s="80" t="s">
        <v>215</v>
      </c>
      <c r="B788" s="81" t="s">
        <v>66</v>
      </c>
      <c r="C788" s="18"/>
      <c r="D788" s="21">
        <v>0</v>
      </c>
      <c r="E788" s="21">
        <v>0</v>
      </c>
      <c r="F788" s="21">
        <v>0</v>
      </c>
      <c r="G788" s="21">
        <v>0</v>
      </c>
      <c r="H788" s="21">
        <v>0</v>
      </c>
      <c r="I788" s="21">
        <v>0</v>
      </c>
      <c r="J788" s="3">
        <v>0</v>
      </c>
      <c r="K788" s="3">
        <v>0</v>
      </c>
      <c r="L788" s="3">
        <v>0</v>
      </c>
      <c r="M788" s="3">
        <v>0</v>
      </c>
      <c r="N788" s="3">
        <v>0</v>
      </c>
      <c r="O788" s="3">
        <v>0</v>
      </c>
      <c r="P788" s="18"/>
      <c r="Q788" s="82">
        <f t="shared" si="16"/>
        <v>0</v>
      </c>
      <c r="R788" s="14">
        <v>0</v>
      </c>
      <c r="S788" s="15">
        <v>0</v>
      </c>
      <c r="T788" s="16">
        <v>4.5977997268607237E-5</v>
      </c>
    </row>
    <row r="789" spans="1:20" ht="16" hidden="1">
      <c r="A789" s="80" t="s">
        <v>217</v>
      </c>
      <c r="B789" s="81" t="s">
        <v>89</v>
      </c>
      <c r="C789" s="18"/>
      <c r="D789" s="21">
        <v>0</v>
      </c>
      <c r="E789" s="21">
        <v>0</v>
      </c>
      <c r="F789" s="21">
        <v>0</v>
      </c>
      <c r="G789" s="21">
        <v>0</v>
      </c>
      <c r="H789" s="21">
        <v>0</v>
      </c>
      <c r="I789" s="21">
        <v>0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>
        <v>0</v>
      </c>
      <c r="P789" s="18"/>
      <c r="Q789" s="82">
        <f t="shared" si="16"/>
        <v>0</v>
      </c>
      <c r="R789" s="14">
        <v>0</v>
      </c>
      <c r="S789" s="15">
        <v>0</v>
      </c>
      <c r="T789" s="16">
        <v>0</v>
      </c>
    </row>
    <row r="790" spans="1:20" ht="16" hidden="1">
      <c r="A790" s="80" t="s">
        <v>218</v>
      </c>
      <c r="B790" s="81" t="s">
        <v>85</v>
      </c>
      <c r="C790" s="18"/>
      <c r="D790" s="21">
        <v>0</v>
      </c>
      <c r="E790" s="21">
        <v>0</v>
      </c>
      <c r="F790" s="21">
        <v>81000</v>
      </c>
      <c r="G790" s="21">
        <v>54000</v>
      </c>
      <c r="H790" s="21">
        <v>0</v>
      </c>
      <c r="I790" s="21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18"/>
      <c r="Q790" s="82">
        <f t="shared" si="16"/>
        <v>0</v>
      </c>
      <c r="R790" s="14">
        <v>0</v>
      </c>
      <c r="S790" s="15">
        <v>0</v>
      </c>
      <c r="T790" s="16">
        <v>4.8474089729055388E-10</v>
      </c>
    </row>
    <row r="791" spans="1:20" ht="16" hidden="1">
      <c r="A791" s="80" t="s">
        <v>219</v>
      </c>
      <c r="B791" s="81" t="s">
        <v>66</v>
      </c>
      <c r="C791" s="18"/>
      <c r="D791" s="21">
        <v>0</v>
      </c>
      <c r="E791" s="21">
        <v>0</v>
      </c>
      <c r="F791" s="21">
        <v>0</v>
      </c>
      <c r="G791" s="21">
        <v>0</v>
      </c>
      <c r="H791" s="21">
        <v>0</v>
      </c>
      <c r="I791" s="21">
        <v>0</v>
      </c>
      <c r="J791" s="3">
        <v>0</v>
      </c>
      <c r="K791" s="3">
        <v>0</v>
      </c>
      <c r="L791" s="3">
        <v>0</v>
      </c>
      <c r="M791" s="3">
        <v>0</v>
      </c>
      <c r="N791" s="3">
        <v>0</v>
      </c>
      <c r="O791" s="3">
        <v>0</v>
      </c>
      <c r="P791" s="18"/>
      <c r="Q791" s="82">
        <f t="shared" si="16"/>
        <v>0</v>
      </c>
      <c r="R791" s="14">
        <v>0</v>
      </c>
      <c r="S791" s="15">
        <v>0</v>
      </c>
      <c r="T791" s="16">
        <v>1.7773832900653641E-9</v>
      </c>
    </row>
    <row r="792" spans="1:20" ht="16" hidden="1">
      <c r="A792" s="80" t="s">
        <v>221</v>
      </c>
      <c r="B792" s="81" t="s">
        <v>78</v>
      </c>
      <c r="C792" s="18"/>
      <c r="D792" s="21">
        <v>-3.4694469519536142E-18</v>
      </c>
      <c r="E792" s="21">
        <v>-3.4694469519536142E-18</v>
      </c>
      <c r="F792" s="21">
        <v>-3.4694469519536142E-18</v>
      </c>
      <c r="G792" s="21">
        <v>-3.4694469519536142E-18</v>
      </c>
      <c r="H792" s="21">
        <v>0</v>
      </c>
      <c r="I792" s="21">
        <v>0</v>
      </c>
      <c r="J792" s="3">
        <v>0</v>
      </c>
      <c r="K792" s="3">
        <v>0</v>
      </c>
      <c r="L792" s="3">
        <v>0</v>
      </c>
      <c r="M792" s="3">
        <v>0</v>
      </c>
      <c r="N792" s="3">
        <v>0</v>
      </c>
      <c r="O792" s="3">
        <v>0</v>
      </c>
      <c r="P792" s="18"/>
      <c r="Q792" s="82">
        <f t="shared" si="16"/>
        <v>0</v>
      </c>
      <c r="R792" s="14">
        <v>0</v>
      </c>
      <c r="S792" s="15">
        <v>0</v>
      </c>
      <c r="T792" s="16">
        <v>0</v>
      </c>
    </row>
    <row r="793" spans="1:20" ht="16" hidden="1">
      <c r="A793" s="80" t="s">
        <v>222</v>
      </c>
      <c r="B793" s="81" t="s">
        <v>76</v>
      </c>
      <c r="C793" s="18"/>
      <c r="D793" s="21">
        <v>0</v>
      </c>
      <c r="E793" s="21">
        <v>0</v>
      </c>
      <c r="F793" s="21">
        <v>0</v>
      </c>
      <c r="G793" s="21">
        <v>0</v>
      </c>
      <c r="H793" s="21">
        <v>0</v>
      </c>
      <c r="I793" s="21">
        <v>0</v>
      </c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>
        <v>0</v>
      </c>
      <c r="P793" s="18"/>
      <c r="Q793" s="82">
        <f t="shared" si="16"/>
        <v>0</v>
      </c>
      <c r="R793" s="14">
        <v>0</v>
      </c>
      <c r="S793" s="15">
        <v>0</v>
      </c>
      <c r="T793" s="16">
        <v>1.50512048608717E-6</v>
      </c>
    </row>
    <row r="794" spans="1:20" ht="16" hidden="1">
      <c r="A794" s="80" t="s">
        <v>222</v>
      </c>
      <c r="B794" s="81" t="s">
        <v>78</v>
      </c>
      <c r="C794" s="18"/>
      <c r="D794" s="21">
        <v>0</v>
      </c>
      <c r="E794" s="21">
        <v>0</v>
      </c>
      <c r="F794" s="21">
        <v>0</v>
      </c>
      <c r="G794" s="21">
        <v>0</v>
      </c>
      <c r="H794" s="21">
        <v>0</v>
      </c>
      <c r="I794" s="21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18"/>
      <c r="Q794" s="82">
        <f t="shared" si="16"/>
        <v>0</v>
      </c>
      <c r="R794" s="14">
        <v>0</v>
      </c>
      <c r="S794" s="15">
        <v>0</v>
      </c>
      <c r="T794" s="16">
        <v>0</v>
      </c>
    </row>
    <row r="795" spans="1:20" ht="16" hidden="1">
      <c r="A795" s="80" t="s">
        <v>223</v>
      </c>
      <c r="B795" s="81" t="s">
        <v>76</v>
      </c>
      <c r="C795" s="18"/>
      <c r="D795" s="21">
        <v>0</v>
      </c>
      <c r="E795" s="21">
        <v>0</v>
      </c>
      <c r="F795" s="21">
        <v>235</v>
      </c>
      <c r="G795" s="21">
        <v>0</v>
      </c>
      <c r="H795" s="21">
        <v>0</v>
      </c>
      <c r="I795" s="21">
        <v>0</v>
      </c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>
        <v>0</v>
      </c>
      <c r="P795" s="18"/>
      <c r="Q795" s="82">
        <f t="shared" si="16"/>
        <v>0</v>
      </c>
      <c r="R795" s="14">
        <v>0</v>
      </c>
      <c r="S795" s="15">
        <v>0</v>
      </c>
      <c r="T795" s="16">
        <v>1.9389635891622155E-9</v>
      </c>
    </row>
    <row r="796" spans="1:20" ht="16" hidden="1">
      <c r="A796" s="80" t="s">
        <v>223</v>
      </c>
      <c r="B796" s="81" t="s">
        <v>78</v>
      </c>
      <c r="C796" s="18"/>
      <c r="D796" s="21">
        <v>0</v>
      </c>
      <c r="E796" s="21">
        <v>0</v>
      </c>
      <c r="F796" s="21">
        <v>0</v>
      </c>
      <c r="G796" s="21">
        <v>0</v>
      </c>
      <c r="H796" s="21">
        <v>0</v>
      </c>
      <c r="I796" s="21">
        <v>0</v>
      </c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>
        <v>0</v>
      </c>
      <c r="P796" s="18"/>
      <c r="Q796" s="82">
        <f t="shared" si="16"/>
        <v>0</v>
      </c>
      <c r="R796" s="14">
        <v>0</v>
      </c>
      <c r="S796" s="15">
        <v>0</v>
      </c>
      <c r="T796" s="16">
        <v>1.3403085810083814E-6</v>
      </c>
    </row>
    <row r="797" spans="1:20" ht="16">
      <c r="A797" s="80" t="s">
        <v>225</v>
      </c>
      <c r="B797" s="81" t="s">
        <v>67</v>
      </c>
      <c r="C797" s="18"/>
      <c r="D797" s="21">
        <v>0</v>
      </c>
      <c r="E797" s="21">
        <v>0</v>
      </c>
      <c r="F797" s="21">
        <v>0</v>
      </c>
      <c r="G797" s="21">
        <v>0</v>
      </c>
      <c r="H797" s="21">
        <v>0</v>
      </c>
      <c r="I797" s="21">
        <v>0</v>
      </c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>
        <v>0</v>
      </c>
      <c r="P797" s="18"/>
      <c r="Q797" s="82">
        <f t="shared" si="16"/>
        <v>0</v>
      </c>
      <c r="R797" s="14">
        <v>0</v>
      </c>
      <c r="S797" s="15">
        <v>0</v>
      </c>
      <c r="T797" s="16">
        <v>0</v>
      </c>
    </row>
    <row r="798" spans="1:20" ht="16" hidden="1">
      <c r="A798" s="80" t="s">
        <v>225</v>
      </c>
      <c r="B798" s="81" t="s">
        <v>62</v>
      </c>
      <c r="C798" s="18"/>
      <c r="D798" s="21">
        <v>0</v>
      </c>
      <c r="E798" s="21">
        <v>0</v>
      </c>
      <c r="F798" s="21">
        <v>0</v>
      </c>
      <c r="G798" s="21">
        <v>0</v>
      </c>
      <c r="H798" s="21">
        <v>0</v>
      </c>
      <c r="I798" s="21">
        <v>0</v>
      </c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>
        <v>0</v>
      </c>
      <c r="P798" s="18"/>
      <c r="Q798" s="82">
        <f t="shared" si="16"/>
        <v>0</v>
      </c>
      <c r="R798" s="14">
        <v>0</v>
      </c>
      <c r="S798" s="15">
        <v>0</v>
      </c>
      <c r="T798" s="16">
        <v>0</v>
      </c>
    </row>
    <row r="799" spans="1:20" ht="16" hidden="1">
      <c r="A799" s="80" t="s">
        <v>232</v>
      </c>
      <c r="B799" s="81" t="s">
        <v>66</v>
      </c>
      <c r="C799" s="18"/>
      <c r="D799" s="21">
        <v>0</v>
      </c>
      <c r="E799" s="21">
        <v>0</v>
      </c>
      <c r="F799" s="21">
        <v>0</v>
      </c>
      <c r="G799" s="21">
        <v>0</v>
      </c>
      <c r="H799" s="21">
        <v>0</v>
      </c>
      <c r="I799" s="21">
        <v>0</v>
      </c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>
        <v>0</v>
      </c>
      <c r="P799" s="18"/>
      <c r="Q799" s="82">
        <f t="shared" si="16"/>
        <v>0</v>
      </c>
      <c r="R799" s="14">
        <v>0</v>
      </c>
      <c r="S799" s="15">
        <v>0</v>
      </c>
      <c r="T799" s="16">
        <v>1.5463234623568669E-7</v>
      </c>
    </row>
    <row r="800" spans="1:20" ht="16" hidden="1">
      <c r="A800" s="80" t="s">
        <v>234</v>
      </c>
      <c r="B800" s="81" t="s">
        <v>60</v>
      </c>
      <c r="C800" s="18"/>
      <c r="D800" s="21">
        <v>2803386.8600000003</v>
      </c>
      <c r="E800" s="21">
        <v>2753386.8600000003</v>
      </c>
      <c r="F800" s="21">
        <v>2603386.8600000003</v>
      </c>
      <c r="G800" s="21">
        <v>2503386.8600000003</v>
      </c>
      <c r="H800" s="21">
        <v>0</v>
      </c>
      <c r="I800" s="21">
        <v>0</v>
      </c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>
        <v>0</v>
      </c>
      <c r="P800" s="18"/>
      <c r="Q800" s="82">
        <f t="shared" si="16"/>
        <v>0</v>
      </c>
      <c r="R800" s="14">
        <v>0</v>
      </c>
      <c r="S800" s="15">
        <v>0</v>
      </c>
      <c r="T800" s="16">
        <v>2.4237044864527697E-9</v>
      </c>
    </row>
    <row r="801" spans="1:20" ht="16" hidden="1">
      <c r="A801" s="80" t="s">
        <v>237</v>
      </c>
      <c r="B801" s="81" t="s">
        <v>85</v>
      </c>
      <c r="C801" s="18"/>
      <c r="D801" s="21">
        <v>0</v>
      </c>
      <c r="E801" s="21">
        <v>0</v>
      </c>
      <c r="F801" s="21">
        <v>0</v>
      </c>
      <c r="G801" s="21">
        <v>0</v>
      </c>
      <c r="H801" s="21">
        <v>0</v>
      </c>
      <c r="I801" s="21">
        <v>0</v>
      </c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>
        <v>0</v>
      </c>
      <c r="P801" s="18"/>
      <c r="Q801" s="82">
        <f t="shared" si="16"/>
        <v>0</v>
      </c>
      <c r="R801" s="14">
        <v>0</v>
      </c>
      <c r="S801" s="15">
        <v>0</v>
      </c>
      <c r="T801" s="16">
        <v>-5.6059427619732405E-26</v>
      </c>
    </row>
    <row r="802" spans="1:20" ht="16" hidden="1">
      <c r="A802" s="80" t="s">
        <v>238</v>
      </c>
      <c r="B802" s="81" t="s">
        <v>62</v>
      </c>
      <c r="C802" s="18"/>
      <c r="D802" s="21">
        <v>0</v>
      </c>
      <c r="E802" s="21">
        <v>0</v>
      </c>
      <c r="F802" s="21">
        <v>0</v>
      </c>
      <c r="G802" s="21">
        <v>0</v>
      </c>
      <c r="H802" s="21">
        <v>0</v>
      </c>
      <c r="I802" s="21">
        <v>0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>
        <v>0</v>
      </c>
      <c r="P802" s="18"/>
      <c r="Q802" s="82">
        <f t="shared" si="16"/>
        <v>0</v>
      </c>
      <c r="R802" s="14">
        <v>0</v>
      </c>
      <c r="S802" s="15">
        <v>0</v>
      </c>
      <c r="T802" s="16">
        <v>-1.367674402152501E-6</v>
      </c>
    </row>
    <row r="803" spans="1:20" ht="16" hidden="1">
      <c r="A803" s="80" t="s">
        <v>241</v>
      </c>
      <c r="B803" s="81" t="s">
        <v>78</v>
      </c>
      <c r="C803" s="18"/>
      <c r="D803" s="21">
        <v>129842.85999999999</v>
      </c>
      <c r="E803" s="21">
        <v>129842.85999999999</v>
      </c>
      <c r="F803" s="21">
        <v>129842.85999999999</v>
      </c>
      <c r="G803" s="21">
        <v>129842.85999999999</v>
      </c>
      <c r="H803" s="21">
        <v>0</v>
      </c>
      <c r="I803" s="21">
        <v>0</v>
      </c>
      <c r="J803" s="3">
        <v>0</v>
      </c>
      <c r="K803" s="3">
        <v>0</v>
      </c>
      <c r="L803" s="3">
        <v>0</v>
      </c>
      <c r="M803" s="3">
        <v>0</v>
      </c>
      <c r="N803" s="3">
        <v>0</v>
      </c>
      <c r="O803" s="3">
        <v>0</v>
      </c>
      <c r="P803" s="18"/>
      <c r="Q803" s="82">
        <f t="shared" si="16"/>
        <v>0</v>
      </c>
      <c r="R803" s="14">
        <v>-33514.439999999995</v>
      </c>
      <c r="S803" s="15">
        <v>-0.7593222151508553</v>
      </c>
      <c r="T803" s="16">
        <v>1.7164465118669689E-4</v>
      </c>
    </row>
    <row r="804" spans="1:20" ht="16" hidden="1">
      <c r="A804" s="80" t="s">
        <v>249</v>
      </c>
      <c r="B804" s="81" t="s">
        <v>78</v>
      </c>
      <c r="C804" s="18"/>
      <c r="D804" s="21">
        <v>0</v>
      </c>
      <c r="E804" s="21">
        <v>0</v>
      </c>
      <c r="F804" s="21">
        <v>0</v>
      </c>
      <c r="G804" s="21">
        <v>0</v>
      </c>
      <c r="H804" s="21">
        <v>0</v>
      </c>
      <c r="I804" s="21">
        <v>0</v>
      </c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>
        <v>0</v>
      </c>
      <c r="P804" s="18"/>
      <c r="Q804" s="82">
        <f t="shared" si="16"/>
        <v>0</v>
      </c>
      <c r="R804" s="14">
        <v>0</v>
      </c>
      <c r="S804" s="15">
        <v>0</v>
      </c>
      <c r="T804" s="16">
        <v>7.9174346557457134E-9</v>
      </c>
    </row>
    <row r="805" spans="1:20" ht="16" hidden="1">
      <c r="A805" s="80" t="s">
        <v>253</v>
      </c>
      <c r="B805" s="81" t="s">
        <v>145</v>
      </c>
      <c r="C805" s="18"/>
      <c r="D805" s="21">
        <v>0</v>
      </c>
      <c r="E805" s="21">
        <v>0</v>
      </c>
      <c r="F805" s="21">
        <v>0</v>
      </c>
      <c r="G805" s="21">
        <v>0</v>
      </c>
      <c r="H805" s="21">
        <v>0</v>
      </c>
      <c r="I805" s="21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18"/>
      <c r="Q805" s="82">
        <f t="shared" si="16"/>
        <v>0</v>
      </c>
      <c r="R805" s="14">
        <v>0</v>
      </c>
      <c r="S805" s="15">
        <v>0</v>
      </c>
      <c r="T805" s="16">
        <v>0</v>
      </c>
    </row>
    <row r="806" spans="1:20" ht="16" hidden="1">
      <c r="A806" s="80" t="s">
        <v>254</v>
      </c>
      <c r="B806" s="81" t="s">
        <v>62</v>
      </c>
      <c r="C806" s="18"/>
      <c r="D806" s="21">
        <v>0</v>
      </c>
      <c r="E806" s="21">
        <v>0</v>
      </c>
      <c r="F806" s="21">
        <v>0</v>
      </c>
      <c r="G806" s="21">
        <v>0</v>
      </c>
      <c r="H806" s="21">
        <v>0</v>
      </c>
      <c r="I806" s="21">
        <v>0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</v>
      </c>
      <c r="P806" s="18"/>
      <c r="Q806" s="82">
        <f t="shared" si="16"/>
        <v>0</v>
      </c>
      <c r="R806" s="14">
        <v>0</v>
      </c>
      <c r="S806" s="15">
        <v>0</v>
      </c>
      <c r="T806" s="16">
        <v>0</v>
      </c>
    </row>
    <row r="807" spans="1:20" ht="16" hidden="1">
      <c r="A807" s="80" t="s">
        <v>255</v>
      </c>
      <c r="B807" s="81" t="s">
        <v>78</v>
      </c>
      <c r="C807" s="18"/>
      <c r="D807" s="21">
        <v>0</v>
      </c>
      <c r="E807" s="21">
        <v>0</v>
      </c>
      <c r="F807" s="21">
        <v>0</v>
      </c>
      <c r="G807" s="21">
        <v>0</v>
      </c>
      <c r="H807" s="21">
        <v>0</v>
      </c>
      <c r="I807" s="21">
        <v>0</v>
      </c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>
        <v>0</v>
      </c>
      <c r="P807" s="18"/>
      <c r="Q807" s="82">
        <f t="shared" si="16"/>
        <v>0</v>
      </c>
      <c r="R807" s="14">
        <v>0</v>
      </c>
      <c r="S807" s="15">
        <v>0</v>
      </c>
      <c r="T807" s="16">
        <v>0</v>
      </c>
    </row>
    <row r="808" spans="1:20" ht="16" hidden="1">
      <c r="A808" s="80" t="s">
        <v>256</v>
      </c>
      <c r="B808" s="81" t="s">
        <v>78</v>
      </c>
      <c r="C808" s="18"/>
      <c r="D808" s="21">
        <v>0</v>
      </c>
      <c r="E808" s="21">
        <v>10000</v>
      </c>
      <c r="F808" s="21">
        <v>30000</v>
      </c>
      <c r="G808" s="21">
        <v>0</v>
      </c>
      <c r="H808" s="21">
        <v>0</v>
      </c>
      <c r="I808" s="21">
        <v>0</v>
      </c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>
        <v>0</v>
      </c>
      <c r="P808" s="18"/>
      <c r="Q808" s="82">
        <f t="shared" si="16"/>
        <v>0</v>
      </c>
      <c r="R808" s="14">
        <v>0</v>
      </c>
      <c r="S808" s="15">
        <v>0</v>
      </c>
      <c r="T808" s="16">
        <v>0</v>
      </c>
    </row>
    <row r="809" spans="1:20" ht="16" hidden="1">
      <c r="A809" s="80" t="s">
        <v>256</v>
      </c>
      <c r="B809" s="81" t="s">
        <v>60</v>
      </c>
      <c r="C809" s="18"/>
      <c r="D809" s="21">
        <v>0</v>
      </c>
      <c r="E809" s="21">
        <v>0</v>
      </c>
      <c r="F809" s="21">
        <v>0</v>
      </c>
      <c r="G809" s="21">
        <v>0</v>
      </c>
      <c r="H809" s="21">
        <v>0</v>
      </c>
      <c r="I809" s="21">
        <v>0</v>
      </c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>
        <v>0</v>
      </c>
      <c r="P809" s="18"/>
      <c r="Q809" s="82">
        <f t="shared" si="16"/>
        <v>0</v>
      </c>
      <c r="R809" s="14">
        <v>-33524.579999999842</v>
      </c>
      <c r="S809" s="15">
        <v>-2.6918574903717692E-2</v>
      </c>
      <c r="T809" s="16">
        <v>1.9581631419899805E-2</v>
      </c>
    </row>
    <row r="810" spans="1:20" ht="16" hidden="1">
      <c r="A810" s="80" t="s">
        <v>257</v>
      </c>
      <c r="B810" s="81" t="s">
        <v>78</v>
      </c>
      <c r="C810" s="18"/>
      <c r="D810" s="21">
        <v>0</v>
      </c>
      <c r="E810" s="21">
        <v>0</v>
      </c>
      <c r="F810" s="21">
        <v>0</v>
      </c>
      <c r="G810" s="21">
        <v>0</v>
      </c>
      <c r="H810" s="21">
        <v>0</v>
      </c>
      <c r="I810" s="21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18"/>
      <c r="Q810" s="82">
        <f t="shared" si="16"/>
        <v>0</v>
      </c>
      <c r="R810" s="14">
        <v>0</v>
      </c>
      <c r="S810" s="15">
        <v>0</v>
      </c>
      <c r="T810" s="16">
        <v>-1.6158029909685145E-10</v>
      </c>
    </row>
    <row r="811" spans="1:20" ht="16" hidden="1">
      <c r="A811" s="80" t="s">
        <v>257</v>
      </c>
      <c r="B811" s="81" t="s">
        <v>85</v>
      </c>
      <c r="C811" s="18"/>
      <c r="D811" s="21">
        <v>0</v>
      </c>
      <c r="E811" s="21">
        <v>0</v>
      </c>
      <c r="F811" s="21">
        <v>0</v>
      </c>
      <c r="G811" s="21">
        <v>0</v>
      </c>
      <c r="H811" s="21">
        <v>0</v>
      </c>
      <c r="I811" s="21">
        <v>0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</v>
      </c>
      <c r="P811" s="18"/>
      <c r="Q811" s="82">
        <f t="shared" si="16"/>
        <v>0</v>
      </c>
      <c r="R811" s="14">
        <v>0</v>
      </c>
      <c r="S811" s="15">
        <v>0</v>
      </c>
      <c r="T811" s="16">
        <v>-3.877927178324431E-9</v>
      </c>
    </row>
    <row r="812" spans="1:20" ht="16" hidden="1">
      <c r="A812" s="80" t="s">
        <v>258</v>
      </c>
      <c r="B812" s="81" t="s">
        <v>62</v>
      </c>
      <c r="C812" s="18"/>
      <c r="D812" s="21">
        <v>0</v>
      </c>
      <c r="E812" s="21">
        <v>0</v>
      </c>
      <c r="F812" s="21">
        <v>0</v>
      </c>
      <c r="G812" s="21">
        <v>0</v>
      </c>
      <c r="H812" s="21">
        <v>0</v>
      </c>
      <c r="I812" s="21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18"/>
      <c r="Q812" s="82">
        <f t="shared" si="16"/>
        <v>0</v>
      </c>
      <c r="R812" s="14">
        <v>7000</v>
      </c>
      <c r="S812" s="15">
        <v>0.22019225929840455</v>
      </c>
      <c r="T812" s="16">
        <v>6.2677644340865008E-4</v>
      </c>
    </row>
    <row r="813" spans="1:20" ht="16" hidden="1">
      <c r="A813" s="80" t="s">
        <v>259</v>
      </c>
      <c r="B813" s="81" t="s">
        <v>66</v>
      </c>
      <c r="C813" s="18"/>
      <c r="D813" s="21">
        <v>0</v>
      </c>
      <c r="E813" s="21">
        <v>0</v>
      </c>
      <c r="F813" s="21">
        <v>0</v>
      </c>
      <c r="G813" s="21">
        <v>0</v>
      </c>
      <c r="H813" s="21">
        <v>0</v>
      </c>
      <c r="I813" s="21">
        <v>0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0</v>
      </c>
      <c r="P813" s="18"/>
      <c r="Q813" s="82">
        <f t="shared" si="16"/>
        <v>0</v>
      </c>
      <c r="R813" s="14">
        <v>0</v>
      </c>
      <c r="S813" s="15">
        <v>0</v>
      </c>
      <c r="T813" s="16">
        <v>8.712303084304816E-3</v>
      </c>
    </row>
    <row r="814" spans="1:20" ht="16" hidden="1">
      <c r="A814" s="80" t="s">
        <v>261</v>
      </c>
      <c r="B814" s="81" t="s">
        <v>76</v>
      </c>
      <c r="C814" s="18"/>
      <c r="D814" s="21">
        <v>0</v>
      </c>
      <c r="E814" s="21">
        <v>0</v>
      </c>
      <c r="F814" s="21">
        <v>0</v>
      </c>
      <c r="G814" s="21">
        <v>0</v>
      </c>
      <c r="H814" s="21">
        <v>0</v>
      </c>
      <c r="I814" s="21">
        <v>0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18"/>
      <c r="Q814" s="82">
        <f t="shared" si="16"/>
        <v>0</v>
      </c>
      <c r="R814" s="14">
        <v>0</v>
      </c>
      <c r="S814" s="15">
        <v>0</v>
      </c>
      <c r="T814" s="16">
        <v>0</v>
      </c>
    </row>
    <row r="815" spans="1:20" ht="16" hidden="1">
      <c r="A815" s="80" t="s">
        <v>263</v>
      </c>
      <c r="B815" s="81" t="s">
        <v>85</v>
      </c>
      <c r="C815" s="18"/>
      <c r="D815" s="21">
        <v>0</v>
      </c>
      <c r="E815" s="21">
        <v>0</v>
      </c>
      <c r="F815" s="21">
        <v>0</v>
      </c>
      <c r="G815" s="21">
        <v>0</v>
      </c>
      <c r="H815" s="21">
        <v>0</v>
      </c>
      <c r="I815" s="21">
        <v>0</v>
      </c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>
        <v>0</v>
      </c>
      <c r="P815" s="18"/>
      <c r="Q815" s="82">
        <f t="shared" si="16"/>
        <v>0</v>
      </c>
      <c r="R815" s="14">
        <v>6211.2</v>
      </c>
      <c r="S815" s="15">
        <v>1.0345775291866057</v>
      </c>
      <c r="T815" s="16">
        <v>1.9736726532112105E-4</v>
      </c>
    </row>
    <row r="816" spans="1:20" ht="16" hidden="1">
      <c r="A816" s="80" t="s">
        <v>264</v>
      </c>
      <c r="B816" s="81" t="s">
        <v>66</v>
      </c>
      <c r="C816" s="18"/>
      <c r="D816" s="21">
        <v>0</v>
      </c>
      <c r="E816" s="21">
        <v>0</v>
      </c>
      <c r="F816" s="21">
        <v>0</v>
      </c>
      <c r="G816" s="21">
        <v>0</v>
      </c>
      <c r="H816" s="21">
        <v>0</v>
      </c>
      <c r="I816" s="21">
        <v>0</v>
      </c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>
        <v>0</v>
      </c>
      <c r="P816" s="18"/>
      <c r="Q816" s="82">
        <f t="shared" si="16"/>
        <v>0</v>
      </c>
      <c r="R816" s="14">
        <v>2.2204460492503131E-16</v>
      </c>
      <c r="S816" s="15">
        <v>1.1102230246251873E-14</v>
      </c>
      <c r="T816" s="16">
        <v>3.2316059819369721E-10</v>
      </c>
    </row>
    <row r="817" spans="1:20" ht="16" hidden="1">
      <c r="A817" s="80" t="s">
        <v>265</v>
      </c>
      <c r="B817" s="81" t="s">
        <v>85</v>
      </c>
      <c r="C817" s="18"/>
      <c r="D817" s="21">
        <v>0</v>
      </c>
      <c r="E817" s="21">
        <v>0</v>
      </c>
      <c r="F817" s="21">
        <v>0</v>
      </c>
      <c r="G817" s="21">
        <v>0</v>
      </c>
      <c r="H817" s="21">
        <v>0</v>
      </c>
      <c r="I817" s="21">
        <v>0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</v>
      </c>
      <c r="P817" s="18"/>
      <c r="Q817" s="82">
        <f t="shared" si="16"/>
        <v>0</v>
      </c>
      <c r="R817" s="14">
        <v>0</v>
      </c>
      <c r="S817" s="15">
        <v>0</v>
      </c>
      <c r="T817" s="16">
        <v>0</v>
      </c>
    </row>
    <row r="818" spans="1:20" ht="16">
      <c r="A818" s="80" t="s">
        <v>267</v>
      </c>
      <c r="B818" s="81" t="s">
        <v>67</v>
      </c>
      <c r="C818" s="18"/>
      <c r="D818" s="21">
        <v>0</v>
      </c>
      <c r="E818" s="21">
        <v>0</v>
      </c>
      <c r="F818" s="21">
        <v>0</v>
      </c>
      <c r="G818" s="21">
        <v>0</v>
      </c>
      <c r="H818" s="21">
        <v>0</v>
      </c>
      <c r="I818" s="21">
        <v>0</v>
      </c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>
        <v>0</v>
      </c>
      <c r="P818" s="18"/>
      <c r="Q818" s="82">
        <f t="shared" si="16"/>
        <v>0</v>
      </c>
      <c r="R818" s="14">
        <v>0</v>
      </c>
      <c r="S818" s="15">
        <v>0</v>
      </c>
      <c r="T818" s="16">
        <v>0</v>
      </c>
    </row>
    <row r="819" spans="1:20" ht="16">
      <c r="A819" s="80" t="s">
        <v>269</v>
      </c>
      <c r="B819" s="81" t="s">
        <v>67</v>
      </c>
      <c r="C819" s="18"/>
      <c r="D819" s="21">
        <v>0</v>
      </c>
      <c r="E819" s="21">
        <v>0</v>
      </c>
      <c r="F819" s="21">
        <v>0</v>
      </c>
      <c r="G819" s="21">
        <v>0</v>
      </c>
      <c r="H819" s="21">
        <v>0</v>
      </c>
      <c r="I819" s="21">
        <v>0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</v>
      </c>
      <c r="P819" s="18"/>
      <c r="Q819" s="82">
        <f t="shared" si="16"/>
        <v>0</v>
      </c>
      <c r="R819" s="14">
        <v>0</v>
      </c>
      <c r="S819" s="15">
        <v>0</v>
      </c>
      <c r="T819" s="16">
        <v>9.1336657250776245E-5</v>
      </c>
    </row>
    <row r="820" spans="1:20" ht="16">
      <c r="A820" s="80" t="s">
        <v>270</v>
      </c>
      <c r="B820" s="81" t="s">
        <v>67</v>
      </c>
      <c r="C820" s="18"/>
      <c r="D820" s="21">
        <v>0</v>
      </c>
      <c r="E820" s="21">
        <v>0</v>
      </c>
      <c r="F820" s="21">
        <v>0</v>
      </c>
      <c r="G820" s="21">
        <v>0</v>
      </c>
      <c r="H820" s="21">
        <v>0</v>
      </c>
      <c r="I820" s="21">
        <v>0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0</v>
      </c>
      <c r="P820" s="18"/>
      <c r="Q820" s="82">
        <f t="shared" si="16"/>
        <v>0</v>
      </c>
      <c r="R820" s="14">
        <v>0</v>
      </c>
      <c r="S820" s="15">
        <v>0</v>
      </c>
      <c r="T820" s="16">
        <v>0</v>
      </c>
    </row>
    <row r="821" spans="1:20" ht="16" hidden="1">
      <c r="A821" s="80" t="s">
        <v>274</v>
      </c>
      <c r="B821" s="81" t="s">
        <v>78</v>
      </c>
      <c r="C821" s="18"/>
      <c r="D821" s="21">
        <v>0</v>
      </c>
      <c r="E821" s="21">
        <v>0</v>
      </c>
      <c r="F821" s="21">
        <v>48720</v>
      </c>
      <c r="G821" s="21">
        <v>48720</v>
      </c>
      <c r="H821" s="21">
        <v>0</v>
      </c>
      <c r="I821" s="21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18"/>
      <c r="Q821" s="82">
        <f t="shared" si="16"/>
        <v>0</v>
      </c>
      <c r="R821" s="14">
        <v>0</v>
      </c>
      <c r="S821" s="15">
        <v>0</v>
      </c>
      <c r="T821" s="16">
        <v>0</v>
      </c>
    </row>
    <row r="822" spans="1:20" ht="16" hidden="1">
      <c r="A822" s="80" t="s">
        <v>278</v>
      </c>
      <c r="B822" s="81" t="s">
        <v>89</v>
      </c>
      <c r="C822" s="18"/>
      <c r="D822" s="21">
        <v>0</v>
      </c>
      <c r="E822" s="21">
        <v>0</v>
      </c>
      <c r="F822" s="21">
        <v>0</v>
      </c>
      <c r="G822" s="21">
        <v>0</v>
      </c>
      <c r="H822" s="21">
        <v>0</v>
      </c>
      <c r="I822" s="21">
        <v>0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0</v>
      </c>
      <c r="P822" s="18"/>
      <c r="Q822" s="82">
        <f t="shared" si="16"/>
        <v>0</v>
      </c>
      <c r="R822" s="14">
        <v>0</v>
      </c>
      <c r="S822" s="15">
        <v>0</v>
      </c>
      <c r="T822" s="16">
        <v>0</v>
      </c>
    </row>
    <row r="823" spans="1:20" ht="16" hidden="1">
      <c r="A823" s="80" t="s">
        <v>279</v>
      </c>
      <c r="B823" s="81" t="s">
        <v>78</v>
      </c>
      <c r="C823" s="18"/>
      <c r="D823" s="21">
        <v>0</v>
      </c>
      <c r="E823" s="21">
        <v>0</v>
      </c>
      <c r="F823" s="21">
        <v>0</v>
      </c>
      <c r="G823" s="21">
        <v>0</v>
      </c>
      <c r="H823" s="21">
        <v>0</v>
      </c>
      <c r="I823" s="21">
        <v>0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</v>
      </c>
      <c r="P823" s="18"/>
      <c r="Q823" s="82">
        <f t="shared" si="16"/>
        <v>0</v>
      </c>
      <c r="R823" s="14">
        <v>0</v>
      </c>
      <c r="S823" s="15">
        <v>0</v>
      </c>
      <c r="T823" s="16">
        <v>0</v>
      </c>
    </row>
    <row r="824" spans="1:20" ht="16" hidden="1">
      <c r="A824" s="80" t="s">
        <v>280</v>
      </c>
      <c r="B824" s="81" t="s">
        <v>78</v>
      </c>
      <c r="C824" s="18"/>
      <c r="D824" s="21">
        <v>0</v>
      </c>
      <c r="E824" s="21">
        <v>0</v>
      </c>
      <c r="F824" s="21">
        <v>0</v>
      </c>
      <c r="G824" s="21">
        <v>0</v>
      </c>
      <c r="H824" s="21">
        <v>0</v>
      </c>
      <c r="I824" s="21">
        <v>0</v>
      </c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18"/>
      <c r="Q824" s="82">
        <f t="shared" si="16"/>
        <v>0</v>
      </c>
      <c r="R824" s="14">
        <v>0</v>
      </c>
      <c r="S824" s="15">
        <v>0</v>
      </c>
      <c r="T824" s="16">
        <v>0</v>
      </c>
    </row>
    <row r="825" spans="1:20" ht="16" hidden="1">
      <c r="A825" s="80" t="s">
        <v>281</v>
      </c>
      <c r="B825" s="81" t="s">
        <v>60</v>
      </c>
      <c r="C825" s="18"/>
      <c r="D825" s="21">
        <v>0</v>
      </c>
      <c r="E825" s="21">
        <v>0</v>
      </c>
      <c r="F825" s="21">
        <v>30000</v>
      </c>
      <c r="G825" s="21">
        <v>30000</v>
      </c>
      <c r="H825" s="21">
        <v>0</v>
      </c>
      <c r="I825" s="21">
        <v>0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>
        <v>0</v>
      </c>
      <c r="P825" s="18"/>
      <c r="Q825" s="82">
        <f t="shared" si="16"/>
        <v>0</v>
      </c>
      <c r="R825" s="14">
        <v>36000.239999999998</v>
      </c>
      <c r="S825" s="15">
        <v>0</v>
      </c>
      <c r="T825" s="16">
        <v>5.8169295467584302E-4</v>
      </c>
    </row>
    <row r="826" spans="1:20" ht="16" hidden="1">
      <c r="A826" s="80" t="s">
        <v>282</v>
      </c>
      <c r="B826" s="81" t="s">
        <v>85</v>
      </c>
      <c r="C826" s="18"/>
      <c r="D826" s="21">
        <v>0</v>
      </c>
      <c r="E826" s="21">
        <v>0</v>
      </c>
      <c r="F826" s="21">
        <v>0</v>
      </c>
      <c r="G826" s="21">
        <v>0</v>
      </c>
      <c r="H826" s="21">
        <v>0</v>
      </c>
      <c r="I826" s="21">
        <v>0</v>
      </c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>
        <v>0</v>
      </c>
      <c r="P826" s="18"/>
      <c r="Q826" s="82">
        <f t="shared" si="16"/>
        <v>0</v>
      </c>
      <c r="R826" s="14">
        <v>35315.999999999971</v>
      </c>
      <c r="S826" s="15">
        <v>0.58018051703356122</v>
      </c>
      <c r="T826" s="16">
        <v>1.5541877370942095E-3</v>
      </c>
    </row>
    <row r="827" spans="1:20" ht="16" hidden="1">
      <c r="A827" s="80" t="s">
        <v>284</v>
      </c>
      <c r="B827" s="81" t="s">
        <v>78</v>
      </c>
      <c r="C827" s="18"/>
      <c r="D827" s="21">
        <v>0</v>
      </c>
      <c r="E827" s="21">
        <v>0</v>
      </c>
      <c r="F827" s="21">
        <v>0</v>
      </c>
      <c r="G827" s="21">
        <v>0</v>
      </c>
      <c r="H827" s="21">
        <v>0</v>
      </c>
      <c r="I827" s="21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18"/>
      <c r="Q827" s="82">
        <f t="shared" si="16"/>
        <v>0</v>
      </c>
      <c r="R827" s="14">
        <v>0</v>
      </c>
      <c r="S827" s="15">
        <v>0</v>
      </c>
      <c r="T827" s="16">
        <v>0</v>
      </c>
    </row>
    <row r="828" spans="1:20" ht="16" hidden="1">
      <c r="A828" s="80" t="s">
        <v>285</v>
      </c>
      <c r="B828" s="81" t="s">
        <v>162</v>
      </c>
      <c r="C828" s="18"/>
      <c r="D828" s="21">
        <v>0</v>
      </c>
      <c r="E828" s="21">
        <v>0</v>
      </c>
      <c r="F828" s="21">
        <v>0</v>
      </c>
      <c r="G828" s="21">
        <v>0</v>
      </c>
      <c r="H828" s="21">
        <v>0</v>
      </c>
      <c r="I828" s="21">
        <v>0</v>
      </c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>
        <v>0</v>
      </c>
      <c r="P828" s="18"/>
      <c r="Q828" s="82">
        <f t="shared" si="16"/>
        <v>0</v>
      </c>
      <c r="R828" s="14">
        <v>0</v>
      </c>
      <c r="S828" s="15">
        <v>0</v>
      </c>
      <c r="T828" s="16">
        <v>0</v>
      </c>
    </row>
    <row r="829" spans="1:20" ht="16" hidden="1">
      <c r="A829" s="80" t="s">
        <v>286</v>
      </c>
      <c r="B829" s="81" t="s">
        <v>162</v>
      </c>
      <c r="C829" s="18"/>
      <c r="D829" s="21">
        <v>0</v>
      </c>
      <c r="E829" s="21">
        <v>0</v>
      </c>
      <c r="F829" s="21">
        <v>0</v>
      </c>
      <c r="G829" s="21">
        <v>0</v>
      </c>
      <c r="H829" s="21">
        <v>0</v>
      </c>
      <c r="I829" s="21">
        <v>0</v>
      </c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>
        <v>0</v>
      </c>
      <c r="P829" s="18"/>
      <c r="Q829" s="82">
        <f t="shared" si="16"/>
        <v>0</v>
      </c>
      <c r="R829" s="14">
        <v>-4371.68</v>
      </c>
      <c r="S829" s="15">
        <v>-0.99997941337261564</v>
      </c>
      <c r="T829" s="16">
        <v>1.4542226918716617E-9</v>
      </c>
    </row>
    <row r="830" spans="1:20" ht="16" hidden="1">
      <c r="A830" s="80" t="s">
        <v>287</v>
      </c>
      <c r="B830" s="81" t="s">
        <v>62</v>
      </c>
      <c r="C830" s="18"/>
      <c r="D830" s="21">
        <v>0</v>
      </c>
      <c r="E830" s="21">
        <v>0</v>
      </c>
      <c r="F830" s="21">
        <v>0</v>
      </c>
      <c r="G830" s="21">
        <v>0</v>
      </c>
      <c r="H830" s="21">
        <v>0</v>
      </c>
      <c r="I830" s="21">
        <v>0</v>
      </c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>
        <v>0</v>
      </c>
      <c r="P830" s="18"/>
      <c r="Q830" s="82">
        <f t="shared" si="16"/>
        <v>0</v>
      </c>
      <c r="R830" s="14">
        <v>0</v>
      </c>
      <c r="S830" s="15">
        <v>0</v>
      </c>
      <c r="T830" s="16">
        <v>5.8869713748109335E-4</v>
      </c>
    </row>
    <row r="831" spans="1:20" ht="16" hidden="1">
      <c r="A831" s="80" t="s">
        <v>289</v>
      </c>
      <c r="B831" s="81" t="s">
        <v>66</v>
      </c>
      <c r="C831" s="18"/>
      <c r="D831" s="21">
        <v>0</v>
      </c>
      <c r="E831" s="21">
        <v>0</v>
      </c>
      <c r="F831" s="21">
        <v>0</v>
      </c>
      <c r="G831" s="21">
        <v>0</v>
      </c>
      <c r="H831" s="21">
        <v>0</v>
      </c>
      <c r="I831" s="21">
        <v>0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0</v>
      </c>
      <c r="P831" s="18"/>
      <c r="Q831" s="82">
        <f t="shared" si="16"/>
        <v>0</v>
      </c>
      <c r="R831" s="14">
        <v>0</v>
      </c>
      <c r="S831" s="15">
        <v>0</v>
      </c>
      <c r="T831" s="16">
        <v>0</v>
      </c>
    </row>
    <row r="832" spans="1:20" ht="16" hidden="1">
      <c r="A832" s="80" t="s">
        <v>289</v>
      </c>
      <c r="B832" s="81" t="s">
        <v>76</v>
      </c>
      <c r="C832" s="18"/>
      <c r="D832" s="21">
        <v>-0.01</v>
      </c>
      <c r="E832" s="21">
        <v>-0.01</v>
      </c>
      <c r="F832" s="21">
        <v>-0.01</v>
      </c>
      <c r="G832" s="21">
        <v>-0.01</v>
      </c>
      <c r="H832" s="21">
        <v>-0.01</v>
      </c>
      <c r="I832" s="21">
        <v>0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18"/>
      <c r="Q832" s="82">
        <f t="shared" si="16"/>
        <v>0</v>
      </c>
      <c r="R832" s="14">
        <v>0</v>
      </c>
      <c r="S832" s="15">
        <v>0</v>
      </c>
      <c r="T832" s="16">
        <v>7.8043284463779183E-8</v>
      </c>
    </row>
    <row r="833" spans="1:20" ht="16" hidden="1">
      <c r="A833" s="80" t="s">
        <v>290</v>
      </c>
      <c r="B833" s="81" t="s">
        <v>76</v>
      </c>
      <c r="C833" s="18"/>
      <c r="D833" s="21">
        <v>0</v>
      </c>
      <c r="E833" s="21">
        <v>0</v>
      </c>
      <c r="F833" s="21">
        <v>0</v>
      </c>
      <c r="G833" s="21">
        <v>0</v>
      </c>
      <c r="H833" s="21">
        <v>0</v>
      </c>
      <c r="I833" s="21">
        <v>0</v>
      </c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>
        <v>0</v>
      </c>
      <c r="P833" s="18"/>
      <c r="Q833" s="82">
        <f t="shared" si="16"/>
        <v>0</v>
      </c>
      <c r="R833" s="14">
        <v>0</v>
      </c>
      <c r="S833" s="15">
        <v>0</v>
      </c>
      <c r="T833" s="16">
        <v>0</v>
      </c>
    </row>
    <row r="834" spans="1:20" ht="16" hidden="1">
      <c r="A834" s="80" t="s">
        <v>291</v>
      </c>
      <c r="B834" s="81" t="s">
        <v>145</v>
      </c>
      <c r="C834" s="18"/>
      <c r="D834" s="21">
        <v>2363.34</v>
      </c>
      <c r="E834" s="21">
        <v>3.4694469519536142E-18</v>
      </c>
      <c r="F834" s="21">
        <v>-3.4694469519536142E-18</v>
      </c>
      <c r="G834" s="21">
        <v>2326.54</v>
      </c>
      <c r="H834" s="21">
        <v>-3.4694469519536142E-18</v>
      </c>
      <c r="I834" s="21">
        <v>0</v>
      </c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>
        <v>0</v>
      </c>
      <c r="P834" s="18"/>
      <c r="Q834" s="82">
        <f t="shared" si="16"/>
        <v>0</v>
      </c>
      <c r="R834" s="14">
        <v>0</v>
      </c>
      <c r="S834" s="15">
        <v>0</v>
      </c>
      <c r="T834" s="16">
        <v>3.2477640118467106E-8</v>
      </c>
    </row>
    <row r="835" spans="1:20" ht="16">
      <c r="A835" s="80" t="s">
        <v>292</v>
      </c>
      <c r="B835" s="81" t="s">
        <v>67</v>
      </c>
      <c r="C835" s="18"/>
      <c r="D835" s="21">
        <v>0</v>
      </c>
      <c r="E835" s="21">
        <v>0</v>
      </c>
      <c r="F835" s="21">
        <v>0</v>
      </c>
      <c r="G835" s="21">
        <v>0</v>
      </c>
      <c r="H835" s="21">
        <v>0</v>
      </c>
      <c r="I835" s="21">
        <v>0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18"/>
      <c r="Q835" s="82">
        <f t="shared" si="16"/>
        <v>0</v>
      </c>
      <c r="R835" s="14">
        <v>0</v>
      </c>
      <c r="S835" s="15">
        <v>0</v>
      </c>
      <c r="T835" s="16">
        <v>6.4632119638740519E-8</v>
      </c>
    </row>
    <row r="836" spans="1:20" ht="16" hidden="1">
      <c r="A836" s="80" t="s">
        <v>297</v>
      </c>
      <c r="B836" s="81" t="s">
        <v>66</v>
      </c>
      <c r="C836" s="18"/>
      <c r="D836" s="21">
        <v>0</v>
      </c>
      <c r="E836" s="21">
        <v>0</v>
      </c>
      <c r="F836" s="21">
        <v>0</v>
      </c>
      <c r="G836" s="21">
        <v>0</v>
      </c>
      <c r="H836" s="21">
        <v>0</v>
      </c>
      <c r="I836" s="21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18"/>
      <c r="Q836" s="82">
        <f t="shared" si="16"/>
        <v>0</v>
      </c>
      <c r="R836" s="14">
        <v>-54862.38</v>
      </c>
      <c r="S836" s="15">
        <v>-1</v>
      </c>
      <c r="T836" s="16">
        <v>0</v>
      </c>
    </row>
    <row r="837" spans="1:20" ht="16" hidden="1">
      <c r="A837" s="80" t="s">
        <v>300</v>
      </c>
      <c r="B837" s="81" t="s">
        <v>66</v>
      </c>
      <c r="C837" s="18"/>
      <c r="D837" s="21">
        <v>0</v>
      </c>
      <c r="E837" s="21">
        <v>0</v>
      </c>
      <c r="F837" s="21">
        <v>0</v>
      </c>
      <c r="G837" s="21">
        <v>0</v>
      </c>
      <c r="H837" s="21">
        <v>0</v>
      </c>
      <c r="I837" s="21">
        <v>0</v>
      </c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>
        <v>0</v>
      </c>
      <c r="P837" s="18"/>
      <c r="Q837" s="82">
        <f t="shared" si="16"/>
        <v>0</v>
      </c>
      <c r="R837" s="14">
        <v>0</v>
      </c>
      <c r="S837" s="15">
        <v>0</v>
      </c>
      <c r="T837" s="16">
        <v>1.615802990968513E-7</v>
      </c>
    </row>
    <row r="838" spans="1:20" ht="16" hidden="1">
      <c r="A838" s="80" t="s">
        <v>302</v>
      </c>
      <c r="B838" s="81" t="s">
        <v>78</v>
      </c>
      <c r="C838" s="18"/>
      <c r="D838" s="21">
        <v>0</v>
      </c>
      <c r="E838" s="21">
        <v>0</v>
      </c>
      <c r="F838" s="21">
        <v>0</v>
      </c>
      <c r="G838" s="21">
        <v>0</v>
      </c>
      <c r="H838" s="21">
        <v>0</v>
      </c>
      <c r="I838" s="21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18"/>
      <c r="Q838" s="82">
        <f t="shared" si="16"/>
        <v>0</v>
      </c>
      <c r="R838" s="14">
        <v>0</v>
      </c>
      <c r="S838" s="15">
        <v>0</v>
      </c>
      <c r="T838" s="16">
        <v>3.8194625787022174E-4</v>
      </c>
    </row>
    <row r="839" spans="1:20" ht="16" hidden="1">
      <c r="A839" s="80" t="s">
        <v>303</v>
      </c>
      <c r="B839" s="81" t="s">
        <v>60</v>
      </c>
      <c r="C839" s="18"/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18"/>
      <c r="Q839" s="82">
        <f t="shared" si="16"/>
        <v>0</v>
      </c>
      <c r="R839" s="14">
        <v>0</v>
      </c>
      <c r="S839" s="15">
        <v>0</v>
      </c>
      <c r="T839" s="16">
        <v>0</v>
      </c>
    </row>
    <row r="840" spans="1:20" ht="16" hidden="1">
      <c r="A840" s="80" t="s">
        <v>305</v>
      </c>
      <c r="B840" s="81" t="s">
        <v>66</v>
      </c>
      <c r="C840" s="18"/>
      <c r="D840" s="21">
        <v>0</v>
      </c>
      <c r="E840" s="21">
        <v>0</v>
      </c>
      <c r="F840" s="21">
        <v>0</v>
      </c>
      <c r="G840" s="21">
        <v>0</v>
      </c>
      <c r="H840" s="21">
        <v>0</v>
      </c>
      <c r="I840" s="21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18"/>
      <c r="Q840" s="82">
        <f t="shared" si="16"/>
        <v>0</v>
      </c>
      <c r="R840" s="14">
        <v>0</v>
      </c>
      <c r="S840" s="15">
        <v>0</v>
      </c>
      <c r="T840" s="16">
        <v>0</v>
      </c>
    </row>
    <row r="841" spans="1:20" ht="16" hidden="1">
      <c r="A841" s="80" t="s">
        <v>306</v>
      </c>
      <c r="B841" s="81" t="s">
        <v>78</v>
      </c>
      <c r="C841" s="18"/>
      <c r="D841" s="21">
        <v>0</v>
      </c>
      <c r="E841" s="21">
        <v>0</v>
      </c>
      <c r="F841" s="21">
        <v>0</v>
      </c>
      <c r="G841" s="21">
        <v>0</v>
      </c>
      <c r="H841" s="21">
        <v>0</v>
      </c>
      <c r="I841" s="21">
        <v>0</v>
      </c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>
        <v>0</v>
      </c>
      <c r="P841" s="18"/>
      <c r="Q841" s="82">
        <f t="shared" si="16"/>
        <v>0</v>
      </c>
      <c r="R841" s="14">
        <v>-9.999999999308784E-3</v>
      </c>
      <c r="S841" s="15">
        <v>-2.1324371409367767E-6</v>
      </c>
      <c r="T841" s="16">
        <v>7.5772434940272036E-5</v>
      </c>
    </row>
    <row r="842" spans="1:20" ht="16" hidden="1">
      <c r="A842" s="80" t="s">
        <v>308</v>
      </c>
      <c r="B842" s="81" t="s">
        <v>66</v>
      </c>
      <c r="C842" s="18"/>
      <c r="D842" s="21">
        <v>0</v>
      </c>
      <c r="E842" s="21">
        <v>0</v>
      </c>
      <c r="F842" s="21">
        <v>0</v>
      </c>
      <c r="G842" s="21">
        <v>0</v>
      </c>
      <c r="H842" s="21">
        <v>0</v>
      </c>
      <c r="I842" s="21">
        <v>0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</v>
      </c>
      <c r="P842" s="18"/>
      <c r="Q842" s="82">
        <f t="shared" si="16"/>
        <v>0</v>
      </c>
      <c r="R842" s="14">
        <v>0</v>
      </c>
      <c r="S842" s="15">
        <v>0</v>
      </c>
      <c r="T842" s="16">
        <v>0</v>
      </c>
    </row>
    <row r="843" spans="1:20" ht="16">
      <c r="A843" s="80" t="s">
        <v>310</v>
      </c>
      <c r="B843" s="81" t="s">
        <v>67</v>
      </c>
      <c r="C843" s="18"/>
      <c r="D843" s="21">
        <v>0</v>
      </c>
      <c r="E843" s="21">
        <v>0</v>
      </c>
      <c r="F843" s="21">
        <v>0</v>
      </c>
      <c r="G843" s="21">
        <v>0</v>
      </c>
      <c r="H843" s="21">
        <v>0</v>
      </c>
      <c r="I843" s="21">
        <v>0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18"/>
      <c r="Q843" s="82">
        <f t="shared" si="16"/>
        <v>0</v>
      </c>
      <c r="R843" s="14">
        <v>0</v>
      </c>
      <c r="S843" s="15">
        <v>0</v>
      </c>
      <c r="T843" s="16">
        <v>6.4632119638740517E-10</v>
      </c>
    </row>
    <row r="844" spans="1:20" ht="16" hidden="1">
      <c r="A844" s="80" t="s">
        <v>311</v>
      </c>
      <c r="B844" s="81" t="s">
        <v>60</v>
      </c>
      <c r="C844" s="18"/>
      <c r="D844" s="21">
        <v>0</v>
      </c>
      <c r="E844" s="21">
        <v>0</v>
      </c>
      <c r="F844" s="21">
        <v>0</v>
      </c>
      <c r="G844" s="21">
        <v>0</v>
      </c>
      <c r="H844" s="21">
        <v>0</v>
      </c>
      <c r="I844" s="21">
        <v>0</v>
      </c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>
        <v>0</v>
      </c>
      <c r="P844" s="18"/>
      <c r="Q844" s="82">
        <f t="shared" si="16"/>
        <v>0</v>
      </c>
      <c r="R844" s="14">
        <v>-16946.519999999993</v>
      </c>
      <c r="S844" s="15">
        <v>-0.36787215304540205</v>
      </c>
      <c r="T844" s="16">
        <v>4.7051876094434818E-4</v>
      </c>
    </row>
    <row r="845" spans="1:20" ht="16" hidden="1">
      <c r="A845" s="80" t="s">
        <v>316</v>
      </c>
      <c r="B845" s="81" t="s">
        <v>66</v>
      </c>
      <c r="C845" s="18"/>
      <c r="D845" s="21">
        <v>0</v>
      </c>
      <c r="E845" s="21">
        <v>0</v>
      </c>
      <c r="F845" s="21">
        <v>0</v>
      </c>
      <c r="G845" s="21">
        <v>0</v>
      </c>
      <c r="H845" s="21">
        <v>0</v>
      </c>
      <c r="I845" s="21">
        <v>0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>
        <v>0</v>
      </c>
      <c r="P845" s="18"/>
      <c r="Q845" s="82">
        <f t="shared" si="16"/>
        <v>0</v>
      </c>
      <c r="R845" s="14">
        <v>0</v>
      </c>
      <c r="S845" s="15">
        <v>0</v>
      </c>
      <c r="T845" s="16">
        <v>0</v>
      </c>
    </row>
    <row r="846" spans="1:20" ht="16" hidden="1">
      <c r="A846" s="80" t="s">
        <v>317</v>
      </c>
      <c r="B846" s="81" t="s">
        <v>62</v>
      </c>
      <c r="C846" s="18"/>
      <c r="D846" s="21">
        <v>0</v>
      </c>
      <c r="E846" s="21">
        <v>0</v>
      </c>
      <c r="F846" s="21">
        <v>0</v>
      </c>
      <c r="G846" s="21">
        <v>0</v>
      </c>
      <c r="H846" s="21">
        <v>0</v>
      </c>
      <c r="I846" s="21">
        <v>0</v>
      </c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>
        <v>0</v>
      </c>
      <c r="P846" s="18"/>
      <c r="Q846" s="82">
        <f t="shared" si="16"/>
        <v>0</v>
      </c>
      <c r="R846" s="14">
        <v>0</v>
      </c>
      <c r="S846" s="15">
        <v>0</v>
      </c>
      <c r="T846" s="16">
        <v>0</v>
      </c>
    </row>
    <row r="847" spans="1:20" ht="16" hidden="1">
      <c r="A847" s="80" t="s">
        <v>318</v>
      </c>
      <c r="B847" s="81" t="s">
        <v>66</v>
      </c>
      <c r="C847" s="18"/>
      <c r="D847" s="21">
        <v>0</v>
      </c>
      <c r="E847" s="21">
        <v>0</v>
      </c>
      <c r="F847" s="21">
        <v>0</v>
      </c>
      <c r="G847" s="21">
        <v>0</v>
      </c>
      <c r="H847" s="21">
        <v>0</v>
      </c>
      <c r="I847" s="21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18"/>
      <c r="Q847" s="82">
        <f t="shared" si="16"/>
        <v>0</v>
      </c>
      <c r="R847" s="14">
        <v>0</v>
      </c>
      <c r="S847" s="15">
        <v>0</v>
      </c>
      <c r="T847" s="16">
        <v>0</v>
      </c>
    </row>
    <row r="848" spans="1:20" ht="16" hidden="1">
      <c r="A848" s="80" t="s">
        <v>318</v>
      </c>
      <c r="B848" s="81" t="s">
        <v>85</v>
      </c>
      <c r="C848" s="18"/>
      <c r="D848" s="21">
        <v>0</v>
      </c>
      <c r="E848" s="21">
        <v>0</v>
      </c>
      <c r="F848" s="21">
        <v>0</v>
      </c>
      <c r="G848" s="21">
        <v>0</v>
      </c>
      <c r="H848" s="21">
        <v>0</v>
      </c>
      <c r="I848" s="21">
        <v>0</v>
      </c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>
        <v>0</v>
      </c>
      <c r="P848" s="18"/>
      <c r="Q848" s="82">
        <f t="shared" si="16"/>
        <v>0</v>
      </c>
      <c r="R848" s="14">
        <v>9.999999999999995E-3</v>
      </c>
      <c r="S848" s="15">
        <v>0.14285714285714277</v>
      </c>
      <c r="T848" s="16">
        <v>1.2926423927748103E-9</v>
      </c>
    </row>
    <row r="849" spans="1:20" ht="16" hidden="1">
      <c r="A849" s="80" t="s">
        <v>319</v>
      </c>
      <c r="B849" s="81" t="s">
        <v>62</v>
      </c>
      <c r="C849" s="18"/>
      <c r="D849" s="21">
        <v>0</v>
      </c>
      <c r="E849" s="21">
        <v>0</v>
      </c>
      <c r="F849" s="21">
        <v>0</v>
      </c>
      <c r="G849" s="21">
        <v>0</v>
      </c>
      <c r="H849" s="21">
        <v>0</v>
      </c>
      <c r="I849" s="21">
        <v>0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</v>
      </c>
      <c r="P849" s="18"/>
      <c r="Q849" s="82">
        <f t="shared" ref="Q849:Q850" si="17">IFERROR(I849/$I$4," ")</f>
        <v>0</v>
      </c>
      <c r="R849" s="14">
        <v>0</v>
      </c>
      <c r="S849" s="15">
        <v>0</v>
      </c>
      <c r="T849" s="16">
        <v>6.4632119638740517E-10</v>
      </c>
    </row>
    <row r="850" spans="1:20" ht="16">
      <c r="A850" s="80" t="s">
        <v>322</v>
      </c>
      <c r="B850" s="81" t="s">
        <v>67</v>
      </c>
      <c r="C850" s="18"/>
      <c r="D850" s="21">
        <v>0</v>
      </c>
      <c r="E850" s="21">
        <v>0</v>
      </c>
      <c r="F850" s="21">
        <v>0</v>
      </c>
      <c r="G850" s="21">
        <v>0</v>
      </c>
      <c r="H850" s="21">
        <v>0</v>
      </c>
      <c r="I850" s="21">
        <v>0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</v>
      </c>
      <c r="P850" s="18"/>
      <c r="Q850" s="82">
        <f t="shared" si="17"/>
        <v>0</v>
      </c>
      <c r="R850" s="14">
        <v>0</v>
      </c>
      <c r="S850" s="15">
        <v>0</v>
      </c>
      <c r="T850" s="16">
        <v>1.6142679781270928E-7</v>
      </c>
    </row>
    <row r="851" spans="1:20" customFormat="1" ht="16" hidden="1">
      <c r="A851" s="11" t="s">
        <v>324</v>
      </c>
      <c r="B851" s="12" t="s">
        <v>69</v>
      </c>
      <c r="C851" s="1"/>
      <c r="D851" s="3">
        <v>0</v>
      </c>
      <c r="E851" s="3">
        <v>0</v>
      </c>
      <c r="F851" s="3">
        <v>0</v>
      </c>
      <c r="G851" s="3">
        <v>0</v>
      </c>
      <c r="H851" s="3">
        <v>0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1"/>
      <c r="Q851" s="1"/>
      <c r="R851" s="14">
        <v>10866.82</v>
      </c>
      <c r="S851" s="15">
        <v>2050.3433962264162</v>
      </c>
      <c r="T851" s="16">
        <v>1.7567204014168588E-4</v>
      </c>
    </row>
    <row r="852" spans="1:20" ht="16" hidden="1">
      <c r="A852" s="80" t="s">
        <v>326</v>
      </c>
      <c r="B852" s="81" t="s">
        <v>62</v>
      </c>
      <c r="C852" s="18"/>
      <c r="D852" s="21">
        <v>0</v>
      </c>
      <c r="E852" s="21">
        <v>0</v>
      </c>
      <c r="F852" s="21">
        <v>0</v>
      </c>
      <c r="G852" s="21">
        <v>0</v>
      </c>
      <c r="H852" s="21">
        <v>0</v>
      </c>
      <c r="I852" s="21">
        <v>0</v>
      </c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>
        <v>0</v>
      </c>
      <c r="P852" s="18"/>
      <c r="Q852" s="82">
        <f t="shared" ref="Q852:Q906" si="18">IFERROR(I852/$I$4," ")</f>
        <v>0</v>
      </c>
      <c r="R852" s="14">
        <v>0</v>
      </c>
      <c r="S852" s="15">
        <v>0</v>
      </c>
      <c r="T852" s="16">
        <v>0</v>
      </c>
    </row>
    <row r="853" spans="1:20" ht="16" hidden="1">
      <c r="A853" s="80" t="s">
        <v>332</v>
      </c>
      <c r="B853" s="81" t="s">
        <v>60</v>
      </c>
      <c r="C853" s="18"/>
      <c r="D853" s="21">
        <v>0</v>
      </c>
      <c r="E853" s="21">
        <v>0</v>
      </c>
      <c r="F853" s="21">
        <v>0</v>
      </c>
      <c r="G853" s="21">
        <v>0</v>
      </c>
      <c r="H853" s="21">
        <v>0</v>
      </c>
      <c r="I853" s="21">
        <v>0</v>
      </c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>
        <v>0</v>
      </c>
      <c r="P853" s="18"/>
      <c r="Q853" s="82">
        <f t="shared" si="18"/>
        <v>0</v>
      </c>
      <c r="R853" s="14">
        <v>-13095.339999999997</v>
      </c>
      <c r="S853" s="15">
        <v>-0.2038865893749742</v>
      </c>
      <c r="T853" s="16">
        <v>8.2621193655821063E-4</v>
      </c>
    </row>
    <row r="854" spans="1:20" ht="16" hidden="1">
      <c r="A854" s="80" t="s">
        <v>336</v>
      </c>
      <c r="B854" s="81" t="s">
        <v>76</v>
      </c>
      <c r="C854" s="18"/>
      <c r="D854" s="21">
        <v>0</v>
      </c>
      <c r="E854" s="21">
        <v>0</v>
      </c>
      <c r="F854" s="21">
        <v>0</v>
      </c>
      <c r="G854" s="21">
        <v>0</v>
      </c>
      <c r="H854" s="21">
        <v>0</v>
      </c>
      <c r="I854" s="21">
        <v>0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</v>
      </c>
      <c r="P854" s="18"/>
      <c r="Q854" s="82">
        <f t="shared" si="18"/>
        <v>0</v>
      </c>
      <c r="R854" s="14">
        <v>1148.4000000000001</v>
      </c>
      <c r="S854" s="15">
        <v>3.3863120337333767</v>
      </c>
      <c r="T854" s="16">
        <v>2.4035554231553924E-5</v>
      </c>
    </row>
    <row r="855" spans="1:20" ht="16" hidden="1">
      <c r="A855" s="80" t="s">
        <v>338</v>
      </c>
      <c r="B855" s="81" t="s">
        <v>76</v>
      </c>
      <c r="C855" s="18"/>
      <c r="D855" s="21">
        <v>0</v>
      </c>
      <c r="E855" s="21">
        <v>0</v>
      </c>
      <c r="F855" s="21">
        <v>0</v>
      </c>
      <c r="G855" s="21">
        <v>0</v>
      </c>
      <c r="H855" s="21">
        <v>0</v>
      </c>
      <c r="I855" s="21">
        <v>0</v>
      </c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>
        <v>0</v>
      </c>
      <c r="P855" s="18"/>
      <c r="Q855" s="82">
        <f t="shared" si="18"/>
        <v>0</v>
      </c>
      <c r="R855" s="14">
        <v>0</v>
      </c>
      <c r="S855" s="15">
        <v>0</v>
      </c>
      <c r="T855" s="16">
        <v>1.2139043130249147E-5</v>
      </c>
    </row>
    <row r="856" spans="1:20" ht="16" hidden="1">
      <c r="A856" s="80" t="s">
        <v>339</v>
      </c>
      <c r="B856" s="81" t="s">
        <v>76</v>
      </c>
      <c r="C856" s="18"/>
      <c r="D856" s="21">
        <v>0</v>
      </c>
      <c r="E856" s="21">
        <v>0</v>
      </c>
      <c r="F856" s="21">
        <v>0</v>
      </c>
      <c r="G856" s="21">
        <v>0</v>
      </c>
      <c r="H856" s="21">
        <v>0</v>
      </c>
      <c r="I856" s="21">
        <v>0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</v>
      </c>
      <c r="P856" s="18"/>
      <c r="Q856" s="82">
        <f t="shared" si="18"/>
        <v>0</v>
      </c>
      <c r="R856" s="14">
        <v>0</v>
      </c>
      <c r="S856" s="15">
        <v>0</v>
      </c>
      <c r="T856" s="16">
        <v>9.6948179458110796E-10</v>
      </c>
    </row>
    <row r="857" spans="1:20" ht="16" hidden="1">
      <c r="A857" s="80" t="s">
        <v>341</v>
      </c>
      <c r="B857" s="81" t="s">
        <v>85</v>
      </c>
      <c r="C857" s="18"/>
      <c r="D857" s="21">
        <v>0</v>
      </c>
      <c r="E857" s="21">
        <v>0</v>
      </c>
      <c r="F857" s="21">
        <v>0</v>
      </c>
      <c r="G857" s="21">
        <v>0</v>
      </c>
      <c r="H857" s="21">
        <v>0</v>
      </c>
      <c r="I857" s="21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18"/>
      <c r="Q857" s="82">
        <f t="shared" si="18"/>
        <v>0</v>
      </c>
      <c r="R857" s="14">
        <v>1556.4699999999998</v>
      </c>
      <c r="S857" s="15">
        <v>0.55092772849871507</v>
      </c>
      <c r="T857" s="16">
        <v>7.079883175377185E-5</v>
      </c>
    </row>
    <row r="858" spans="1:20" ht="16" hidden="1">
      <c r="A858" s="80" t="s">
        <v>346</v>
      </c>
      <c r="B858" s="81" t="s">
        <v>66</v>
      </c>
      <c r="C858" s="18"/>
      <c r="D858" s="21">
        <v>0</v>
      </c>
      <c r="E858" s="21">
        <v>0</v>
      </c>
      <c r="F858" s="21">
        <v>0</v>
      </c>
      <c r="G858" s="21">
        <v>0</v>
      </c>
      <c r="H858" s="21">
        <v>0</v>
      </c>
      <c r="I858" s="21">
        <v>0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18"/>
      <c r="Q858" s="82">
        <f t="shared" si="18"/>
        <v>0</v>
      </c>
      <c r="R858" s="14">
        <v>0</v>
      </c>
      <c r="S858" s="15">
        <v>0</v>
      </c>
      <c r="T858" s="16">
        <v>0</v>
      </c>
    </row>
    <row r="859" spans="1:20" ht="16">
      <c r="A859" s="80" t="s">
        <v>349</v>
      </c>
      <c r="B859" s="81" t="s">
        <v>67</v>
      </c>
      <c r="C859" s="18"/>
      <c r="D859" s="21">
        <v>0</v>
      </c>
      <c r="E859" s="21">
        <v>0</v>
      </c>
      <c r="F859" s="21">
        <v>0</v>
      </c>
      <c r="G859" s="21">
        <v>0</v>
      </c>
      <c r="H859" s="21">
        <v>0</v>
      </c>
      <c r="I859" s="21">
        <v>0</v>
      </c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>
        <v>0</v>
      </c>
      <c r="P859" s="18"/>
      <c r="Q859" s="82">
        <f t="shared" si="18"/>
        <v>0</v>
      </c>
      <c r="R859" s="14">
        <v>0</v>
      </c>
      <c r="S859" s="15">
        <v>0</v>
      </c>
      <c r="T859" s="16">
        <v>2.4545663235802693E-6</v>
      </c>
    </row>
    <row r="860" spans="1:20" ht="16" hidden="1">
      <c r="A860" s="80" t="s">
        <v>349</v>
      </c>
      <c r="B860" s="81" t="s">
        <v>62</v>
      </c>
      <c r="C860" s="18"/>
      <c r="D860" s="21">
        <v>0</v>
      </c>
      <c r="E860" s="21">
        <v>0</v>
      </c>
      <c r="F860" s="21">
        <v>0</v>
      </c>
      <c r="G860" s="21">
        <v>0</v>
      </c>
      <c r="H860" s="21">
        <v>0</v>
      </c>
      <c r="I860" s="21">
        <v>0</v>
      </c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>
        <v>0</v>
      </c>
      <c r="P860" s="18"/>
      <c r="Q860" s="82">
        <f t="shared" si="18"/>
        <v>0</v>
      </c>
      <c r="R860" s="14">
        <v>16451.930000000008</v>
      </c>
      <c r="S860" s="15">
        <v>-5.268828858135148E+20</v>
      </c>
      <c r="T860" s="16">
        <v>2.6583077701204622E-4</v>
      </c>
    </row>
    <row r="861" spans="1:20" ht="16" hidden="1">
      <c r="A861" s="80" t="s">
        <v>350</v>
      </c>
      <c r="B861" s="81" t="s">
        <v>78</v>
      </c>
      <c r="C861" s="18"/>
      <c r="D861" s="21">
        <v>0</v>
      </c>
      <c r="E861" s="21">
        <v>0</v>
      </c>
      <c r="F861" s="21">
        <v>0</v>
      </c>
      <c r="G861" s="21">
        <v>0</v>
      </c>
      <c r="H861" s="21">
        <v>0</v>
      </c>
      <c r="I861" s="21">
        <v>0</v>
      </c>
      <c r="J861" s="3">
        <v>0</v>
      </c>
      <c r="K861" s="3">
        <v>0</v>
      </c>
      <c r="L861" s="3">
        <v>0</v>
      </c>
      <c r="M861" s="3">
        <v>0</v>
      </c>
      <c r="N861" s="3">
        <v>0</v>
      </c>
      <c r="O861" s="3">
        <v>0</v>
      </c>
      <c r="P861" s="18"/>
      <c r="Q861" s="82">
        <f t="shared" si="18"/>
        <v>0</v>
      </c>
      <c r="R861" s="14">
        <v>5165.54</v>
      </c>
      <c r="S861" s="15">
        <v>12598.878048780489</v>
      </c>
      <c r="T861" s="16">
        <v>8.3471574611937893E-5</v>
      </c>
    </row>
    <row r="862" spans="1:20" ht="16" hidden="1">
      <c r="A862" s="80" t="s">
        <v>352</v>
      </c>
      <c r="B862" s="81" t="s">
        <v>78</v>
      </c>
      <c r="C862" s="18"/>
      <c r="D862" s="21">
        <v>9396</v>
      </c>
      <c r="E862" s="21">
        <v>0</v>
      </c>
      <c r="F862" s="21">
        <v>9396</v>
      </c>
      <c r="G862" s="21">
        <v>0</v>
      </c>
      <c r="H862" s="21">
        <v>0</v>
      </c>
      <c r="I862" s="21">
        <v>0</v>
      </c>
      <c r="J862" s="3">
        <v>0</v>
      </c>
      <c r="K862" s="3">
        <v>0</v>
      </c>
      <c r="L862" s="3">
        <v>0</v>
      </c>
      <c r="M862" s="3">
        <v>0</v>
      </c>
      <c r="N862" s="3">
        <v>0</v>
      </c>
      <c r="O862" s="3">
        <v>0</v>
      </c>
      <c r="P862" s="18"/>
      <c r="Q862" s="82">
        <f t="shared" si="18"/>
        <v>0</v>
      </c>
      <c r="R862" s="14">
        <v>-67977.820000000036</v>
      </c>
      <c r="S862" s="15">
        <v>-0.49999992644660779</v>
      </c>
      <c r="T862" s="16">
        <v>1.0983879719157902E-3</v>
      </c>
    </row>
    <row r="863" spans="1:20" ht="16" hidden="1">
      <c r="A863" s="80" t="s">
        <v>356</v>
      </c>
      <c r="B863" s="81" t="s">
        <v>78</v>
      </c>
      <c r="C863" s="18"/>
      <c r="D863" s="21">
        <v>0</v>
      </c>
      <c r="E863" s="21">
        <v>0</v>
      </c>
      <c r="F863" s="21">
        <v>0</v>
      </c>
      <c r="G863" s="21">
        <v>0</v>
      </c>
      <c r="H863" s="21">
        <v>0</v>
      </c>
      <c r="I863" s="21">
        <v>0</v>
      </c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>
        <v>0</v>
      </c>
      <c r="P863" s="18"/>
      <c r="Q863" s="82">
        <f t="shared" si="18"/>
        <v>0</v>
      </c>
      <c r="R863" s="14">
        <v>0</v>
      </c>
      <c r="S863" s="15">
        <v>0</v>
      </c>
      <c r="T863" s="16">
        <v>1.1310620936779592E-9</v>
      </c>
    </row>
    <row r="864" spans="1:20" ht="16" hidden="1">
      <c r="A864" s="80" t="s">
        <v>359</v>
      </c>
      <c r="B864" s="81" t="s">
        <v>78</v>
      </c>
      <c r="C864" s="18"/>
      <c r="D864" s="21">
        <v>0</v>
      </c>
      <c r="E864" s="21">
        <v>0</v>
      </c>
      <c r="F864" s="21">
        <v>0</v>
      </c>
      <c r="G864" s="21">
        <v>0</v>
      </c>
      <c r="H864" s="21">
        <v>0</v>
      </c>
      <c r="I864" s="21">
        <v>0</v>
      </c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>
        <v>0</v>
      </c>
      <c r="P864" s="18"/>
      <c r="Q864" s="82">
        <f t="shared" si="18"/>
        <v>0</v>
      </c>
      <c r="R864" s="14">
        <v>1.0000000000019327E-2</v>
      </c>
      <c r="S864" s="15">
        <v>4.0726561863726189E-5</v>
      </c>
      <c r="T864" s="16">
        <v>3.9676042443231834E-6</v>
      </c>
    </row>
    <row r="865" spans="1:20" ht="16" hidden="1">
      <c r="A865" s="80" t="s">
        <v>360</v>
      </c>
      <c r="B865" s="81" t="s">
        <v>78</v>
      </c>
      <c r="C865" s="18"/>
      <c r="D865" s="21">
        <v>0</v>
      </c>
      <c r="E865" s="21">
        <v>0</v>
      </c>
      <c r="F865" s="21">
        <v>0</v>
      </c>
      <c r="G865" s="21">
        <v>0</v>
      </c>
      <c r="H865" s="21">
        <v>0</v>
      </c>
      <c r="I865" s="21">
        <v>0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18"/>
      <c r="Q865" s="82">
        <f t="shared" si="18"/>
        <v>0</v>
      </c>
      <c r="R865" s="14">
        <v>0.10000000000000009</v>
      </c>
      <c r="S865" s="15">
        <v>7.5187969924812068E-2</v>
      </c>
      <c r="T865" s="16">
        <v>2.3105982770849745E-8</v>
      </c>
    </row>
    <row r="866" spans="1:20" ht="16" hidden="1">
      <c r="A866" s="80" t="s">
        <v>361</v>
      </c>
      <c r="B866" s="81" t="s">
        <v>162</v>
      </c>
      <c r="C866" s="18"/>
      <c r="D866" s="21">
        <v>0</v>
      </c>
      <c r="E866" s="21">
        <v>0</v>
      </c>
      <c r="F866" s="21">
        <v>0</v>
      </c>
      <c r="G866" s="21">
        <v>0</v>
      </c>
      <c r="H866" s="21">
        <v>0</v>
      </c>
      <c r="I866" s="21">
        <v>0</v>
      </c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>
        <v>0</v>
      </c>
      <c r="P866" s="18"/>
      <c r="Q866" s="82">
        <f t="shared" si="18"/>
        <v>0</v>
      </c>
      <c r="R866" s="14">
        <v>0</v>
      </c>
      <c r="S866" s="15">
        <v>0</v>
      </c>
      <c r="T866" s="16">
        <v>-8.0790149548425657E-10</v>
      </c>
    </row>
    <row r="867" spans="1:20" ht="16">
      <c r="A867" s="80" t="s">
        <v>362</v>
      </c>
      <c r="B867" s="81" t="s">
        <v>67</v>
      </c>
      <c r="C867" s="18"/>
      <c r="D867" s="21">
        <v>0</v>
      </c>
      <c r="E867" s="21">
        <v>0</v>
      </c>
      <c r="F867" s="21">
        <v>0</v>
      </c>
      <c r="G867" s="21">
        <v>0</v>
      </c>
      <c r="H867" s="21">
        <v>0</v>
      </c>
      <c r="I867" s="21">
        <v>0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0</v>
      </c>
      <c r="P867" s="18"/>
      <c r="Q867" s="82">
        <f t="shared" si="18"/>
        <v>0</v>
      </c>
      <c r="R867" s="14">
        <v>0</v>
      </c>
      <c r="S867" s="15">
        <v>0</v>
      </c>
      <c r="T867" s="16">
        <v>4.4434582251634119E-8</v>
      </c>
    </row>
    <row r="868" spans="1:20" ht="16" hidden="1">
      <c r="A868" s="80" t="s">
        <v>364</v>
      </c>
      <c r="B868" s="81" t="s">
        <v>62</v>
      </c>
      <c r="C868" s="18"/>
      <c r="D868" s="21">
        <v>0</v>
      </c>
      <c r="E868" s="21">
        <v>0</v>
      </c>
      <c r="F868" s="21">
        <v>0</v>
      </c>
      <c r="G868" s="21">
        <v>0</v>
      </c>
      <c r="H868" s="21">
        <v>0</v>
      </c>
      <c r="I868" s="21">
        <v>0</v>
      </c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>
        <v>0</v>
      </c>
      <c r="P868" s="18"/>
      <c r="Q868" s="82">
        <f t="shared" si="18"/>
        <v>0</v>
      </c>
      <c r="R868" s="14">
        <v>0</v>
      </c>
      <c r="S868" s="15">
        <v>0</v>
      </c>
      <c r="T868" s="16">
        <v>4.8474089729055388E-10</v>
      </c>
    </row>
    <row r="869" spans="1:20" ht="16" hidden="1">
      <c r="A869" s="80" t="s">
        <v>365</v>
      </c>
      <c r="B869" s="81" t="s">
        <v>162</v>
      </c>
      <c r="C869" s="18"/>
      <c r="D869" s="21">
        <v>0</v>
      </c>
      <c r="E869" s="21">
        <v>0</v>
      </c>
      <c r="F869" s="21">
        <v>0</v>
      </c>
      <c r="G869" s="21">
        <v>0</v>
      </c>
      <c r="H869" s="21">
        <v>0</v>
      </c>
      <c r="I869" s="21">
        <v>0</v>
      </c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>
        <v>0</v>
      </c>
      <c r="P869" s="18"/>
      <c r="Q869" s="82">
        <f t="shared" si="18"/>
        <v>0</v>
      </c>
      <c r="R869" s="14">
        <v>0</v>
      </c>
      <c r="S869" s="15">
        <v>0</v>
      </c>
      <c r="T869" s="16">
        <v>8.8726731469614324E-4</v>
      </c>
    </row>
    <row r="870" spans="1:20" ht="16" hidden="1">
      <c r="A870" s="80" t="s">
        <v>365</v>
      </c>
      <c r="B870" s="81" t="s">
        <v>89</v>
      </c>
      <c r="C870" s="18"/>
      <c r="D870" s="21">
        <v>0</v>
      </c>
      <c r="E870" s="21">
        <v>0</v>
      </c>
      <c r="F870" s="21">
        <v>0</v>
      </c>
      <c r="G870" s="21">
        <v>0</v>
      </c>
      <c r="H870" s="21">
        <v>0</v>
      </c>
      <c r="I870" s="21">
        <v>0</v>
      </c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>
        <v>0</v>
      </c>
      <c r="P870" s="18"/>
      <c r="Q870" s="82">
        <f t="shared" si="18"/>
        <v>0</v>
      </c>
      <c r="R870" s="14">
        <v>0</v>
      </c>
      <c r="S870" s="15">
        <v>0</v>
      </c>
      <c r="T870" s="16">
        <v>1.6158029909685129E-10</v>
      </c>
    </row>
    <row r="871" spans="1:20" ht="16" hidden="1">
      <c r="A871" s="80" t="s">
        <v>367</v>
      </c>
      <c r="B871" s="81" t="s">
        <v>66</v>
      </c>
      <c r="C871" s="18"/>
      <c r="D871" s="21">
        <v>394633.91</v>
      </c>
      <c r="E871" s="21">
        <v>0</v>
      </c>
      <c r="F871" s="21">
        <v>0</v>
      </c>
      <c r="G871" s="21">
        <v>0</v>
      </c>
      <c r="H871" s="21">
        <v>0</v>
      </c>
      <c r="I871" s="21">
        <v>0</v>
      </c>
      <c r="J871" s="3">
        <v>0</v>
      </c>
      <c r="K871" s="3">
        <v>0</v>
      </c>
      <c r="L871" s="3">
        <v>0</v>
      </c>
      <c r="M871" s="3">
        <v>0</v>
      </c>
      <c r="N871" s="3">
        <v>0</v>
      </c>
      <c r="O871" s="3">
        <v>0</v>
      </c>
      <c r="P871" s="18"/>
      <c r="Q871" s="82">
        <f t="shared" si="18"/>
        <v>0</v>
      </c>
      <c r="R871" s="14">
        <v>0</v>
      </c>
      <c r="S871" s="15">
        <v>0</v>
      </c>
      <c r="T871" s="16">
        <v>2.971122381762992E-5</v>
      </c>
    </row>
    <row r="872" spans="1:20" ht="16">
      <c r="A872" s="80" t="s">
        <v>367</v>
      </c>
      <c r="B872" s="81" t="s">
        <v>67</v>
      </c>
      <c r="C872" s="18"/>
      <c r="D872" s="21">
        <v>64050.587979999982</v>
      </c>
      <c r="E872" s="21">
        <v>0</v>
      </c>
      <c r="F872" s="21">
        <v>0</v>
      </c>
      <c r="G872" s="21">
        <v>0</v>
      </c>
      <c r="H872" s="21">
        <v>0</v>
      </c>
      <c r="I872" s="21">
        <v>0</v>
      </c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>
        <v>0</v>
      </c>
      <c r="P872" s="18"/>
      <c r="Q872" s="82">
        <f t="shared" si="18"/>
        <v>0</v>
      </c>
      <c r="R872" s="14">
        <v>33041.15</v>
      </c>
      <c r="S872" s="15">
        <v>1.0404986787953183</v>
      </c>
      <c r="T872" s="16">
        <v>1.0469799071157343E-3</v>
      </c>
    </row>
    <row r="873" spans="1:20" ht="16" hidden="1">
      <c r="A873" s="80" t="s">
        <v>367</v>
      </c>
      <c r="B873" s="81" t="s">
        <v>62</v>
      </c>
      <c r="C873" s="18"/>
      <c r="D873" s="21">
        <v>1.8194699999999999</v>
      </c>
      <c r="E873" s="21">
        <v>0</v>
      </c>
      <c r="F873" s="21">
        <v>0</v>
      </c>
      <c r="G873" s="21">
        <v>0</v>
      </c>
      <c r="H873" s="21">
        <v>0</v>
      </c>
      <c r="I873" s="21">
        <v>0</v>
      </c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>
        <v>0</v>
      </c>
      <c r="P873" s="18"/>
      <c r="Q873" s="82">
        <f t="shared" si="18"/>
        <v>0</v>
      </c>
      <c r="R873" s="14">
        <v>0</v>
      </c>
      <c r="S873" s="15">
        <v>0</v>
      </c>
      <c r="T873" s="16">
        <v>0</v>
      </c>
    </row>
    <row r="874" spans="1:20" ht="16" hidden="1">
      <c r="A874" s="80" t="s">
        <v>367</v>
      </c>
      <c r="B874" s="81" t="s">
        <v>76</v>
      </c>
      <c r="C874" s="18"/>
      <c r="D874" s="21">
        <v>-0.13999999999999999</v>
      </c>
      <c r="E874" s="21">
        <v>0</v>
      </c>
      <c r="F874" s="21">
        <v>0</v>
      </c>
      <c r="G874" s="21">
        <v>0</v>
      </c>
      <c r="H874" s="21">
        <v>0</v>
      </c>
      <c r="I874" s="21">
        <v>0</v>
      </c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>
        <v>0</v>
      </c>
      <c r="P874" s="18"/>
      <c r="Q874" s="82">
        <f t="shared" si="18"/>
        <v>0</v>
      </c>
      <c r="R874" s="14">
        <v>0</v>
      </c>
      <c r="S874" s="15">
        <v>0</v>
      </c>
      <c r="T874" s="16">
        <v>3.0878557456849114E-3</v>
      </c>
    </row>
    <row r="875" spans="1:20" ht="16" hidden="1">
      <c r="A875" s="80" t="s">
        <v>367</v>
      </c>
      <c r="B875" s="81" t="s">
        <v>78</v>
      </c>
      <c r="C875" s="18"/>
      <c r="D875" s="21">
        <v>4725.2699999999959</v>
      </c>
      <c r="E875" s="21">
        <v>0</v>
      </c>
      <c r="F875" s="21">
        <v>0</v>
      </c>
      <c r="G875" s="21">
        <v>0</v>
      </c>
      <c r="H875" s="21">
        <v>0</v>
      </c>
      <c r="I875" s="21">
        <v>0</v>
      </c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>
        <v>0</v>
      </c>
      <c r="P875" s="18"/>
      <c r="Q875" s="82">
        <f t="shared" si="18"/>
        <v>0</v>
      </c>
      <c r="R875" s="14">
        <v>-38535.29</v>
      </c>
      <c r="S875" s="15">
        <v>-1</v>
      </c>
      <c r="T875" s="16">
        <v>0</v>
      </c>
    </row>
    <row r="876" spans="1:20" ht="16" hidden="1">
      <c r="A876" s="80" t="s">
        <v>367</v>
      </c>
      <c r="B876" s="81" t="s">
        <v>85</v>
      </c>
      <c r="C876" s="18"/>
      <c r="D876" s="21">
        <v>-4.0000000000000008E-2</v>
      </c>
      <c r="E876" s="21">
        <v>0</v>
      </c>
      <c r="F876" s="21">
        <v>0</v>
      </c>
      <c r="G876" s="21">
        <v>0</v>
      </c>
      <c r="H876" s="21">
        <v>0</v>
      </c>
      <c r="I876" s="21">
        <v>0</v>
      </c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>
        <v>0</v>
      </c>
      <c r="P876" s="18"/>
      <c r="Q876" s="82">
        <f t="shared" si="18"/>
        <v>0</v>
      </c>
      <c r="R876" s="14">
        <v>49365.020000000033</v>
      </c>
      <c r="S876" s="15">
        <v>0.97487503278217247</v>
      </c>
      <c r="T876" s="16">
        <v>1.6158401544373055E-3</v>
      </c>
    </row>
    <row r="877" spans="1:20" ht="16" hidden="1">
      <c r="A877" s="80" t="s">
        <v>367</v>
      </c>
      <c r="B877" s="81" t="s">
        <v>145</v>
      </c>
      <c r="C877" s="18"/>
      <c r="D877" s="21">
        <v>2.6699999999999986</v>
      </c>
      <c r="E877" s="21">
        <v>0</v>
      </c>
      <c r="F877" s="21">
        <v>0</v>
      </c>
      <c r="G877" s="21">
        <v>0</v>
      </c>
      <c r="H877" s="21">
        <v>0</v>
      </c>
      <c r="I877" s="21">
        <v>0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18"/>
      <c r="Q877" s="82">
        <f t="shared" si="18"/>
        <v>0</v>
      </c>
      <c r="R877" s="14">
        <v>-37484.080000000002</v>
      </c>
      <c r="S877" s="15">
        <v>-0.97403674275781937</v>
      </c>
      <c r="T877" s="16">
        <v>1.6144295584261897E-5</v>
      </c>
    </row>
    <row r="878" spans="1:20" ht="16" hidden="1">
      <c r="A878" s="80" t="s">
        <v>367</v>
      </c>
      <c r="B878" s="81" t="s">
        <v>162</v>
      </c>
      <c r="C878" s="18"/>
      <c r="D878" s="21">
        <v>0</v>
      </c>
      <c r="E878" s="21">
        <v>0</v>
      </c>
      <c r="F878" s="21">
        <v>0</v>
      </c>
      <c r="G878" s="21">
        <v>0</v>
      </c>
      <c r="H878" s="21">
        <v>0</v>
      </c>
      <c r="I878" s="21">
        <v>0</v>
      </c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>
        <v>0</v>
      </c>
      <c r="P878" s="18"/>
      <c r="Q878" s="82">
        <f t="shared" si="18"/>
        <v>0</v>
      </c>
      <c r="R878" s="14">
        <v>93.909999999999968</v>
      </c>
      <c r="S878" s="15">
        <v>0.12499667243444693</v>
      </c>
      <c r="T878" s="16">
        <v>1.3656928459964968E-5</v>
      </c>
    </row>
    <row r="879" spans="1:20" ht="16" hidden="1">
      <c r="A879" s="80" t="s">
        <v>367</v>
      </c>
      <c r="B879" s="81" t="s">
        <v>89</v>
      </c>
      <c r="C879" s="18"/>
      <c r="D879" s="21">
        <v>0</v>
      </c>
      <c r="E879" s="21">
        <v>0</v>
      </c>
      <c r="F879" s="21">
        <v>0</v>
      </c>
      <c r="G879" s="21">
        <v>0</v>
      </c>
      <c r="H879" s="21">
        <v>0</v>
      </c>
      <c r="I879" s="21">
        <v>0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0</v>
      </c>
      <c r="P879" s="18"/>
      <c r="Q879" s="82">
        <f t="shared" si="18"/>
        <v>0</v>
      </c>
      <c r="R879" s="14">
        <v>13985</v>
      </c>
      <c r="S879" s="15">
        <v>0.16402329377070377</v>
      </c>
      <c r="T879" s="16">
        <v>1.6036405186948949E-3</v>
      </c>
    </row>
    <row r="880" spans="1:20" ht="16" hidden="1">
      <c r="A880" s="80" t="s">
        <v>367</v>
      </c>
      <c r="B880" s="81" t="s">
        <v>366</v>
      </c>
      <c r="C880" s="18"/>
      <c r="D880" s="21">
        <v>393817.37999999983</v>
      </c>
      <c r="E880" s="21">
        <v>0</v>
      </c>
      <c r="F880" s="21">
        <v>0</v>
      </c>
      <c r="G880" s="21">
        <v>0</v>
      </c>
      <c r="H880" s="21">
        <v>0</v>
      </c>
      <c r="I880" s="21">
        <v>0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0</v>
      </c>
      <c r="P880" s="18"/>
      <c r="Q880" s="82">
        <f t="shared" si="18"/>
        <v>0</v>
      </c>
      <c r="R880" s="14">
        <v>38034.820000000007</v>
      </c>
      <c r="S880" s="15">
        <v>1.2677208447823718</v>
      </c>
      <c r="T880" s="16">
        <v>1.0993493746954167E-3</v>
      </c>
    </row>
    <row r="881" spans="1:20" ht="16">
      <c r="A881" s="80" t="s">
        <v>370</v>
      </c>
      <c r="B881" s="81" t="s">
        <v>67</v>
      </c>
      <c r="C881" s="18"/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>
        <v>0</v>
      </c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>
        <v>0</v>
      </c>
      <c r="P881" s="18"/>
      <c r="Q881" s="82">
        <f t="shared" si="18"/>
        <v>0</v>
      </c>
      <c r="R881" s="14">
        <v>0</v>
      </c>
      <c r="S881" s="15">
        <v>0</v>
      </c>
      <c r="T881" s="16">
        <v>0</v>
      </c>
    </row>
    <row r="882" spans="1:20" ht="16" hidden="1">
      <c r="A882" s="80" t="s">
        <v>370</v>
      </c>
      <c r="B882" s="81" t="s">
        <v>62</v>
      </c>
      <c r="C882" s="18"/>
      <c r="D882" s="21">
        <v>0</v>
      </c>
      <c r="E882" s="21">
        <v>0</v>
      </c>
      <c r="F882" s="21">
        <v>0</v>
      </c>
      <c r="G882" s="21">
        <v>0</v>
      </c>
      <c r="H882" s="21">
        <v>0</v>
      </c>
      <c r="I882" s="21">
        <v>0</v>
      </c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>
        <v>0</v>
      </c>
      <c r="P882" s="18"/>
      <c r="Q882" s="82">
        <f t="shared" si="18"/>
        <v>0</v>
      </c>
      <c r="R882" s="14">
        <v>0</v>
      </c>
      <c r="S882" s="15">
        <v>0</v>
      </c>
      <c r="T882" s="16">
        <v>0</v>
      </c>
    </row>
    <row r="883" spans="1:20" ht="16" hidden="1">
      <c r="A883" s="80" t="s">
        <v>370</v>
      </c>
      <c r="B883" s="81" t="s">
        <v>76</v>
      </c>
      <c r="C883" s="18"/>
      <c r="D883" s="21">
        <v>0</v>
      </c>
      <c r="E883" s="21">
        <v>0</v>
      </c>
      <c r="F883" s="21">
        <v>0</v>
      </c>
      <c r="G883" s="21">
        <v>0</v>
      </c>
      <c r="H883" s="21">
        <v>0</v>
      </c>
      <c r="I883" s="21">
        <v>0</v>
      </c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>
        <v>0</v>
      </c>
      <c r="P883" s="18"/>
      <c r="Q883" s="82">
        <f t="shared" si="18"/>
        <v>0</v>
      </c>
      <c r="R883" s="14">
        <v>0</v>
      </c>
      <c r="S883" s="15">
        <v>0</v>
      </c>
      <c r="T883" s="16">
        <v>0</v>
      </c>
    </row>
    <row r="884" spans="1:20" ht="16" hidden="1">
      <c r="A884" s="80" t="s">
        <v>370</v>
      </c>
      <c r="B884" s="81" t="s">
        <v>78</v>
      </c>
      <c r="C884" s="18"/>
      <c r="D884" s="21">
        <v>0</v>
      </c>
      <c r="E884" s="21">
        <v>0</v>
      </c>
      <c r="F884" s="21">
        <v>0</v>
      </c>
      <c r="G884" s="21">
        <v>0</v>
      </c>
      <c r="H884" s="21">
        <v>0</v>
      </c>
      <c r="I884" s="21">
        <v>0</v>
      </c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>
        <v>0</v>
      </c>
      <c r="P884" s="18"/>
      <c r="Q884" s="82">
        <f t="shared" si="18"/>
        <v>0</v>
      </c>
      <c r="R884" s="14">
        <v>0</v>
      </c>
      <c r="S884" s="15">
        <v>0</v>
      </c>
      <c r="T884" s="16">
        <v>0</v>
      </c>
    </row>
    <row r="885" spans="1:20" ht="16" hidden="1">
      <c r="A885" s="80" t="s">
        <v>370</v>
      </c>
      <c r="B885" s="81" t="s">
        <v>85</v>
      </c>
      <c r="C885" s="18"/>
      <c r="D885" s="21">
        <v>0</v>
      </c>
      <c r="E885" s="21">
        <v>0</v>
      </c>
      <c r="F885" s="21">
        <v>0</v>
      </c>
      <c r="G885" s="21">
        <v>0</v>
      </c>
      <c r="H885" s="21">
        <v>0</v>
      </c>
      <c r="I885" s="21">
        <v>0</v>
      </c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>
        <v>0</v>
      </c>
      <c r="P885" s="18"/>
      <c r="Q885" s="82">
        <f t="shared" si="18"/>
        <v>0</v>
      </c>
      <c r="R885" s="14">
        <v>661.20000000001164</v>
      </c>
      <c r="S885" s="15">
        <v>2.8078693724132176E-3</v>
      </c>
      <c r="T885" s="16">
        <v>3.8155933768600435E-3</v>
      </c>
    </row>
    <row r="886" spans="1:20" ht="16">
      <c r="A886" s="80" t="s">
        <v>371</v>
      </c>
      <c r="B886" s="81" t="s">
        <v>67</v>
      </c>
      <c r="C886" s="18"/>
      <c r="D886" s="21">
        <v>0</v>
      </c>
      <c r="E886" s="21">
        <v>0</v>
      </c>
      <c r="F886" s="21">
        <v>0</v>
      </c>
      <c r="G886" s="21">
        <v>0</v>
      </c>
      <c r="H886" s="21">
        <v>0</v>
      </c>
      <c r="I886" s="21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18"/>
      <c r="Q886" s="82">
        <f t="shared" si="18"/>
        <v>0</v>
      </c>
      <c r="R886" s="14">
        <v>0</v>
      </c>
      <c r="S886" s="15">
        <v>0</v>
      </c>
      <c r="T886" s="16">
        <v>7.5983342473077194E-3</v>
      </c>
    </row>
    <row r="887" spans="1:20" ht="16" hidden="1">
      <c r="A887" s="80" t="s">
        <v>371</v>
      </c>
      <c r="B887" s="81" t="s">
        <v>62</v>
      </c>
      <c r="C887" s="18"/>
      <c r="D887" s="21">
        <v>0</v>
      </c>
      <c r="E887" s="21">
        <v>0</v>
      </c>
      <c r="F887" s="21">
        <v>0</v>
      </c>
      <c r="G887" s="21">
        <v>0</v>
      </c>
      <c r="H887" s="21">
        <v>0</v>
      </c>
      <c r="I887" s="21">
        <v>0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</v>
      </c>
      <c r="P887" s="18"/>
      <c r="Q887" s="82">
        <f t="shared" si="18"/>
        <v>0</v>
      </c>
      <c r="R887" s="14">
        <v>48322.07</v>
      </c>
      <c r="S887" s="15">
        <v>-4832207</v>
      </c>
      <c r="T887" s="16">
        <v>7.8078929077759942E-4</v>
      </c>
    </row>
    <row r="888" spans="1:20" ht="16" hidden="1">
      <c r="A888" s="80" t="s">
        <v>371</v>
      </c>
      <c r="B888" s="81" t="s">
        <v>76</v>
      </c>
      <c r="C888" s="18"/>
      <c r="D888" s="21">
        <v>0</v>
      </c>
      <c r="E888" s="21">
        <v>0</v>
      </c>
      <c r="F888" s="21">
        <v>0</v>
      </c>
      <c r="G888" s="21">
        <v>0</v>
      </c>
      <c r="H888" s="21">
        <v>0</v>
      </c>
      <c r="I888" s="21">
        <v>0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0</v>
      </c>
      <c r="P888" s="18"/>
      <c r="Q888" s="82">
        <f t="shared" si="18"/>
        <v>0</v>
      </c>
      <c r="R888" s="14">
        <v>0</v>
      </c>
      <c r="S888" s="15">
        <v>0</v>
      </c>
      <c r="T888" s="16">
        <v>2.3566325042976666E-5</v>
      </c>
    </row>
    <row r="889" spans="1:20" ht="16" hidden="1">
      <c r="A889" s="80" t="s">
        <v>371</v>
      </c>
      <c r="B889" s="81" t="s">
        <v>78</v>
      </c>
      <c r="C889" s="18"/>
      <c r="D889" s="21">
        <v>0</v>
      </c>
      <c r="E889" s="21">
        <v>0</v>
      </c>
      <c r="F889" s="21">
        <v>0</v>
      </c>
      <c r="G889" s="21">
        <v>0</v>
      </c>
      <c r="H889" s="21">
        <v>0</v>
      </c>
      <c r="I889" s="21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18"/>
      <c r="Q889" s="82">
        <f t="shared" si="18"/>
        <v>0</v>
      </c>
      <c r="R889" s="14">
        <v>0</v>
      </c>
      <c r="S889" s="15">
        <v>0</v>
      </c>
      <c r="T889" s="16">
        <v>1.4542226918716617E-9</v>
      </c>
    </row>
    <row r="890" spans="1:20" ht="16" hidden="1">
      <c r="A890" s="80" t="s">
        <v>371</v>
      </c>
      <c r="B890" s="81" t="s">
        <v>85</v>
      </c>
      <c r="C890" s="18"/>
      <c r="D890" s="21">
        <v>0</v>
      </c>
      <c r="E890" s="21">
        <v>0</v>
      </c>
      <c r="F890" s="21">
        <v>0</v>
      </c>
      <c r="G890" s="21">
        <v>0</v>
      </c>
      <c r="H890" s="21">
        <v>0</v>
      </c>
      <c r="I890" s="21">
        <v>0</v>
      </c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>
        <v>0</v>
      </c>
      <c r="P890" s="18"/>
      <c r="Q890" s="82">
        <f t="shared" si="18"/>
        <v>0</v>
      </c>
      <c r="R890" s="14">
        <v>0</v>
      </c>
      <c r="S890" s="15">
        <v>0</v>
      </c>
      <c r="T890" s="16">
        <v>0</v>
      </c>
    </row>
    <row r="891" spans="1:20" ht="16" hidden="1">
      <c r="A891" s="80" t="s">
        <v>371</v>
      </c>
      <c r="B891" s="81" t="s">
        <v>60</v>
      </c>
      <c r="C891" s="18"/>
      <c r="D891" s="21">
        <v>69.989999999999995</v>
      </c>
      <c r="E891" s="21">
        <v>69.989999999999995</v>
      </c>
      <c r="F891" s="21">
        <v>69.989999999999995</v>
      </c>
      <c r="G891" s="21">
        <v>0</v>
      </c>
      <c r="H891" s="21">
        <v>0</v>
      </c>
      <c r="I891" s="21">
        <v>0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18"/>
      <c r="Q891" s="82">
        <f t="shared" si="18"/>
        <v>0</v>
      </c>
      <c r="R891" s="14">
        <v>0</v>
      </c>
      <c r="S891" s="15">
        <v>0</v>
      </c>
      <c r="T891" s="16">
        <v>1.4994651756187801E-3</v>
      </c>
    </row>
    <row r="892" spans="1:20" ht="16" hidden="1">
      <c r="A892" s="80" t="s">
        <v>373</v>
      </c>
      <c r="B892" s="81" t="s">
        <v>85</v>
      </c>
      <c r="C892" s="18"/>
      <c r="D892" s="21">
        <v>0</v>
      </c>
      <c r="E892" s="21">
        <v>0</v>
      </c>
      <c r="F892" s="21">
        <v>0</v>
      </c>
      <c r="G892" s="21">
        <v>0</v>
      </c>
      <c r="H892" s="21">
        <v>0</v>
      </c>
      <c r="I892" s="21">
        <v>0</v>
      </c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>
        <v>0</v>
      </c>
      <c r="P892" s="18"/>
      <c r="Q892" s="82">
        <f t="shared" si="18"/>
        <v>0</v>
      </c>
      <c r="R892" s="14">
        <v>1.0000000002037268E-2</v>
      </c>
      <c r="S892" s="15">
        <v>2.7526082344928429E-7</v>
      </c>
      <c r="T892" s="16">
        <v>5.8700813861463385E-4</v>
      </c>
    </row>
    <row r="893" spans="1:20" ht="16" hidden="1">
      <c r="A893" s="80" t="s">
        <v>377</v>
      </c>
      <c r="B893" s="81" t="s">
        <v>60</v>
      </c>
      <c r="C893" s="18"/>
      <c r="D893" s="21">
        <v>0</v>
      </c>
      <c r="E893" s="21">
        <v>0</v>
      </c>
      <c r="F893" s="21">
        <v>0</v>
      </c>
      <c r="G893" s="21">
        <v>0</v>
      </c>
      <c r="H893" s="21">
        <v>0</v>
      </c>
      <c r="I893" s="21">
        <v>0</v>
      </c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>
        <v>0</v>
      </c>
      <c r="P893" s="18"/>
      <c r="Q893" s="82">
        <f t="shared" si="18"/>
        <v>0</v>
      </c>
      <c r="R893" s="14">
        <v>0</v>
      </c>
      <c r="S893" s="15">
        <v>0</v>
      </c>
      <c r="T893" s="16">
        <v>3.4180696470947924E-6</v>
      </c>
    </row>
    <row r="894" spans="1:20" ht="16" hidden="1">
      <c r="A894" s="80" t="s">
        <v>381</v>
      </c>
      <c r="B894" s="81" t="s">
        <v>66</v>
      </c>
      <c r="C894" s="18"/>
      <c r="D894" s="21">
        <v>0</v>
      </c>
      <c r="E894" s="21">
        <v>0</v>
      </c>
      <c r="F894" s="21">
        <v>0</v>
      </c>
      <c r="G894" s="21">
        <v>0</v>
      </c>
      <c r="H894" s="21">
        <v>0</v>
      </c>
      <c r="I894" s="21">
        <v>0</v>
      </c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>
        <v>0</v>
      </c>
      <c r="P894" s="18"/>
      <c r="Q894" s="82">
        <f t="shared" si="18"/>
        <v>0</v>
      </c>
      <c r="R894" s="14">
        <v>0</v>
      </c>
      <c r="S894" s="15">
        <v>0</v>
      </c>
      <c r="T894" s="16">
        <v>0</v>
      </c>
    </row>
    <row r="895" spans="1:20" ht="16" hidden="1">
      <c r="A895" s="80" t="s">
        <v>383</v>
      </c>
      <c r="B895" s="81" t="s">
        <v>78</v>
      </c>
      <c r="C895" s="18"/>
      <c r="D895" s="21">
        <v>0</v>
      </c>
      <c r="E895" s="21">
        <v>0</v>
      </c>
      <c r="F895" s="21">
        <v>0</v>
      </c>
      <c r="G895" s="21">
        <v>0</v>
      </c>
      <c r="H895" s="21">
        <v>0</v>
      </c>
      <c r="I895" s="21">
        <v>0</v>
      </c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>
        <v>0</v>
      </c>
      <c r="P895" s="18"/>
      <c r="Q895" s="82">
        <f t="shared" si="18"/>
        <v>0</v>
      </c>
      <c r="R895" s="14">
        <v>2977.6399999999994</v>
      </c>
      <c r="S895" s="15">
        <v>0.16297876695871019</v>
      </c>
      <c r="T895" s="16">
        <v>3.4332178001351212E-4</v>
      </c>
    </row>
    <row r="896" spans="1:20" ht="16" hidden="1">
      <c r="A896" s="80" t="s">
        <v>384</v>
      </c>
      <c r="B896" s="81" t="s">
        <v>85</v>
      </c>
      <c r="C896" s="18"/>
      <c r="D896" s="21">
        <v>0</v>
      </c>
      <c r="E896" s="21">
        <v>0</v>
      </c>
      <c r="F896" s="21">
        <v>0</v>
      </c>
      <c r="G896" s="21">
        <v>0</v>
      </c>
      <c r="H896" s="21">
        <v>0</v>
      </c>
      <c r="I896" s="21">
        <v>0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0</v>
      </c>
      <c r="P896" s="18"/>
      <c r="Q896" s="82">
        <f t="shared" si="18"/>
        <v>0</v>
      </c>
      <c r="R896" s="14">
        <v>0</v>
      </c>
      <c r="S896" s="15">
        <v>0</v>
      </c>
      <c r="T896" s="16">
        <v>1.3572745124135509E-8</v>
      </c>
    </row>
    <row r="897" spans="1:20" ht="16" hidden="1">
      <c r="A897" s="80" t="s">
        <v>385</v>
      </c>
      <c r="B897" s="81" t="s">
        <v>76</v>
      </c>
      <c r="C897" s="18"/>
      <c r="D897" s="21">
        <v>0</v>
      </c>
      <c r="E897" s="21">
        <v>0</v>
      </c>
      <c r="F897" s="21">
        <v>0</v>
      </c>
      <c r="G897" s="21">
        <v>0</v>
      </c>
      <c r="H897" s="21">
        <v>0</v>
      </c>
      <c r="I897" s="21">
        <v>0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0</v>
      </c>
      <c r="P897" s="18"/>
      <c r="Q897" s="82">
        <f t="shared" si="18"/>
        <v>0</v>
      </c>
      <c r="R897" s="14">
        <v>0</v>
      </c>
      <c r="S897" s="15">
        <v>0</v>
      </c>
      <c r="T897" s="16">
        <v>0</v>
      </c>
    </row>
    <row r="898" spans="1:20" ht="16" hidden="1">
      <c r="A898" s="80" t="s">
        <v>387</v>
      </c>
      <c r="B898" s="81" t="s">
        <v>78</v>
      </c>
      <c r="C898" s="18"/>
      <c r="D898" s="21">
        <v>0</v>
      </c>
      <c r="E898" s="21">
        <v>0</v>
      </c>
      <c r="F898" s="21">
        <v>0</v>
      </c>
      <c r="G898" s="21">
        <v>0</v>
      </c>
      <c r="H898" s="21">
        <v>0</v>
      </c>
      <c r="I898" s="21">
        <v>0</v>
      </c>
      <c r="J898" s="3">
        <v>0</v>
      </c>
      <c r="K898" s="3">
        <v>0</v>
      </c>
      <c r="L898" s="3">
        <v>0</v>
      </c>
      <c r="M898" s="3">
        <v>0</v>
      </c>
      <c r="N898" s="3">
        <v>0</v>
      </c>
      <c r="O898" s="3">
        <v>0</v>
      </c>
      <c r="P898" s="18"/>
      <c r="Q898" s="82">
        <f t="shared" si="18"/>
        <v>0</v>
      </c>
      <c r="R898" s="14">
        <v>-5726.4999999999991</v>
      </c>
      <c r="S898" s="15">
        <v>-0.96450864209175335</v>
      </c>
      <c r="T898" s="16">
        <v>3.4048200625688509E-6</v>
      </c>
    </row>
    <row r="899" spans="1:20" ht="16" hidden="1">
      <c r="A899" s="80" t="s">
        <v>390</v>
      </c>
      <c r="B899" s="81" t="s">
        <v>60</v>
      </c>
      <c r="C899" s="18"/>
      <c r="D899" s="21">
        <v>0</v>
      </c>
      <c r="E899" s="21">
        <v>0</v>
      </c>
      <c r="F899" s="21">
        <v>0</v>
      </c>
      <c r="G899" s="21">
        <v>0</v>
      </c>
      <c r="H899" s="21">
        <v>0</v>
      </c>
      <c r="I899" s="21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18"/>
      <c r="Q899" s="82">
        <f t="shared" si="18"/>
        <v>0</v>
      </c>
      <c r="R899" s="14">
        <v>-16200</v>
      </c>
      <c r="S899" s="15">
        <v>-0.2</v>
      </c>
      <c r="T899" s="16">
        <v>1.0470403381475965E-3</v>
      </c>
    </row>
    <row r="900" spans="1:20" ht="16" hidden="1">
      <c r="A900" s="80" t="s">
        <v>392</v>
      </c>
      <c r="B900" s="81" t="s">
        <v>60</v>
      </c>
      <c r="C900" s="18"/>
      <c r="D900" s="21">
        <v>34800</v>
      </c>
      <c r="E900" s="21">
        <v>34800</v>
      </c>
      <c r="F900" s="21">
        <v>52200</v>
      </c>
      <c r="G900" s="21">
        <v>52100</v>
      </c>
      <c r="H900" s="21">
        <v>17300</v>
      </c>
      <c r="I900" s="21">
        <v>0</v>
      </c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>
        <v>0</v>
      </c>
      <c r="P900" s="18"/>
      <c r="Q900" s="82">
        <f t="shared" si="18"/>
        <v>0</v>
      </c>
      <c r="R900" s="14">
        <v>0</v>
      </c>
      <c r="S900" s="15">
        <v>0</v>
      </c>
      <c r="T900" s="16">
        <v>-1.6158029909685323E-10</v>
      </c>
    </row>
    <row r="901" spans="1:20" ht="16" hidden="1">
      <c r="A901" s="80" t="s">
        <v>395</v>
      </c>
      <c r="B901" s="81" t="s">
        <v>162</v>
      </c>
      <c r="C901" s="18"/>
      <c r="D901" s="21">
        <v>0</v>
      </c>
      <c r="E901" s="21">
        <v>0</v>
      </c>
      <c r="F901" s="21">
        <v>0</v>
      </c>
      <c r="G901" s="21">
        <v>0</v>
      </c>
      <c r="H901" s="21">
        <v>0</v>
      </c>
      <c r="I901" s="21">
        <v>0</v>
      </c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>
        <v>0</v>
      </c>
      <c r="P901" s="18"/>
      <c r="Q901" s="82">
        <f t="shared" si="18"/>
        <v>0</v>
      </c>
      <c r="R901" s="14">
        <v>0</v>
      </c>
      <c r="S901" s="15">
        <v>0</v>
      </c>
      <c r="T901" s="16">
        <v>0</v>
      </c>
    </row>
    <row r="902" spans="1:20" ht="16" hidden="1">
      <c r="A902" s="80" t="s">
        <v>399</v>
      </c>
      <c r="B902" s="81" t="s">
        <v>85</v>
      </c>
      <c r="C902" s="18"/>
      <c r="D902" s="21">
        <v>0</v>
      </c>
      <c r="E902" s="21">
        <v>0</v>
      </c>
      <c r="F902" s="21">
        <v>0</v>
      </c>
      <c r="G902" s="21">
        <v>0</v>
      </c>
      <c r="H902" s="21">
        <v>0</v>
      </c>
      <c r="I902" s="21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18"/>
      <c r="Q902" s="82">
        <f t="shared" si="18"/>
        <v>0</v>
      </c>
      <c r="R902" s="14">
        <v>0</v>
      </c>
      <c r="S902" s="15">
        <v>0</v>
      </c>
      <c r="T902" s="16">
        <v>0</v>
      </c>
    </row>
    <row r="903" spans="1:20" ht="16" hidden="1">
      <c r="A903" s="80" t="s">
        <v>400</v>
      </c>
      <c r="B903" s="81" t="s">
        <v>62</v>
      </c>
      <c r="C903" s="18"/>
      <c r="D903" s="21">
        <v>27000</v>
      </c>
      <c r="E903" s="21">
        <v>0</v>
      </c>
      <c r="F903" s="21">
        <v>0</v>
      </c>
      <c r="G903" s="21">
        <v>0</v>
      </c>
      <c r="H903" s="21">
        <v>0</v>
      </c>
      <c r="I903" s="21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18"/>
      <c r="Q903" s="82">
        <f t="shared" si="18"/>
        <v>0</v>
      </c>
      <c r="R903" s="14">
        <v>0</v>
      </c>
      <c r="S903" s="15">
        <v>0</v>
      </c>
      <c r="T903" s="16">
        <v>0</v>
      </c>
    </row>
    <row r="904" spans="1:20" ht="16" hidden="1">
      <c r="A904" s="80" t="s">
        <v>404</v>
      </c>
      <c r="B904" s="81" t="s">
        <v>66</v>
      </c>
      <c r="C904" s="18"/>
      <c r="D904" s="21">
        <v>0</v>
      </c>
      <c r="E904" s="21">
        <v>0</v>
      </c>
      <c r="F904" s="21">
        <v>0</v>
      </c>
      <c r="G904" s="21">
        <v>0</v>
      </c>
      <c r="H904" s="21">
        <v>0</v>
      </c>
      <c r="I904" s="21">
        <v>0</v>
      </c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>
        <v>0</v>
      </c>
      <c r="P904" s="18"/>
      <c r="Q904" s="82">
        <f t="shared" si="18"/>
        <v>0</v>
      </c>
      <c r="R904" s="14">
        <v>0</v>
      </c>
      <c r="S904" s="15">
        <v>0</v>
      </c>
      <c r="T904" s="16">
        <v>0</v>
      </c>
    </row>
    <row r="905" spans="1:20" ht="16" hidden="1">
      <c r="A905" s="80" t="s">
        <v>405</v>
      </c>
      <c r="B905" s="81" t="s">
        <v>62</v>
      </c>
      <c r="C905" s="18"/>
      <c r="D905" s="21">
        <v>0</v>
      </c>
      <c r="E905" s="21">
        <v>0</v>
      </c>
      <c r="F905" s="21">
        <v>0</v>
      </c>
      <c r="G905" s="21">
        <v>0</v>
      </c>
      <c r="H905" s="21">
        <v>0</v>
      </c>
      <c r="I905" s="21">
        <v>0</v>
      </c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>
        <v>0</v>
      </c>
      <c r="P905" s="18"/>
      <c r="Q905" s="82">
        <f t="shared" si="18"/>
        <v>0</v>
      </c>
      <c r="R905" s="14">
        <v>0</v>
      </c>
      <c r="S905" s="15">
        <v>0</v>
      </c>
      <c r="T905" s="16">
        <v>5.8168907674866469E-6</v>
      </c>
    </row>
    <row r="906" spans="1:20" ht="16" hidden="1">
      <c r="A906" s="80" t="s">
        <v>406</v>
      </c>
      <c r="B906" s="81" t="s">
        <v>78</v>
      </c>
      <c r="C906" s="18"/>
      <c r="D906" s="21">
        <v>0</v>
      </c>
      <c r="E906" s="21">
        <v>0</v>
      </c>
      <c r="F906" s="21">
        <v>0</v>
      </c>
      <c r="G906" s="21">
        <v>0</v>
      </c>
      <c r="H906" s="21">
        <v>0</v>
      </c>
      <c r="I906" s="21">
        <v>0</v>
      </c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>
        <v>0</v>
      </c>
      <c r="P906" s="18"/>
      <c r="Q906" s="82">
        <f t="shared" si="18"/>
        <v>0</v>
      </c>
      <c r="R906" s="14">
        <v>0</v>
      </c>
      <c r="S906" s="15">
        <v>0</v>
      </c>
      <c r="T906" s="16">
        <v>0</v>
      </c>
    </row>
    <row r="907" spans="1:20" customFormat="1" ht="16" hidden="1">
      <c r="A907" s="11" t="s">
        <v>410</v>
      </c>
      <c r="B907" s="12" t="s">
        <v>69</v>
      </c>
      <c r="C907" s="1"/>
      <c r="D907" s="3">
        <v>0</v>
      </c>
      <c r="E907" s="3">
        <v>0</v>
      </c>
      <c r="F907" s="3">
        <v>0</v>
      </c>
      <c r="G907" s="3">
        <v>0</v>
      </c>
      <c r="H907" s="3">
        <v>0</v>
      </c>
      <c r="I907" s="3">
        <v>0</v>
      </c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0</v>
      </c>
      <c r="P907" s="1"/>
      <c r="Q907" s="1"/>
      <c r="R907" s="14">
        <v>0.01</v>
      </c>
      <c r="S907" s="15">
        <v>-1</v>
      </c>
      <c r="T907" s="16">
        <v>0</v>
      </c>
    </row>
    <row r="908" spans="1:20" ht="16" hidden="1">
      <c r="A908" s="80" t="s">
        <v>411</v>
      </c>
      <c r="B908" s="81" t="s">
        <v>62</v>
      </c>
      <c r="C908" s="18"/>
      <c r="D908" s="21">
        <v>0</v>
      </c>
      <c r="E908" s="21">
        <v>0</v>
      </c>
      <c r="F908" s="21">
        <v>0</v>
      </c>
      <c r="G908" s="21">
        <v>0</v>
      </c>
      <c r="H908" s="21">
        <v>0</v>
      </c>
      <c r="I908" s="21">
        <v>0</v>
      </c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>
        <v>0</v>
      </c>
      <c r="P908" s="18"/>
      <c r="Q908" s="82">
        <f t="shared" ref="Q908:Q909" si="19">IFERROR(I908/$I$4," ")</f>
        <v>0</v>
      </c>
      <c r="R908" s="14">
        <v>-24238.639999999985</v>
      </c>
      <c r="S908" s="15">
        <v>-0.17651383672311338</v>
      </c>
      <c r="T908" s="16">
        <v>1.8271500221871946E-3</v>
      </c>
    </row>
    <row r="909" spans="1:20" ht="16" hidden="1">
      <c r="A909" s="80" t="s">
        <v>412</v>
      </c>
      <c r="B909" s="81" t="s">
        <v>78</v>
      </c>
      <c r="C909" s="18"/>
      <c r="D909" s="21">
        <v>0</v>
      </c>
      <c r="E909" s="21">
        <v>0</v>
      </c>
      <c r="F909" s="21">
        <v>0</v>
      </c>
      <c r="G909" s="21">
        <v>0</v>
      </c>
      <c r="H909" s="21">
        <v>0</v>
      </c>
      <c r="I909" s="21">
        <v>0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</v>
      </c>
      <c r="P909" s="18"/>
      <c r="Q909" s="82">
        <f t="shared" si="19"/>
        <v>0</v>
      </c>
      <c r="R909" s="14">
        <v>0</v>
      </c>
      <c r="S909" s="15">
        <v>0</v>
      </c>
      <c r="T909" s="16">
        <v>0</v>
      </c>
    </row>
    <row r="910" spans="1:20" customFormat="1" ht="16" hidden="1">
      <c r="A910" s="11" t="s">
        <v>416</v>
      </c>
      <c r="B910" s="12" t="s">
        <v>69</v>
      </c>
      <c r="C910" s="1"/>
      <c r="D910" s="3">
        <v>-8.64</v>
      </c>
      <c r="E910" s="3">
        <v>-8.64</v>
      </c>
      <c r="F910" s="3">
        <v>-8.64</v>
      </c>
      <c r="G910" s="3">
        <v>-8.64</v>
      </c>
      <c r="H910" s="3">
        <v>0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1"/>
      <c r="Q910" s="1"/>
      <c r="R910" s="14">
        <v>0</v>
      </c>
      <c r="S910" s="15">
        <v>0</v>
      </c>
      <c r="T910" s="16">
        <v>0</v>
      </c>
    </row>
    <row r="911" spans="1:20" ht="16" hidden="1">
      <c r="A911" s="80" t="s">
        <v>417</v>
      </c>
      <c r="B911" s="81" t="s">
        <v>78</v>
      </c>
      <c r="C911" s="18"/>
      <c r="D911" s="21">
        <v>0</v>
      </c>
      <c r="E911" s="21">
        <v>0</v>
      </c>
      <c r="F911" s="21">
        <v>0</v>
      </c>
      <c r="G911" s="21">
        <v>0</v>
      </c>
      <c r="H911" s="21">
        <v>0</v>
      </c>
      <c r="I911" s="21">
        <v>0</v>
      </c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>
        <v>0</v>
      </c>
      <c r="P911" s="18"/>
      <c r="Q911" s="82">
        <f t="shared" ref="Q911:Q974" si="20">IFERROR(I911/$I$4," ")</f>
        <v>0</v>
      </c>
      <c r="R911" s="14">
        <v>0</v>
      </c>
      <c r="S911" s="15">
        <v>0</v>
      </c>
      <c r="T911" s="16">
        <v>0</v>
      </c>
    </row>
    <row r="912" spans="1:20" ht="16">
      <c r="A912" s="80" t="s">
        <v>418</v>
      </c>
      <c r="B912" s="81" t="s">
        <v>67</v>
      </c>
      <c r="C912" s="18"/>
      <c r="D912" s="21">
        <v>0</v>
      </c>
      <c r="E912" s="21">
        <v>0</v>
      </c>
      <c r="F912" s="21">
        <v>0</v>
      </c>
      <c r="G912" s="21">
        <v>0</v>
      </c>
      <c r="H912" s="21">
        <v>0</v>
      </c>
      <c r="I912" s="21">
        <v>0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0</v>
      </c>
      <c r="P912" s="18"/>
      <c r="Q912" s="82">
        <f t="shared" si="20"/>
        <v>0</v>
      </c>
      <c r="R912" s="14">
        <v>0</v>
      </c>
      <c r="S912" s="15">
        <v>0</v>
      </c>
      <c r="T912" s="16">
        <v>0</v>
      </c>
    </row>
    <row r="913" spans="1:20" ht="16" hidden="1">
      <c r="A913" s="80" t="s">
        <v>418</v>
      </c>
      <c r="B913" s="81" t="s">
        <v>62</v>
      </c>
      <c r="C913" s="18"/>
      <c r="D913" s="21">
        <v>0</v>
      </c>
      <c r="E913" s="21">
        <v>0</v>
      </c>
      <c r="F913" s="21">
        <v>0</v>
      </c>
      <c r="G913" s="21">
        <v>0</v>
      </c>
      <c r="H913" s="21">
        <v>0</v>
      </c>
      <c r="I913" s="21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18"/>
      <c r="Q913" s="82">
        <f t="shared" si="20"/>
        <v>0</v>
      </c>
      <c r="R913" s="14">
        <v>12736.800000000003</v>
      </c>
      <c r="S913" s="15">
        <v>0.33794170977788424</v>
      </c>
      <c r="T913" s="16">
        <v>8.1478707834996972E-4</v>
      </c>
    </row>
    <row r="914" spans="1:20" ht="16" hidden="1">
      <c r="A914" s="80" t="s">
        <v>418</v>
      </c>
      <c r="B914" s="81" t="s">
        <v>85</v>
      </c>
      <c r="C914" s="18"/>
      <c r="D914" s="21">
        <v>5950</v>
      </c>
      <c r="E914" s="21">
        <v>0</v>
      </c>
      <c r="F914" s="21">
        <v>0</v>
      </c>
      <c r="G914" s="21">
        <v>0</v>
      </c>
      <c r="H914" s="21">
        <v>0</v>
      </c>
      <c r="I914" s="21">
        <v>0</v>
      </c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>
        <v>0</v>
      </c>
      <c r="P914" s="18"/>
      <c r="Q914" s="82">
        <f t="shared" si="20"/>
        <v>0</v>
      </c>
      <c r="R914" s="14">
        <v>0</v>
      </c>
      <c r="S914" s="15">
        <v>0</v>
      </c>
      <c r="T914" s="16">
        <v>-8.0790149548425648E-9</v>
      </c>
    </row>
    <row r="915" spans="1:20" ht="16" hidden="1">
      <c r="A915" s="80" t="s">
        <v>423</v>
      </c>
      <c r="B915" s="81" t="s">
        <v>85</v>
      </c>
      <c r="C915" s="18"/>
      <c r="D915" s="21">
        <v>0</v>
      </c>
      <c r="E915" s="21">
        <v>0</v>
      </c>
      <c r="F915" s="21">
        <v>0</v>
      </c>
      <c r="G915" s="21">
        <v>0</v>
      </c>
      <c r="H915" s="21">
        <v>0</v>
      </c>
      <c r="I915" s="21">
        <v>0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0</v>
      </c>
      <c r="P915" s="18"/>
      <c r="Q915" s="82">
        <f t="shared" si="20"/>
        <v>0</v>
      </c>
      <c r="R915" s="14">
        <v>0</v>
      </c>
      <c r="S915" s="15">
        <v>0</v>
      </c>
      <c r="T915" s="16">
        <v>0</v>
      </c>
    </row>
    <row r="916" spans="1:20" ht="16" hidden="1">
      <c r="A916" s="80" t="s">
        <v>425</v>
      </c>
      <c r="B916" s="81" t="s">
        <v>66</v>
      </c>
      <c r="C916" s="18"/>
      <c r="D916" s="21">
        <v>0</v>
      </c>
      <c r="E916" s="21">
        <v>0</v>
      </c>
      <c r="F916" s="21">
        <v>0</v>
      </c>
      <c r="G916" s="21">
        <v>0</v>
      </c>
      <c r="H916" s="21">
        <v>0</v>
      </c>
      <c r="I916" s="21">
        <v>0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18"/>
      <c r="Q916" s="82">
        <f t="shared" si="20"/>
        <v>0</v>
      </c>
      <c r="R916" s="14">
        <v>0</v>
      </c>
      <c r="S916" s="15">
        <v>0</v>
      </c>
      <c r="T916" s="16">
        <v>0</v>
      </c>
    </row>
    <row r="917" spans="1:20" ht="16" hidden="1">
      <c r="A917" s="80" t="s">
        <v>426</v>
      </c>
      <c r="B917" s="81" t="s">
        <v>85</v>
      </c>
      <c r="C917" s="18"/>
      <c r="D917" s="21">
        <v>820.63</v>
      </c>
      <c r="E917" s="21">
        <v>1025.79</v>
      </c>
      <c r="F917" s="21">
        <v>1230.94</v>
      </c>
      <c r="G917" s="21">
        <v>0</v>
      </c>
      <c r="H917" s="21">
        <v>0</v>
      </c>
      <c r="I917" s="21">
        <v>0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>
        <v>0</v>
      </c>
      <c r="P917" s="18"/>
      <c r="Q917" s="82">
        <f t="shared" si="20"/>
        <v>0</v>
      </c>
      <c r="R917" s="14">
        <v>0.48</v>
      </c>
      <c r="S917" s="15">
        <v>0.16666666666666666</v>
      </c>
      <c r="T917" s="16">
        <v>5.4290980496542036E-8</v>
      </c>
    </row>
    <row r="918" spans="1:20" ht="16" hidden="1">
      <c r="A918" s="80" t="s">
        <v>427</v>
      </c>
      <c r="B918" s="81" t="s">
        <v>76</v>
      </c>
      <c r="C918" s="18"/>
      <c r="D918" s="21">
        <v>0</v>
      </c>
      <c r="E918" s="21">
        <v>0</v>
      </c>
      <c r="F918" s="21">
        <v>0</v>
      </c>
      <c r="G918" s="21">
        <v>0</v>
      </c>
      <c r="H918" s="21">
        <v>0</v>
      </c>
      <c r="I918" s="21">
        <v>0</v>
      </c>
      <c r="J918" s="3">
        <v>0</v>
      </c>
      <c r="K918" s="3">
        <v>0</v>
      </c>
      <c r="L918" s="3">
        <v>0</v>
      </c>
      <c r="M918" s="3">
        <v>0</v>
      </c>
      <c r="N918" s="3">
        <v>0</v>
      </c>
      <c r="O918" s="3">
        <v>0</v>
      </c>
      <c r="P918" s="18"/>
      <c r="Q918" s="82">
        <f t="shared" si="20"/>
        <v>0</v>
      </c>
      <c r="R918" s="14">
        <v>0</v>
      </c>
      <c r="S918" s="15">
        <v>0</v>
      </c>
      <c r="T918" s="16">
        <v>0</v>
      </c>
    </row>
    <row r="919" spans="1:20" ht="16" hidden="1">
      <c r="A919" s="80" t="s">
        <v>429</v>
      </c>
      <c r="B919" s="81" t="s">
        <v>66</v>
      </c>
      <c r="C919" s="18"/>
      <c r="D919" s="21">
        <v>0</v>
      </c>
      <c r="E919" s="21">
        <v>0</v>
      </c>
      <c r="F919" s="21">
        <v>0</v>
      </c>
      <c r="G919" s="21">
        <v>0</v>
      </c>
      <c r="H919" s="21">
        <v>0</v>
      </c>
      <c r="I919" s="21">
        <v>0</v>
      </c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>
        <v>0</v>
      </c>
      <c r="P919" s="18"/>
      <c r="Q919" s="82">
        <f t="shared" si="20"/>
        <v>0</v>
      </c>
      <c r="R919" s="14">
        <v>-4898.93</v>
      </c>
      <c r="S919" s="15">
        <v>-1.0000020412662383</v>
      </c>
      <c r="T919" s="16">
        <v>-1.6158029909685129E-10</v>
      </c>
    </row>
    <row r="920" spans="1:20" ht="16" hidden="1">
      <c r="A920" s="80" t="s">
        <v>431</v>
      </c>
      <c r="B920" s="81" t="s">
        <v>78</v>
      </c>
      <c r="C920" s="18"/>
      <c r="D920" s="21">
        <v>0</v>
      </c>
      <c r="E920" s="21">
        <v>0</v>
      </c>
      <c r="F920" s="21">
        <v>0</v>
      </c>
      <c r="G920" s="21">
        <v>0</v>
      </c>
      <c r="H920" s="21">
        <v>0</v>
      </c>
      <c r="I920" s="21">
        <v>0</v>
      </c>
      <c r="J920" s="3">
        <v>0</v>
      </c>
      <c r="K920" s="3">
        <v>0</v>
      </c>
      <c r="L920" s="3">
        <v>0</v>
      </c>
      <c r="M920" s="3">
        <v>0</v>
      </c>
      <c r="N920" s="3">
        <v>0</v>
      </c>
      <c r="O920" s="3">
        <v>0</v>
      </c>
      <c r="P920" s="18"/>
      <c r="Q920" s="82">
        <f t="shared" si="20"/>
        <v>0</v>
      </c>
      <c r="R920" s="14">
        <v>29381.489999999991</v>
      </c>
      <c r="S920" s="15">
        <v>8.6370083860863256E-2</v>
      </c>
      <c r="T920" s="16">
        <v>5.9714070990675803E-3</v>
      </c>
    </row>
    <row r="921" spans="1:20" ht="16" hidden="1">
      <c r="A921" s="80" t="s">
        <v>433</v>
      </c>
      <c r="B921" s="81" t="s">
        <v>85</v>
      </c>
      <c r="C921" s="18"/>
      <c r="D921" s="21">
        <v>0</v>
      </c>
      <c r="E921" s="21">
        <v>0</v>
      </c>
      <c r="F921" s="21">
        <v>0</v>
      </c>
      <c r="G921" s="21">
        <v>0</v>
      </c>
      <c r="H921" s="21">
        <v>0</v>
      </c>
      <c r="I921" s="21">
        <v>0</v>
      </c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>
        <v>0</v>
      </c>
      <c r="P921" s="18"/>
      <c r="Q921" s="82">
        <f t="shared" si="20"/>
        <v>0</v>
      </c>
      <c r="R921" s="14">
        <v>36781.05000000001</v>
      </c>
      <c r="S921" s="15">
        <v>613017.50000000012</v>
      </c>
      <c r="T921" s="16">
        <v>5.9431027549141898E-4</v>
      </c>
    </row>
    <row r="922" spans="1:20" ht="16" hidden="1">
      <c r="A922" s="80" t="s">
        <v>434</v>
      </c>
      <c r="B922" s="81" t="s">
        <v>85</v>
      </c>
      <c r="C922" s="18"/>
      <c r="D922" s="21">
        <v>0</v>
      </c>
      <c r="E922" s="21">
        <v>0</v>
      </c>
      <c r="F922" s="21">
        <v>0</v>
      </c>
      <c r="G922" s="21">
        <v>0</v>
      </c>
      <c r="H922" s="21">
        <v>0</v>
      </c>
      <c r="I922" s="21">
        <v>0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0</v>
      </c>
      <c r="P922" s="18"/>
      <c r="Q922" s="82">
        <f t="shared" si="20"/>
        <v>0</v>
      </c>
      <c r="R922" s="14">
        <v>0</v>
      </c>
      <c r="S922" s="15">
        <v>0</v>
      </c>
      <c r="T922" s="16">
        <v>1.6158029909685129E-10</v>
      </c>
    </row>
    <row r="923" spans="1:20" ht="16" hidden="1">
      <c r="A923" s="80" t="s">
        <v>435</v>
      </c>
      <c r="B923" s="81" t="s">
        <v>89</v>
      </c>
      <c r="C923" s="18"/>
      <c r="D923" s="21">
        <v>0</v>
      </c>
      <c r="E923" s="21">
        <v>0</v>
      </c>
      <c r="F923" s="21">
        <v>0</v>
      </c>
      <c r="G923" s="21">
        <v>0</v>
      </c>
      <c r="H923" s="21">
        <v>0</v>
      </c>
      <c r="I923" s="21">
        <v>0</v>
      </c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>
        <v>0</v>
      </c>
      <c r="P923" s="18"/>
      <c r="Q923" s="82">
        <f t="shared" si="20"/>
        <v>0</v>
      </c>
      <c r="R923" s="14">
        <v>-8.8817841970012523E-16</v>
      </c>
      <c r="S923" s="15">
        <v>1.6758083390568438E-15</v>
      </c>
      <c r="T923" s="16">
        <v>-8.5637558521331141E-9</v>
      </c>
    </row>
    <row r="924" spans="1:20" ht="16" hidden="1">
      <c r="A924" s="80" t="s">
        <v>436</v>
      </c>
      <c r="B924" s="81" t="s">
        <v>85</v>
      </c>
      <c r="C924" s="18"/>
      <c r="D924" s="21">
        <v>0</v>
      </c>
      <c r="E924" s="21">
        <v>0</v>
      </c>
      <c r="F924" s="21">
        <v>0</v>
      </c>
      <c r="G924" s="21">
        <v>0</v>
      </c>
      <c r="H924" s="21">
        <v>0</v>
      </c>
      <c r="I924" s="21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18"/>
      <c r="Q924" s="82">
        <f t="shared" si="20"/>
        <v>0</v>
      </c>
      <c r="R924" s="14">
        <v>0</v>
      </c>
      <c r="S924" s="15">
        <v>0</v>
      </c>
      <c r="T924" s="16">
        <v>0</v>
      </c>
    </row>
    <row r="925" spans="1:20" ht="16" hidden="1">
      <c r="A925" s="80" t="s">
        <v>439</v>
      </c>
      <c r="B925" s="81" t="s">
        <v>62</v>
      </c>
      <c r="C925" s="18"/>
      <c r="D925" s="21">
        <v>34042.68</v>
      </c>
      <c r="E925" s="21">
        <v>68085.360000000015</v>
      </c>
      <c r="F925" s="21">
        <v>102128.04000000001</v>
      </c>
      <c r="G925" s="21">
        <v>0</v>
      </c>
      <c r="H925" s="21">
        <v>0</v>
      </c>
      <c r="I925" s="21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18"/>
      <c r="Q925" s="82">
        <f t="shared" si="20"/>
        <v>0</v>
      </c>
      <c r="R925" s="14">
        <v>0</v>
      </c>
      <c r="S925" s="15">
        <v>0</v>
      </c>
      <c r="T925" s="16">
        <v>0</v>
      </c>
    </row>
    <row r="926" spans="1:20" ht="16" hidden="1">
      <c r="A926" s="80" t="s">
        <v>440</v>
      </c>
      <c r="B926" s="81" t="s">
        <v>62</v>
      </c>
      <c r="C926" s="18"/>
      <c r="D926" s="21">
        <v>0</v>
      </c>
      <c r="E926" s="21">
        <v>0</v>
      </c>
      <c r="F926" s="21">
        <v>0</v>
      </c>
      <c r="G926" s="21">
        <v>0</v>
      </c>
      <c r="H926" s="21">
        <v>0</v>
      </c>
      <c r="I926" s="21">
        <v>0</v>
      </c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>
        <v>0</v>
      </c>
      <c r="P926" s="18"/>
      <c r="Q926" s="82">
        <f t="shared" si="20"/>
        <v>0</v>
      </c>
      <c r="R926" s="14">
        <v>-23219.729999999996</v>
      </c>
      <c r="S926" s="15">
        <v>-0.26127651377011862</v>
      </c>
      <c r="T926" s="16">
        <v>1.0607843583887752E-3</v>
      </c>
    </row>
    <row r="927" spans="1:20" ht="16" hidden="1">
      <c r="A927" s="80" t="s">
        <v>441</v>
      </c>
      <c r="B927" s="81" t="s">
        <v>62</v>
      </c>
      <c r="C927" s="18"/>
      <c r="D927" s="21">
        <v>0</v>
      </c>
      <c r="E927" s="21">
        <v>0</v>
      </c>
      <c r="F927" s="21">
        <v>0</v>
      </c>
      <c r="G927" s="21">
        <v>0</v>
      </c>
      <c r="H927" s="21">
        <v>0</v>
      </c>
      <c r="I927" s="21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18"/>
      <c r="Q927" s="82">
        <f t="shared" si="20"/>
        <v>0</v>
      </c>
      <c r="R927" s="14">
        <v>0</v>
      </c>
      <c r="S927" s="15">
        <v>0</v>
      </c>
      <c r="T927" s="16">
        <v>-4.184929746608449E-8</v>
      </c>
    </row>
    <row r="928" spans="1:20" ht="16">
      <c r="A928" s="80" t="s">
        <v>442</v>
      </c>
      <c r="B928" s="81" t="s">
        <v>67</v>
      </c>
      <c r="C928" s="18"/>
      <c r="D928" s="21">
        <v>0</v>
      </c>
      <c r="E928" s="21">
        <v>0</v>
      </c>
      <c r="F928" s="21">
        <v>0</v>
      </c>
      <c r="G928" s="21">
        <v>0</v>
      </c>
      <c r="H928" s="21">
        <v>0</v>
      </c>
      <c r="I928" s="21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18"/>
      <c r="Q928" s="82">
        <f t="shared" si="20"/>
        <v>0</v>
      </c>
      <c r="R928" s="14">
        <v>0</v>
      </c>
      <c r="S928" s="15">
        <v>0</v>
      </c>
      <c r="T928" s="16">
        <v>0</v>
      </c>
    </row>
    <row r="929" spans="1:20" ht="16" hidden="1">
      <c r="A929" s="80" t="s">
        <v>442</v>
      </c>
      <c r="B929" s="81" t="s">
        <v>62</v>
      </c>
      <c r="C929" s="18"/>
      <c r="D929" s="21">
        <v>0</v>
      </c>
      <c r="E929" s="21">
        <v>0</v>
      </c>
      <c r="F929" s="21">
        <v>0</v>
      </c>
      <c r="G929" s="21">
        <v>0</v>
      </c>
      <c r="H929" s="21">
        <v>0</v>
      </c>
      <c r="I929" s="21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18"/>
      <c r="Q929" s="82">
        <f t="shared" si="20"/>
        <v>0</v>
      </c>
      <c r="R929" s="14">
        <v>0</v>
      </c>
      <c r="S929" s="15">
        <v>0</v>
      </c>
      <c r="T929" s="16">
        <v>0</v>
      </c>
    </row>
    <row r="930" spans="1:20" ht="16">
      <c r="A930" s="80" t="s">
        <v>443</v>
      </c>
      <c r="B930" s="81" t="s">
        <v>67</v>
      </c>
      <c r="C930" s="18"/>
      <c r="D930" s="21">
        <v>0</v>
      </c>
      <c r="E930" s="21">
        <v>0</v>
      </c>
      <c r="F930" s="21">
        <v>0</v>
      </c>
      <c r="G930" s="21">
        <v>0</v>
      </c>
      <c r="H930" s="21">
        <v>0</v>
      </c>
      <c r="I930" s="21">
        <v>0</v>
      </c>
      <c r="J930" s="3">
        <v>0</v>
      </c>
      <c r="K930" s="3">
        <v>0</v>
      </c>
      <c r="L930" s="3">
        <v>0</v>
      </c>
      <c r="M930" s="3">
        <v>0</v>
      </c>
      <c r="N930" s="3">
        <v>0</v>
      </c>
      <c r="O930" s="3">
        <v>0</v>
      </c>
      <c r="P930" s="18"/>
      <c r="Q930" s="82">
        <f t="shared" si="20"/>
        <v>0</v>
      </c>
      <c r="R930" s="14">
        <v>0</v>
      </c>
      <c r="S930" s="15">
        <v>0</v>
      </c>
      <c r="T930" s="16">
        <v>0</v>
      </c>
    </row>
    <row r="931" spans="1:20" ht="16" hidden="1">
      <c r="A931" s="80" t="s">
        <v>449</v>
      </c>
      <c r="B931" s="81" t="s">
        <v>66</v>
      </c>
      <c r="C931" s="18"/>
      <c r="D931" s="21">
        <v>0</v>
      </c>
      <c r="E931" s="21">
        <v>0</v>
      </c>
      <c r="F931" s="21">
        <v>0</v>
      </c>
      <c r="G931" s="21">
        <v>0</v>
      </c>
      <c r="H931" s="21">
        <v>0</v>
      </c>
      <c r="I931" s="21">
        <v>0</v>
      </c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18"/>
      <c r="Q931" s="82">
        <f t="shared" si="20"/>
        <v>0</v>
      </c>
      <c r="R931" s="14">
        <v>0</v>
      </c>
      <c r="S931" s="15">
        <v>0</v>
      </c>
      <c r="T931" s="16">
        <v>-1.3572745124135509E-8</v>
      </c>
    </row>
    <row r="932" spans="1:20" ht="16" hidden="1">
      <c r="A932" s="80" t="s">
        <v>450</v>
      </c>
      <c r="B932" s="81" t="s">
        <v>78</v>
      </c>
      <c r="C932" s="18"/>
      <c r="D932" s="21">
        <v>0</v>
      </c>
      <c r="E932" s="21">
        <v>0</v>
      </c>
      <c r="F932" s="21">
        <v>0</v>
      </c>
      <c r="G932" s="21">
        <v>0</v>
      </c>
      <c r="H932" s="21">
        <v>0</v>
      </c>
      <c r="I932" s="21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18"/>
      <c r="Q932" s="82">
        <f t="shared" si="20"/>
        <v>0</v>
      </c>
      <c r="R932" s="14">
        <v>0</v>
      </c>
      <c r="S932" s="15">
        <v>0</v>
      </c>
      <c r="T932" s="16">
        <v>5.1334061023069647E-7</v>
      </c>
    </row>
    <row r="933" spans="1:20" ht="16" hidden="1">
      <c r="A933" s="80" t="s">
        <v>451</v>
      </c>
      <c r="B933" s="81" t="s">
        <v>60</v>
      </c>
      <c r="C933" s="18"/>
      <c r="D933" s="21">
        <v>0</v>
      </c>
      <c r="E933" s="21">
        <v>0</v>
      </c>
      <c r="F933" s="21">
        <v>0</v>
      </c>
      <c r="G933" s="21">
        <v>0</v>
      </c>
      <c r="H933" s="21">
        <v>0</v>
      </c>
      <c r="I933" s="21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18"/>
      <c r="Q933" s="82">
        <f t="shared" si="20"/>
        <v>0</v>
      </c>
      <c r="R933" s="14">
        <v>25566.71</v>
      </c>
      <c r="S933" s="15">
        <v>27.706181321658466</v>
      </c>
      <c r="T933" s="16">
        <v>4.2801797171230512E-4</v>
      </c>
    </row>
    <row r="934" spans="1:20" ht="16">
      <c r="A934" s="80" t="s">
        <v>453</v>
      </c>
      <c r="B934" s="81" t="s">
        <v>67</v>
      </c>
      <c r="C934" s="18"/>
      <c r="D934" s="21">
        <v>0</v>
      </c>
      <c r="E934" s="21">
        <v>0</v>
      </c>
      <c r="F934" s="21">
        <v>0</v>
      </c>
      <c r="G934" s="21">
        <v>0</v>
      </c>
      <c r="H934" s="21">
        <v>0</v>
      </c>
      <c r="I934" s="21">
        <v>0</v>
      </c>
      <c r="J934" s="3">
        <v>0</v>
      </c>
      <c r="K934" s="3">
        <v>0</v>
      </c>
      <c r="L934" s="3">
        <v>0</v>
      </c>
      <c r="M934" s="3">
        <v>0</v>
      </c>
      <c r="N934" s="3">
        <v>0</v>
      </c>
      <c r="O934" s="3">
        <v>0</v>
      </c>
      <c r="P934" s="18"/>
      <c r="Q934" s="82">
        <f t="shared" si="20"/>
        <v>0</v>
      </c>
      <c r="R934" s="14">
        <v>0</v>
      </c>
      <c r="S934" s="15">
        <v>0</v>
      </c>
      <c r="T934" s="16">
        <v>0</v>
      </c>
    </row>
    <row r="935" spans="1:20" ht="16" hidden="1">
      <c r="A935" s="80" t="s">
        <v>456</v>
      </c>
      <c r="B935" s="81" t="s">
        <v>62</v>
      </c>
      <c r="C935" s="18"/>
      <c r="D935" s="21">
        <v>0</v>
      </c>
      <c r="E935" s="21">
        <v>0</v>
      </c>
      <c r="F935" s="21">
        <v>0</v>
      </c>
      <c r="G935" s="21">
        <v>0</v>
      </c>
      <c r="H935" s="21">
        <v>0</v>
      </c>
      <c r="I935" s="21">
        <v>0</v>
      </c>
      <c r="J935" s="3">
        <v>0</v>
      </c>
      <c r="K935" s="3">
        <v>0</v>
      </c>
      <c r="L935" s="3">
        <v>0</v>
      </c>
      <c r="M935" s="3">
        <v>0</v>
      </c>
      <c r="N935" s="3">
        <v>0</v>
      </c>
      <c r="O935" s="3">
        <v>0</v>
      </c>
      <c r="P935" s="18"/>
      <c r="Q935" s="82">
        <f t="shared" si="20"/>
        <v>0</v>
      </c>
      <c r="R935" s="14">
        <v>-1.9999999999999976E-2</v>
      </c>
      <c r="S935" s="15">
        <v>-0.16666666666666646</v>
      </c>
      <c r="T935" s="16">
        <v>1.6158029909685133E-9</v>
      </c>
    </row>
    <row r="936" spans="1:20" ht="16">
      <c r="A936" s="80" t="s">
        <v>458</v>
      </c>
      <c r="B936" s="81" t="s">
        <v>67</v>
      </c>
      <c r="C936" s="18"/>
      <c r="D936" s="21">
        <v>0</v>
      </c>
      <c r="E936" s="21">
        <v>0</v>
      </c>
      <c r="F936" s="21">
        <v>0</v>
      </c>
      <c r="G936" s="21">
        <v>0</v>
      </c>
      <c r="H936" s="21">
        <v>0</v>
      </c>
      <c r="I936" s="21">
        <v>0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18"/>
      <c r="Q936" s="82">
        <f t="shared" si="20"/>
        <v>0</v>
      </c>
      <c r="R936" s="14">
        <v>0</v>
      </c>
      <c r="S936" s="15">
        <v>0</v>
      </c>
      <c r="T936" s="16">
        <v>-1.2926423927748103E-9</v>
      </c>
    </row>
    <row r="937" spans="1:20" ht="16" hidden="1">
      <c r="A937" s="80" t="s">
        <v>458</v>
      </c>
      <c r="B937" s="81" t="s">
        <v>62</v>
      </c>
      <c r="C937" s="18"/>
      <c r="D937" s="21">
        <v>0</v>
      </c>
      <c r="E937" s="21">
        <v>0</v>
      </c>
      <c r="F937" s="21">
        <v>0</v>
      </c>
      <c r="G937" s="21">
        <v>0</v>
      </c>
      <c r="H937" s="21">
        <v>0</v>
      </c>
      <c r="I937" s="21">
        <v>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18"/>
      <c r="Q937" s="82">
        <f t="shared" si="20"/>
        <v>0</v>
      </c>
      <c r="R937" s="14">
        <v>0</v>
      </c>
      <c r="S937" s="15">
        <v>0</v>
      </c>
      <c r="T937" s="16">
        <v>-1.6158029909685129E-10</v>
      </c>
    </row>
    <row r="938" spans="1:20" ht="16" hidden="1">
      <c r="A938" s="80" t="s">
        <v>458</v>
      </c>
      <c r="B938" s="81" t="s">
        <v>78</v>
      </c>
      <c r="C938" s="18"/>
      <c r="D938" s="21">
        <v>0</v>
      </c>
      <c r="E938" s="21">
        <v>0</v>
      </c>
      <c r="F938" s="21">
        <v>0</v>
      </c>
      <c r="G938" s="21">
        <v>0</v>
      </c>
      <c r="H938" s="21">
        <v>0</v>
      </c>
      <c r="I938" s="21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18"/>
      <c r="Q938" s="82">
        <f t="shared" si="20"/>
        <v>0</v>
      </c>
      <c r="R938" s="14">
        <v>34839.880000000005</v>
      </c>
      <c r="S938" s="15">
        <v>0.52425894749387114</v>
      </c>
      <c r="T938" s="16">
        <v>1.6367334565923228E-3</v>
      </c>
    </row>
    <row r="939" spans="1:20" ht="16" hidden="1">
      <c r="A939" s="80" t="s">
        <v>460</v>
      </c>
      <c r="B939" s="81" t="s">
        <v>145</v>
      </c>
      <c r="C939" s="18"/>
      <c r="D939" s="21">
        <v>0</v>
      </c>
      <c r="E939" s="21">
        <v>0</v>
      </c>
      <c r="F939" s="21">
        <v>0</v>
      </c>
      <c r="G939" s="21">
        <v>0</v>
      </c>
      <c r="H939" s="21">
        <v>0</v>
      </c>
      <c r="I939" s="21">
        <v>0</v>
      </c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>
        <v>0</v>
      </c>
      <c r="P939" s="18"/>
      <c r="Q939" s="82">
        <f t="shared" si="20"/>
        <v>0</v>
      </c>
      <c r="R939" s="14">
        <v>0</v>
      </c>
      <c r="S939" s="15">
        <v>0</v>
      </c>
      <c r="T939" s="16">
        <v>0</v>
      </c>
    </row>
    <row r="940" spans="1:20" ht="16">
      <c r="A940" s="80" t="s">
        <v>464</v>
      </c>
      <c r="B940" s="81" t="s">
        <v>67</v>
      </c>
      <c r="C940" s="18"/>
      <c r="D940" s="21">
        <v>0</v>
      </c>
      <c r="E940" s="21">
        <v>0</v>
      </c>
      <c r="F940" s="21">
        <v>0</v>
      </c>
      <c r="G940" s="21">
        <v>0</v>
      </c>
      <c r="H940" s="21">
        <v>0</v>
      </c>
      <c r="I940" s="21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18"/>
      <c r="Q940" s="82">
        <f t="shared" si="20"/>
        <v>0</v>
      </c>
      <c r="R940" s="14">
        <v>0</v>
      </c>
      <c r="S940" s="15">
        <v>0</v>
      </c>
      <c r="T940" s="16">
        <v>0</v>
      </c>
    </row>
    <row r="941" spans="1:20" ht="16" hidden="1">
      <c r="A941" s="80" t="s">
        <v>465</v>
      </c>
      <c r="B941" s="81" t="s">
        <v>85</v>
      </c>
      <c r="C941" s="18"/>
      <c r="D941" s="21">
        <v>0</v>
      </c>
      <c r="E941" s="21">
        <v>0</v>
      </c>
      <c r="F941" s="21">
        <v>0</v>
      </c>
      <c r="G941" s="21">
        <v>0</v>
      </c>
      <c r="H941" s="21">
        <v>0</v>
      </c>
      <c r="I941" s="21">
        <v>0</v>
      </c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>
        <v>0</v>
      </c>
      <c r="P941" s="18"/>
      <c r="Q941" s="82">
        <f t="shared" si="20"/>
        <v>0</v>
      </c>
      <c r="R941" s="14">
        <v>0</v>
      </c>
      <c r="S941" s="15">
        <v>0</v>
      </c>
      <c r="T941" s="16">
        <v>0</v>
      </c>
    </row>
    <row r="942" spans="1:20" ht="16" hidden="1">
      <c r="A942" s="80" t="s">
        <v>467</v>
      </c>
      <c r="B942" s="81" t="s">
        <v>85</v>
      </c>
      <c r="C942" s="18"/>
      <c r="D942" s="21">
        <v>0</v>
      </c>
      <c r="E942" s="21">
        <v>72951.06</v>
      </c>
      <c r="F942" s="21">
        <v>0</v>
      </c>
      <c r="G942" s="21">
        <v>0</v>
      </c>
      <c r="H942" s="21">
        <v>0</v>
      </c>
      <c r="I942" s="21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18"/>
      <c r="Q942" s="82">
        <f t="shared" si="20"/>
        <v>0</v>
      </c>
      <c r="R942" s="14">
        <v>0</v>
      </c>
      <c r="S942" s="15">
        <v>0</v>
      </c>
      <c r="T942" s="16">
        <v>0</v>
      </c>
    </row>
    <row r="943" spans="1:20" ht="16" hidden="1">
      <c r="A943" s="80" t="s">
        <v>468</v>
      </c>
      <c r="B943" s="81" t="s">
        <v>85</v>
      </c>
      <c r="C943" s="18"/>
      <c r="D943" s="21">
        <v>0</v>
      </c>
      <c r="E943" s="21">
        <v>0</v>
      </c>
      <c r="F943" s="21">
        <v>0</v>
      </c>
      <c r="G943" s="21">
        <v>0</v>
      </c>
      <c r="H943" s="21">
        <v>0</v>
      </c>
      <c r="I943" s="21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18"/>
      <c r="Q943" s="82">
        <f t="shared" si="20"/>
        <v>0</v>
      </c>
      <c r="R943" s="14">
        <v>0</v>
      </c>
      <c r="S943" s="15">
        <v>0</v>
      </c>
      <c r="T943" s="16">
        <v>-9.0484967494236716E-9</v>
      </c>
    </row>
    <row r="944" spans="1:20" ht="16" hidden="1">
      <c r="A944" s="80" t="s">
        <v>471</v>
      </c>
      <c r="B944" s="81" t="s">
        <v>66</v>
      </c>
      <c r="C944" s="18"/>
      <c r="D944" s="21">
        <v>0</v>
      </c>
      <c r="E944" s="21">
        <v>0</v>
      </c>
      <c r="F944" s="21">
        <v>0</v>
      </c>
      <c r="G944" s="21">
        <v>0</v>
      </c>
      <c r="H944" s="21">
        <v>0</v>
      </c>
      <c r="I944" s="21">
        <v>0</v>
      </c>
      <c r="J944" s="3">
        <v>0</v>
      </c>
      <c r="K944" s="3">
        <v>0</v>
      </c>
      <c r="L944" s="3">
        <v>0</v>
      </c>
      <c r="M944" s="3">
        <v>0</v>
      </c>
      <c r="N944" s="3">
        <v>0</v>
      </c>
      <c r="O944" s="3">
        <v>0</v>
      </c>
      <c r="P944" s="18"/>
      <c r="Q944" s="82">
        <f t="shared" si="20"/>
        <v>0</v>
      </c>
      <c r="R944" s="14">
        <v>0</v>
      </c>
      <c r="S944" s="15">
        <v>0</v>
      </c>
      <c r="T944" s="16">
        <v>3.2316059819370259E-10</v>
      </c>
    </row>
    <row r="945" spans="1:20" ht="16" hidden="1">
      <c r="A945" s="80" t="s">
        <v>472</v>
      </c>
      <c r="B945" s="81" t="s">
        <v>66</v>
      </c>
      <c r="C945" s="18"/>
      <c r="D945" s="21">
        <v>0</v>
      </c>
      <c r="E945" s="21">
        <v>0</v>
      </c>
      <c r="F945" s="21">
        <v>0</v>
      </c>
      <c r="G945" s="21">
        <v>0</v>
      </c>
      <c r="H945" s="21">
        <v>0</v>
      </c>
      <c r="I945" s="21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18"/>
      <c r="Q945" s="82">
        <f t="shared" si="20"/>
        <v>0</v>
      </c>
      <c r="R945" s="14">
        <v>0</v>
      </c>
      <c r="S945" s="15">
        <v>0</v>
      </c>
      <c r="T945" s="16">
        <v>0</v>
      </c>
    </row>
    <row r="946" spans="1:20" ht="16" hidden="1">
      <c r="A946" s="80" t="s">
        <v>475</v>
      </c>
      <c r="B946" s="81" t="s">
        <v>78</v>
      </c>
      <c r="C946" s="18"/>
      <c r="D946" s="21">
        <v>8467.0600000000013</v>
      </c>
      <c r="E946" s="21">
        <v>9821.7900000000009</v>
      </c>
      <c r="F946" s="21">
        <v>9821.7900000000009</v>
      </c>
      <c r="G946" s="21">
        <v>9821.7900000000009</v>
      </c>
      <c r="H946" s="21">
        <v>0</v>
      </c>
      <c r="I946" s="21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18"/>
      <c r="Q946" s="82">
        <f t="shared" si="20"/>
        <v>0</v>
      </c>
      <c r="R946" s="14">
        <v>0</v>
      </c>
      <c r="S946" s="15">
        <v>0</v>
      </c>
      <c r="T946" s="16">
        <v>0</v>
      </c>
    </row>
    <row r="947" spans="1:20" ht="16" hidden="1">
      <c r="A947" s="80" t="s">
        <v>476</v>
      </c>
      <c r="B947" s="81" t="s">
        <v>66</v>
      </c>
      <c r="C947" s="18"/>
      <c r="D947" s="21">
        <v>0</v>
      </c>
      <c r="E947" s="21">
        <v>0</v>
      </c>
      <c r="F947" s="21">
        <v>0</v>
      </c>
      <c r="G947" s="21">
        <v>0</v>
      </c>
      <c r="H947" s="21">
        <v>0</v>
      </c>
      <c r="I947" s="21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18"/>
      <c r="Q947" s="82">
        <f t="shared" si="20"/>
        <v>0</v>
      </c>
      <c r="R947" s="14">
        <v>0</v>
      </c>
      <c r="S947" s="15">
        <v>0</v>
      </c>
      <c r="T947" s="16">
        <v>0</v>
      </c>
    </row>
    <row r="948" spans="1:20" ht="16" hidden="1">
      <c r="A948" s="80" t="s">
        <v>478</v>
      </c>
      <c r="B948" s="81" t="s">
        <v>78</v>
      </c>
      <c r="C948" s="18"/>
      <c r="D948" s="21">
        <v>0</v>
      </c>
      <c r="E948" s="21">
        <v>0</v>
      </c>
      <c r="F948" s="21">
        <v>8620.69</v>
      </c>
      <c r="G948" s="21">
        <v>17241.38</v>
      </c>
      <c r="H948" s="21">
        <v>0</v>
      </c>
      <c r="I948" s="21">
        <v>0</v>
      </c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18"/>
      <c r="Q948" s="82">
        <f t="shared" si="20"/>
        <v>0</v>
      </c>
      <c r="R948" s="14">
        <v>0</v>
      </c>
      <c r="S948" s="15">
        <v>0</v>
      </c>
      <c r="T948" s="16">
        <v>0</v>
      </c>
    </row>
    <row r="949" spans="1:20" ht="16" hidden="1">
      <c r="A949" s="80" t="s">
        <v>479</v>
      </c>
      <c r="B949" s="81" t="s">
        <v>66</v>
      </c>
      <c r="C949" s="18"/>
      <c r="D949" s="21">
        <v>0</v>
      </c>
      <c r="E949" s="21">
        <v>0</v>
      </c>
      <c r="F949" s="21">
        <v>0</v>
      </c>
      <c r="G949" s="21">
        <v>0</v>
      </c>
      <c r="H949" s="21">
        <v>0</v>
      </c>
      <c r="I949" s="21">
        <v>0</v>
      </c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>
        <v>0</v>
      </c>
      <c r="P949" s="18"/>
      <c r="Q949" s="82">
        <f t="shared" si="20"/>
        <v>0</v>
      </c>
      <c r="R949" s="14">
        <v>0</v>
      </c>
      <c r="S949" s="15">
        <v>0</v>
      </c>
      <c r="T949" s="16">
        <v>0</v>
      </c>
    </row>
    <row r="950" spans="1:20" ht="16" hidden="1">
      <c r="A950" s="80" t="s">
        <v>479</v>
      </c>
      <c r="B950" s="81" t="s">
        <v>62</v>
      </c>
      <c r="C950" s="18"/>
      <c r="D950" s="21">
        <v>0</v>
      </c>
      <c r="E950" s="21">
        <v>0</v>
      </c>
      <c r="F950" s="21">
        <v>0</v>
      </c>
      <c r="G950" s="21">
        <v>0</v>
      </c>
      <c r="H950" s="21">
        <v>0</v>
      </c>
      <c r="I950" s="21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18"/>
      <c r="Q950" s="82">
        <f t="shared" si="20"/>
        <v>0</v>
      </c>
      <c r="R950" s="14">
        <v>0</v>
      </c>
      <c r="S950" s="15">
        <v>0</v>
      </c>
      <c r="T950" s="16">
        <v>1.5818711281581742E-7</v>
      </c>
    </row>
    <row r="951" spans="1:20" ht="16" hidden="1">
      <c r="A951" s="80" t="s">
        <v>480</v>
      </c>
      <c r="B951" s="81" t="s">
        <v>78</v>
      </c>
      <c r="C951" s="18"/>
      <c r="D951" s="21">
        <v>0</v>
      </c>
      <c r="E951" s="21">
        <v>0</v>
      </c>
      <c r="F951" s="21">
        <v>0</v>
      </c>
      <c r="G951" s="21">
        <v>0</v>
      </c>
      <c r="H951" s="21">
        <v>0</v>
      </c>
      <c r="I951" s="21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18"/>
      <c r="Q951" s="82">
        <f t="shared" si="20"/>
        <v>0</v>
      </c>
      <c r="R951" s="14">
        <v>0</v>
      </c>
      <c r="S951" s="15">
        <v>0</v>
      </c>
      <c r="T951" s="16">
        <v>3.1976741191266878E-7</v>
      </c>
    </row>
    <row r="952" spans="1:20" ht="16" hidden="1">
      <c r="A952" s="80" t="s">
        <v>481</v>
      </c>
      <c r="B952" s="81" t="s">
        <v>62</v>
      </c>
      <c r="C952" s="18"/>
      <c r="D952" s="21">
        <v>0</v>
      </c>
      <c r="E952" s="21">
        <v>0</v>
      </c>
      <c r="F952" s="21">
        <v>0</v>
      </c>
      <c r="G952" s="21">
        <v>0</v>
      </c>
      <c r="H952" s="21">
        <v>0</v>
      </c>
      <c r="I952" s="21">
        <v>0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18"/>
      <c r="Q952" s="82">
        <f t="shared" si="20"/>
        <v>0</v>
      </c>
      <c r="R952" s="14">
        <v>-62075.5</v>
      </c>
      <c r="S952" s="15">
        <v>-0.9408514959531965</v>
      </c>
      <c r="T952" s="16">
        <v>6.3056711722546215E-5</v>
      </c>
    </row>
    <row r="953" spans="1:20" ht="16" hidden="1">
      <c r="A953" s="80" t="s">
        <v>486</v>
      </c>
      <c r="B953" s="81" t="s">
        <v>78</v>
      </c>
      <c r="C953" s="18"/>
      <c r="D953" s="21">
        <v>0</v>
      </c>
      <c r="E953" s="21">
        <v>0</v>
      </c>
      <c r="F953" s="21">
        <v>0</v>
      </c>
      <c r="G953" s="21">
        <v>0</v>
      </c>
      <c r="H953" s="21">
        <v>0</v>
      </c>
      <c r="I953" s="21">
        <v>0</v>
      </c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>
        <v>0</v>
      </c>
      <c r="P953" s="18"/>
      <c r="Q953" s="82">
        <f t="shared" si="20"/>
        <v>0</v>
      </c>
      <c r="R953" s="14">
        <v>0</v>
      </c>
      <c r="S953" s="15">
        <v>0</v>
      </c>
      <c r="T953" s="16">
        <v>9.6948179458110858E-10</v>
      </c>
    </row>
    <row r="954" spans="1:20" ht="16" hidden="1">
      <c r="A954" s="80" t="s">
        <v>490</v>
      </c>
      <c r="B954" s="81" t="s">
        <v>62</v>
      </c>
      <c r="C954" s="18"/>
      <c r="D954" s="21">
        <v>0</v>
      </c>
      <c r="E954" s="21">
        <v>0</v>
      </c>
      <c r="F954" s="21">
        <v>0</v>
      </c>
      <c r="G954" s="21">
        <v>0</v>
      </c>
      <c r="H954" s="21">
        <v>0</v>
      </c>
      <c r="I954" s="21">
        <v>0</v>
      </c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>
        <v>0</v>
      </c>
      <c r="P954" s="18"/>
      <c r="Q954" s="82">
        <f t="shared" si="20"/>
        <v>0</v>
      </c>
      <c r="R954" s="14">
        <v>0</v>
      </c>
      <c r="S954" s="15">
        <v>0</v>
      </c>
      <c r="T954" s="16">
        <v>6.9479528611646067E-9</v>
      </c>
    </row>
    <row r="955" spans="1:20" ht="16" hidden="1">
      <c r="A955" s="80" t="s">
        <v>491</v>
      </c>
      <c r="B955" s="81" t="s">
        <v>85</v>
      </c>
      <c r="C955" s="18"/>
      <c r="D955" s="21">
        <v>-42000</v>
      </c>
      <c r="E955" s="21">
        <v>-42000</v>
      </c>
      <c r="F955" s="21">
        <v>0</v>
      </c>
      <c r="G955" s="21">
        <v>0</v>
      </c>
      <c r="H955" s="21">
        <v>0</v>
      </c>
      <c r="I955" s="21">
        <v>0</v>
      </c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>
        <v>0</v>
      </c>
      <c r="P955" s="18"/>
      <c r="Q955" s="82">
        <f t="shared" si="20"/>
        <v>0</v>
      </c>
      <c r="R955" s="14">
        <v>1.0000000000000002E-2</v>
      </c>
      <c r="S955" s="15">
        <v>0.20000000000000004</v>
      </c>
      <c r="T955" s="16">
        <v>9.6948179458110796E-10</v>
      </c>
    </row>
    <row r="956" spans="1:20" ht="16" hidden="1">
      <c r="A956" s="80" t="s">
        <v>499</v>
      </c>
      <c r="B956" s="81" t="s">
        <v>85</v>
      </c>
      <c r="C956" s="18"/>
      <c r="D956" s="21">
        <v>0</v>
      </c>
      <c r="E956" s="21">
        <v>0</v>
      </c>
      <c r="F956" s="21">
        <v>0</v>
      </c>
      <c r="G956" s="21">
        <v>0</v>
      </c>
      <c r="H956" s="21">
        <v>0</v>
      </c>
      <c r="I956" s="21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18"/>
      <c r="Q956" s="82">
        <f t="shared" si="20"/>
        <v>0</v>
      </c>
      <c r="R956" s="14">
        <v>0</v>
      </c>
      <c r="S956" s="15">
        <v>0</v>
      </c>
      <c r="T956" s="16">
        <v>3.2316059819370259E-10</v>
      </c>
    </row>
    <row r="957" spans="1:20" ht="16" hidden="1">
      <c r="A957" s="80" t="s">
        <v>500</v>
      </c>
      <c r="B957" s="81" t="s">
        <v>62</v>
      </c>
      <c r="C957" s="18"/>
      <c r="D957" s="21">
        <v>0</v>
      </c>
      <c r="E957" s="21">
        <v>0</v>
      </c>
      <c r="F957" s="21">
        <v>0</v>
      </c>
      <c r="G957" s="21">
        <v>0</v>
      </c>
      <c r="H957" s="21">
        <v>0</v>
      </c>
      <c r="I957" s="21">
        <v>0</v>
      </c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>
        <v>0</v>
      </c>
      <c r="P957" s="18"/>
      <c r="Q957" s="82">
        <f t="shared" si="20"/>
        <v>0</v>
      </c>
      <c r="R957" s="14">
        <v>0</v>
      </c>
      <c r="S957" s="15">
        <v>0</v>
      </c>
      <c r="T957" s="16">
        <v>0</v>
      </c>
    </row>
    <row r="958" spans="1:20" ht="16" hidden="1">
      <c r="A958" s="80" t="s">
        <v>502</v>
      </c>
      <c r="B958" s="81" t="s">
        <v>85</v>
      </c>
      <c r="C958" s="18"/>
      <c r="D958" s="21">
        <v>0</v>
      </c>
      <c r="E958" s="21">
        <v>0</v>
      </c>
      <c r="F958" s="21">
        <v>0</v>
      </c>
      <c r="G958" s="21">
        <v>0</v>
      </c>
      <c r="H958" s="21">
        <v>0</v>
      </c>
      <c r="I958" s="21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18"/>
      <c r="Q958" s="82">
        <f t="shared" si="20"/>
        <v>0</v>
      </c>
      <c r="R958" s="14">
        <v>0</v>
      </c>
      <c r="S958" s="15">
        <v>0</v>
      </c>
      <c r="T958" s="16">
        <v>4.8474089729055388E-10</v>
      </c>
    </row>
    <row r="959" spans="1:20" ht="16" hidden="1">
      <c r="A959" s="80" t="s">
        <v>504</v>
      </c>
      <c r="B959" s="81" t="s">
        <v>78</v>
      </c>
      <c r="C959" s="18"/>
      <c r="D959" s="21">
        <v>0</v>
      </c>
      <c r="E959" s="21">
        <v>0</v>
      </c>
      <c r="F959" s="21">
        <v>0</v>
      </c>
      <c r="G959" s="21">
        <v>0</v>
      </c>
      <c r="H959" s="21">
        <v>0</v>
      </c>
      <c r="I959" s="21">
        <v>0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18"/>
      <c r="Q959" s="82">
        <f t="shared" si="20"/>
        <v>0</v>
      </c>
      <c r="R959" s="14">
        <v>-9778.4800000000032</v>
      </c>
      <c r="S959" s="15">
        <v>-0.14285726808017032</v>
      </c>
      <c r="T959" s="16">
        <v>9.4800486438575255E-4</v>
      </c>
    </row>
    <row r="960" spans="1:20" ht="16" hidden="1">
      <c r="A960" s="80" t="s">
        <v>511</v>
      </c>
      <c r="B960" s="81" t="s">
        <v>78</v>
      </c>
      <c r="C960" s="18"/>
      <c r="D960" s="21">
        <v>0</v>
      </c>
      <c r="E960" s="21">
        <v>0</v>
      </c>
      <c r="F960" s="21">
        <v>0</v>
      </c>
      <c r="G960" s="21">
        <v>0</v>
      </c>
      <c r="H960" s="21">
        <v>0</v>
      </c>
      <c r="I960" s="21">
        <v>0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>
        <v>0</v>
      </c>
      <c r="P960" s="18"/>
      <c r="Q960" s="82">
        <f t="shared" si="20"/>
        <v>0</v>
      </c>
      <c r="R960" s="14">
        <v>0</v>
      </c>
      <c r="S960" s="15">
        <v>0</v>
      </c>
      <c r="T960" s="16">
        <v>3.0479877458463548E-4</v>
      </c>
    </row>
    <row r="961" spans="1:20" ht="16">
      <c r="A961" s="80" t="s">
        <v>512</v>
      </c>
      <c r="B961" s="81" t="s">
        <v>67</v>
      </c>
      <c r="C961" s="18"/>
      <c r="D961" s="21">
        <v>0</v>
      </c>
      <c r="E961" s="21">
        <v>0</v>
      </c>
      <c r="F961" s="21">
        <v>0</v>
      </c>
      <c r="G961" s="21">
        <v>0</v>
      </c>
      <c r="H961" s="21">
        <v>0</v>
      </c>
      <c r="I961" s="21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18"/>
      <c r="Q961" s="82">
        <f t="shared" si="20"/>
        <v>0</v>
      </c>
      <c r="R961" s="14">
        <v>0</v>
      </c>
      <c r="S961" s="15">
        <v>0</v>
      </c>
      <c r="T961" s="16">
        <v>3.2949131431231721E-5</v>
      </c>
    </row>
    <row r="962" spans="1:20" ht="16">
      <c r="A962" s="80" t="s">
        <v>513</v>
      </c>
      <c r="B962" s="81" t="s">
        <v>67</v>
      </c>
      <c r="C962" s="18"/>
      <c r="D962" s="21">
        <v>0</v>
      </c>
      <c r="E962" s="21">
        <v>0</v>
      </c>
      <c r="F962" s="21">
        <v>0</v>
      </c>
      <c r="G962" s="21">
        <v>0</v>
      </c>
      <c r="H962" s="21">
        <v>0</v>
      </c>
      <c r="I962" s="21">
        <v>0</v>
      </c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>
        <v>0</v>
      </c>
      <c r="P962" s="18"/>
      <c r="Q962" s="82">
        <f t="shared" si="20"/>
        <v>0</v>
      </c>
      <c r="R962" s="14">
        <v>0</v>
      </c>
      <c r="S962" s="15">
        <v>0</v>
      </c>
      <c r="T962" s="16">
        <v>-1.1310620936779591E-8</v>
      </c>
    </row>
    <row r="963" spans="1:20" ht="16">
      <c r="A963" s="80" t="s">
        <v>514</v>
      </c>
      <c r="B963" s="81" t="s">
        <v>67</v>
      </c>
      <c r="C963" s="18"/>
      <c r="D963" s="21">
        <v>0</v>
      </c>
      <c r="E963" s="21">
        <v>0</v>
      </c>
      <c r="F963" s="21">
        <v>0</v>
      </c>
      <c r="G963" s="21">
        <v>0</v>
      </c>
      <c r="H963" s="21">
        <v>0</v>
      </c>
      <c r="I963" s="21">
        <v>0</v>
      </c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>
        <v>0</v>
      </c>
      <c r="P963" s="18"/>
      <c r="Q963" s="82">
        <f t="shared" si="20"/>
        <v>0</v>
      </c>
      <c r="R963" s="14">
        <v>9.9999999999999881E-3</v>
      </c>
      <c r="S963" s="15">
        <v>0.19999999999999959</v>
      </c>
      <c r="T963" s="16">
        <v>9.6948179458110838E-10</v>
      </c>
    </row>
    <row r="964" spans="1:20" ht="16" hidden="1">
      <c r="A964" s="80" t="s">
        <v>514</v>
      </c>
      <c r="B964" s="81" t="s">
        <v>62</v>
      </c>
      <c r="C964" s="18"/>
      <c r="D964" s="21">
        <v>0</v>
      </c>
      <c r="E964" s="21">
        <v>0</v>
      </c>
      <c r="F964" s="21">
        <v>0</v>
      </c>
      <c r="G964" s="21">
        <v>0</v>
      </c>
      <c r="H964" s="21">
        <v>0</v>
      </c>
      <c r="I964" s="21">
        <v>0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18"/>
      <c r="Q964" s="82">
        <f t="shared" si="20"/>
        <v>0</v>
      </c>
      <c r="R964" s="14">
        <v>0</v>
      </c>
      <c r="S964" s="15">
        <v>0</v>
      </c>
      <c r="T964" s="16">
        <v>0</v>
      </c>
    </row>
    <row r="965" spans="1:20" ht="16" hidden="1">
      <c r="A965" s="80" t="s">
        <v>514</v>
      </c>
      <c r="B965" s="81" t="s">
        <v>85</v>
      </c>
      <c r="C965" s="18"/>
      <c r="D965" s="21">
        <v>0</v>
      </c>
      <c r="E965" s="21">
        <v>0</v>
      </c>
      <c r="F965" s="21">
        <v>0</v>
      </c>
      <c r="G965" s="21">
        <v>0</v>
      </c>
      <c r="H965" s="21">
        <v>0</v>
      </c>
      <c r="I965" s="21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18"/>
      <c r="Q965" s="82">
        <f t="shared" si="20"/>
        <v>0</v>
      </c>
      <c r="R965" s="14">
        <v>0</v>
      </c>
      <c r="S965" s="15">
        <v>0</v>
      </c>
      <c r="T965" s="16">
        <v>0</v>
      </c>
    </row>
    <row r="966" spans="1:20" ht="16" hidden="1">
      <c r="A966" s="80" t="s">
        <v>516</v>
      </c>
      <c r="B966" s="81" t="s">
        <v>78</v>
      </c>
      <c r="C966" s="18"/>
      <c r="D966" s="21">
        <v>0</v>
      </c>
      <c r="E966" s="21">
        <v>0</v>
      </c>
      <c r="F966" s="21">
        <v>0</v>
      </c>
      <c r="G966" s="21">
        <v>0</v>
      </c>
      <c r="H966" s="21">
        <v>0</v>
      </c>
      <c r="I966" s="21">
        <v>0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</v>
      </c>
      <c r="P966" s="18"/>
      <c r="Q966" s="82">
        <f t="shared" si="20"/>
        <v>0</v>
      </c>
      <c r="R966" s="14">
        <v>543026.68000000005</v>
      </c>
      <c r="S966" s="15">
        <v>0</v>
      </c>
      <c r="T966" s="16">
        <v>8.7742413371970172E-3</v>
      </c>
    </row>
    <row r="967" spans="1:20" ht="16" hidden="1">
      <c r="A967" s="80" t="s">
        <v>519</v>
      </c>
      <c r="B967" s="81" t="s">
        <v>60</v>
      </c>
      <c r="C967" s="18"/>
      <c r="D967" s="21">
        <v>0</v>
      </c>
      <c r="E967" s="21">
        <v>0</v>
      </c>
      <c r="F967" s="21">
        <v>0</v>
      </c>
      <c r="G967" s="21">
        <v>0</v>
      </c>
      <c r="H967" s="21">
        <v>0</v>
      </c>
      <c r="I967" s="21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18"/>
      <c r="Q967" s="82">
        <f t="shared" si="20"/>
        <v>0</v>
      </c>
      <c r="R967" s="14">
        <v>-23200</v>
      </c>
      <c r="S967" s="15">
        <v>-1</v>
      </c>
      <c r="T967" s="16">
        <v>0</v>
      </c>
    </row>
    <row r="968" spans="1:20" ht="16">
      <c r="A968" s="80" t="s">
        <v>520</v>
      </c>
      <c r="B968" s="81" t="s">
        <v>67</v>
      </c>
      <c r="C968" s="18"/>
      <c r="D968" s="21">
        <v>0</v>
      </c>
      <c r="E968" s="21">
        <v>0</v>
      </c>
      <c r="F968" s="21">
        <v>0</v>
      </c>
      <c r="G968" s="21">
        <v>0</v>
      </c>
      <c r="H968" s="21">
        <v>0</v>
      </c>
      <c r="I968" s="21">
        <v>0</v>
      </c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>
        <v>0</v>
      </c>
      <c r="P968" s="18"/>
      <c r="Q968" s="82">
        <f t="shared" si="20"/>
        <v>0</v>
      </c>
      <c r="R968" s="14">
        <v>0</v>
      </c>
      <c r="S968" s="15">
        <v>0</v>
      </c>
      <c r="T968" s="16">
        <v>0</v>
      </c>
    </row>
    <row r="969" spans="1:20" ht="16" hidden="1">
      <c r="A969" s="80" t="s">
        <v>526</v>
      </c>
      <c r="B969" s="81" t="s">
        <v>85</v>
      </c>
      <c r="C969" s="18"/>
      <c r="D969" s="21">
        <v>0</v>
      </c>
      <c r="E969" s="21">
        <v>0</v>
      </c>
      <c r="F969" s="21">
        <v>0</v>
      </c>
      <c r="G969" s="21">
        <v>0</v>
      </c>
      <c r="H969" s="21">
        <v>0</v>
      </c>
      <c r="I969" s="21">
        <v>0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0</v>
      </c>
      <c r="P969" s="18"/>
      <c r="Q969" s="82">
        <f t="shared" si="20"/>
        <v>0</v>
      </c>
      <c r="R969" s="14">
        <v>0</v>
      </c>
      <c r="S969" s="15">
        <v>0</v>
      </c>
      <c r="T969" s="16">
        <v>2.1005438882590669E-9</v>
      </c>
    </row>
    <row r="970" spans="1:20" ht="16">
      <c r="A970" s="80" t="s">
        <v>530</v>
      </c>
      <c r="B970" s="81" t="s">
        <v>67</v>
      </c>
      <c r="C970" s="18"/>
      <c r="D970" s="21">
        <v>0</v>
      </c>
      <c r="E970" s="21">
        <v>0</v>
      </c>
      <c r="F970" s="21">
        <v>0</v>
      </c>
      <c r="G970" s="21">
        <v>0</v>
      </c>
      <c r="H970" s="21">
        <v>0</v>
      </c>
      <c r="I970" s="21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18"/>
      <c r="Q970" s="82">
        <f t="shared" si="20"/>
        <v>0</v>
      </c>
      <c r="R970" s="14">
        <v>3.4694469519536142E-17</v>
      </c>
      <c r="S970" s="15">
        <v>-3.4694469519536106E-15</v>
      </c>
      <c r="T970" s="16">
        <v>-1.615802990968509E-10</v>
      </c>
    </row>
    <row r="971" spans="1:20" ht="16" hidden="1">
      <c r="A971" s="80" t="s">
        <v>530</v>
      </c>
      <c r="B971" s="81" t="s">
        <v>62</v>
      </c>
      <c r="C971" s="18"/>
      <c r="D971" s="21">
        <v>0</v>
      </c>
      <c r="E971" s="21">
        <v>0</v>
      </c>
      <c r="F971" s="21">
        <v>0</v>
      </c>
      <c r="G971" s="21">
        <v>0</v>
      </c>
      <c r="H971" s="21">
        <v>0</v>
      </c>
      <c r="I971" s="21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18"/>
      <c r="Q971" s="82">
        <f t="shared" si="20"/>
        <v>0</v>
      </c>
      <c r="R971" s="14">
        <v>0</v>
      </c>
      <c r="S971" s="15">
        <v>0</v>
      </c>
      <c r="T971" s="16">
        <v>0</v>
      </c>
    </row>
    <row r="972" spans="1:20" ht="16" hidden="1">
      <c r="A972" s="80" t="s">
        <v>531</v>
      </c>
      <c r="B972" s="81" t="s">
        <v>78</v>
      </c>
      <c r="C972" s="18"/>
      <c r="D972" s="21">
        <v>0</v>
      </c>
      <c r="E972" s="21">
        <v>0</v>
      </c>
      <c r="F972" s="21">
        <v>0</v>
      </c>
      <c r="G972" s="21">
        <v>0</v>
      </c>
      <c r="H972" s="21">
        <v>0</v>
      </c>
      <c r="I972" s="21">
        <v>0</v>
      </c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>
        <v>0</v>
      </c>
      <c r="P972" s="18"/>
      <c r="Q972" s="82">
        <f t="shared" si="20"/>
        <v>0</v>
      </c>
      <c r="R972" s="14">
        <v>45113.920000000006</v>
      </c>
      <c r="S972" s="15">
        <v>0.70800251098556188</v>
      </c>
      <c r="T972" s="16">
        <v>1.7585417345482789E-3</v>
      </c>
    </row>
    <row r="973" spans="1:20" ht="16" hidden="1">
      <c r="A973" s="80" t="s">
        <v>532</v>
      </c>
      <c r="B973" s="81" t="s">
        <v>62</v>
      </c>
      <c r="C973" s="18"/>
      <c r="D973" s="21">
        <v>0</v>
      </c>
      <c r="E973" s="21">
        <v>0</v>
      </c>
      <c r="F973" s="21">
        <v>0</v>
      </c>
      <c r="G973" s="21">
        <v>0</v>
      </c>
      <c r="H973" s="21">
        <v>0</v>
      </c>
      <c r="I973" s="21">
        <v>0</v>
      </c>
      <c r="J973" s="3">
        <v>0</v>
      </c>
      <c r="K973" s="3">
        <v>0</v>
      </c>
      <c r="L973" s="3">
        <v>0</v>
      </c>
      <c r="M973" s="3">
        <v>0</v>
      </c>
      <c r="N973" s="3">
        <v>0</v>
      </c>
      <c r="O973" s="3">
        <v>0</v>
      </c>
      <c r="P973" s="18"/>
      <c r="Q973" s="82">
        <f t="shared" si="20"/>
        <v>0</v>
      </c>
      <c r="R973" s="14">
        <v>-0.29000000000000092</v>
      </c>
      <c r="S973" s="15">
        <v>-3.8821954484605209E-2</v>
      </c>
      <c r="T973" s="16">
        <v>1.1601465475153923E-7</v>
      </c>
    </row>
    <row r="974" spans="1:20" ht="16" hidden="1">
      <c r="A974" s="80" t="s">
        <v>533</v>
      </c>
      <c r="B974" s="81" t="s">
        <v>66</v>
      </c>
      <c r="C974" s="18"/>
      <c r="D974" s="21">
        <v>0</v>
      </c>
      <c r="E974" s="21">
        <v>0</v>
      </c>
      <c r="F974" s="21">
        <v>0</v>
      </c>
      <c r="G974" s="21">
        <v>0</v>
      </c>
      <c r="H974" s="21">
        <v>0</v>
      </c>
      <c r="I974" s="21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18"/>
      <c r="Q974" s="82">
        <f t="shared" si="20"/>
        <v>0</v>
      </c>
      <c r="R974" s="14">
        <v>0</v>
      </c>
      <c r="S974" s="15">
        <v>0</v>
      </c>
      <c r="T974" s="16">
        <v>0</v>
      </c>
    </row>
    <row r="975" spans="1:20" ht="16" hidden="1">
      <c r="A975" s="80" t="s">
        <v>534</v>
      </c>
      <c r="B975" s="81" t="s">
        <v>62</v>
      </c>
      <c r="C975" s="18"/>
      <c r="D975" s="21">
        <v>0</v>
      </c>
      <c r="E975" s="21">
        <v>0</v>
      </c>
      <c r="F975" s="21">
        <v>0</v>
      </c>
      <c r="G975" s="21">
        <v>0</v>
      </c>
      <c r="H975" s="21">
        <v>0</v>
      </c>
      <c r="I975" s="21">
        <v>0</v>
      </c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>
        <v>0</v>
      </c>
      <c r="P975" s="18"/>
      <c r="Q975" s="82">
        <f t="shared" ref="Q975:Q1038" si="21">IFERROR(I975/$I$4," ")</f>
        <v>0</v>
      </c>
      <c r="R975" s="14">
        <v>0</v>
      </c>
      <c r="S975" s="15">
        <v>0</v>
      </c>
      <c r="T975" s="16">
        <v>0</v>
      </c>
    </row>
    <row r="976" spans="1:20" ht="16" hidden="1">
      <c r="A976" s="80" t="s">
        <v>535</v>
      </c>
      <c r="B976" s="81" t="s">
        <v>85</v>
      </c>
      <c r="C976" s="18"/>
      <c r="D976" s="21">
        <v>9002.8799999999992</v>
      </c>
      <c r="E976" s="21">
        <v>1333.7599999999984</v>
      </c>
      <c r="F976" s="21">
        <v>11003.519999999997</v>
      </c>
      <c r="G976" s="21">
        <v>0</v>
      </c>
      <c r="H976" s="21">
        <v>0</v>
      </c>
      <c r="I976" s="21">
        <v>0</v>
      </c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>
        <v>0</v>
      </c>
      <c r="P976" s="18"/>
      <c r="Q976" s="82">
        <f t="shared" si="21"/>
        <v>0</v>
      </c>
      <c r="R976" s="14">
        <v>0</v>
      </c>
      <c r="S976" s="15">
        <v>0</v>
      </c>
      <c r="T976" s="16">
        <v>0</v>
      </c>
    </row>
    <row r="977" spans="1:20" ht="16" hidden="1">
      <c r="A977" s="80" t="s">
        <v>536</v>
      </c>
      <c r="B977" s="81" t="s">
        <v>62</v>
      </c>
      <c r="C977" s="18"/>
      <c r="D977" s="21">
        <v>0</v>
      </c>
      <c r="E977" s="21">
        <v>0</v>
      </c>
      <c r="F977" s="21">
        <v>0</v>
      </c>
      <c r="G977" s="21">
        <v>0</v>
      </c>
      <c r="H977" s="21">
        <v>0</v>
      </c>
      <c r="I977" s="21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18"/>
      <c r="Q977" s="82">
        <f t="shared" si="21"/>
        <v>0</v>
      </c>
      <c r="R977" s="14">
        <v>0</v>
      </c>
      <c r="S977" s="15">
        <v>0</v>
      </c>
      <c r="T977" s="16">
        <v>1.1637504345064485E-3</v>
      </c>
    </row>
    <row r="978" spans="1:20" ht="16">
      <c r="A978" s="80" t="s">
        <v>537</v>
      </c>
      <c r="B978" s="81" t="s">
        <v>67</v>
      </c>
      <c r="C978" s="18"/>
      <c r="D978" s="21">
        <v>0</v>
      </c>
      <c r="E978" s="21">
        <v>0</v>
      </c>
      <c r="F978" s="21">
        <v>0</v>
      </c>
      <c r="G978" s="21">
        <v>0</v>
      </c>
      <c r="H978" s="21">
        <v>0</v>
      </c>
      <c r="I978" s="21">
        <v>0</v>
      </c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18"/>
      <c r="Q978" s="82">
        <f t="shared" si="21"/>
        <v>0</v>
      </c>
      <c r="R978" s="14">
        <v>0</v>
      </c>
      <c r="S978" s="15">
        <v>0</v>
      </c>
      <c r="T978" s="16">
        <v>0</v>
      </c>
    </row>
    <row r="979" spans="1:20" ht="16" hidden="1">
      <c r="A979" s="80" t="s">
        <v>538</v>
      </c>
      <c r="B979" s="81" t="s">
        <v>62</v>
      </c>
      <c r="C979" s="18"/>
      <c r="D979" s="21">
        <v>0</v>
      </c>
      <c r="E979" s="21">
        <v>0</v>
      </c>
      <c r="F979" s="21">
        <v>0</v>
      </c>
      <c r="G979" s="21">
        <v>0</v>
      </c>
      <c r="H979" s="21">
        <v>0</v>
      </c>
      <c r="I979" s="21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18"/>
      <c r="Q979" s="82">
        <f t="shared" si="21"/>
        <v>0</v>
      </c>
      <c r="R979" s="14">
        <v>0</v>
      </c>
      <c r="S979" s="15">
        <v>0</v>
      </c>
      <c r="T979" s="16">
        <v>0</v>
      </c>
    </row>
    <row r="980" spans="1:20" ht="16">
      <c r="A980" s="80" t="s">
        <v>539</v>
      </c>
      <c r="B980" s="81" t="s">
        <v>67</v>
      </c>
      <c r="C980" s="18"/>
      <c r="D980" s="21">
        <v>0</v>
      </c>
      <c r="E980" s="21">
        <v>0</v>
      </c>
      <c r="F980" s="21">
        <v>0</v>
      </c>
      <c r="G980" s="21">
        <v>0</v>
      </c>
      <c r="H980" s="21">
        <v>0</v>
      </c>
      <c r="I980" s="21">
        <v>0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18"/>
      <c r="Q980" s="82">
        <f t="shared" si="21"/>
        <v>0</v>
      </c>
      <c r="R980" s="14">
        <v>-2396.4699999999939</v>
      </c>
      <c r="S980" s="15">
        <v>-5.6626560114932063E-2</v>
      </c>
      <c r="T980" s="16">
        <v>6.4509528665815743E-4</v>
      </c>
    </row>
    <row r="981" spans="1:20" ht="16" hidden="1">
      <c r="A981" s="80" t="s">
        <v>540</v>
      </c>
      <c r="B981" s="81" t="s">
        <v>66</v>
      </c>
      <c r="C981" s="18"/>
      <c r="D981" s="21">
        <v>0</v>
      </c>
      <c r="E981" s="21">
        <v>0</v>
      </c>
      <c r="F981" s="21">
        <v>0</v>
      </c>
      <c r="G981" s="21">
        <v>0</v>
      </c>
      <c r="H981" s="21">
        <v>0</v>
      </c>
      <c r="I981" s="21">
        <v>0</v>
      </c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>
        <v>0</v>
      </c>
      <c r="P981" s="18"/>
      <c r="Q981" s="82">
        <f t="shared" si="21"/>
        <v>0</v>
      </c>
      <c r="R981" s="14">
        <v>0</v>
      </c>
      <c r="S981" s="15">
        <v>0</v>
      </c>
      <c r="T981" s="16">
        <v>3.360870221214507E-8</v>
      </c>
    </row>
    <row r="982" spans="1:20" ht="16" hidden="1">
      <c r="A982" s="80" t="s">
        <v>542</v>
      </c>
      <c r="B982" s="81" t="s">
        <v>60</v>
      </c>
      <c r="C982" s="18"/>
      <c r="D982" s="21">
        <v>0</v>
      </c>
      <c r="E982" s="21">
        <v>0</v>
      </c>
      <c r="F982" s="21">
        <v>0</v>
      </c>
      <c r="G982" s="21">
        <v>0</v>
      </c>
      <c r="H982" s="21">
        <v>0</v>
      </c>
      <c r="I982" s="21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18"/>
      <c r="Q982" s="82">
        <f t="shared" si="21"/>
        <v>0</v>
      </c>
      <c r="R982" s="14">
        <v>0</v>
      </c>
      <c r="S982" s="15">
        <v>0</v>
      </c>
      <c r="T982" s="16">
        <v>2.4385117050620047E-4</v>
      </c>
    </row>
    <row r="983" spans="1:20" ht="16" hidden="1">
      <c r="A983" s="80" t="s">
        <v>551</v>
      </c>
      <c r="B983" s="81" t="s">
        <v>62</v>
      </c>
      <c r="C983" s="18"/>
      <c r="D983" s="21">
        <v>0</v>
      </c>
      <c r="E983" s="21">
        <v>0</v>
      </c>
      <c r="F983" s="21">
        <v>0</v>
      </c>
      <c r="G983" s="21">
        <v>0</v>
      </c>
      <c r="H983" s="21">
        <v>0</v>
      </c>
      <c r="I983" s="21">
        <v>0</v>
      </c>
      <c r="J983" s="3">
        <v>0</v>
      </c>
      <c r="K983" s="3">
        <v>0</v>
      </c>
      <c r="L983" s="3">
        <v>0</v>
      </c>
      <c r="M983" s="3">
        <v>0</v>
      </c>
      <c r="N983" s="3">
        <v>0</v>
      </c>
      <c r="O983" s="3">
        <v>0</v>
      </c>
      <c r="P983" s="18"/>
      <c r="Q983" s="82">
        <f t="shared" si="21"/>
        <v>0</v>
      </c>
      <c r="R983" s="14">
        <v>0</v>
      </c>
      <c r="S983" s="15">
        <v>0</v>
      </c>
      <c r="T983" s="16">
        <v>0</v>
      </c>
    </row>
    <row r="984" spans="1:20" ht="16" hidden="1">
      <c r="A984" s="80" t="s">
        <v>552</v>
      </c>
      <c r="B984" s="81" t="s">
        <v>62</v>
      </c>
      <c r="C984" s="18"/>
      <c r="D984" s="21">
        <v>0</v>
      </c>
      <c r="E984" s="21">
        <v>0</v>
      </c>
      <c r="F984" s="21">
        <v>0</v>
      </c>
      <c r="G984" s="21">
        <v>0</v>
      </c>
      <c r="H984" s="21">
        <v>0</v>
      </c>
      <c r="I984" s="21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18"/>
      <c r="Q984" s="82">
        <f t="shared" si="21"/>
        <v>0</v>
      </c>
      <c r="R984" s="14">
        <v>0</v>
      </c>
      <c r="S984" s="15">
        <v>0</v>
      </c>
      <c r="T984" s="16">
        <v>0</v>
      </c>
    </row>
    <row r="985" spans="1:20" ht="16" hidden="1">
      <c r="A985" s="80" t="s">
        <v>556</v>
      </c>
      <c r="B985" s="81" t="s">
        <v>62</v>
      </c>
      <c r="C985" s="18"/>
      <c r="D985" s="21">
        <v>0</v>
      </c>
      <c r="E985" s="21">
        <v>0</v>
      </c>
      <c r="F985" s="21">
        <v>0</v>
      </c>
      <c r="G985" s="21">
        <v>0</v>
      </c>
      <c r="H985" s="21">
        <v>0</v>
      </c>
      <c r="I985" s="21">
        <v>0</v>
      </c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>
        <v>0</v>
      </c>
      <c r="P985" s="18"/>
      <c r="Q985" s="82">
        <f t="shared" si="21"/>
        <v>0</v>
      </c>
      <c r="R985" s="14">
        <v>0</v>
      </c>
      <c r="S985" s="15">
        <v>0</v>
      </c>
      <c r="T985" s="16">
        <v>5.2998338103767225E-8</v>
      </c>
    </row>
    <row r="986" spans="1:20" ht="16" hidden="1">
      <c r="A986" s="80" t="s">
        <v>557</v>
      </c>
      <c r="B986" s="81" t="s">
        <v>62</v>
      </c>
      <c r="C986" s="18"/>
      <c r="D986" s="21">
        <v>0</v>
      </c>
      <c r="E986" s="21">
        <v>0</v>
      </c>
      <c r="F986" s="21">
        <v>0</v>
      </c>
      <c r="G986" s="21">
        <v>0</v>
      </c>
      <c r="H986" s="21">
        <v>0</v>
      </c>
      <c r="I986" s="21">
        <v>0</v>
      </c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>
        <v>0</v>
      </c>
      <c r="P986" s="18"/>
      <c r="Q986" s="82">
        <f t="shared" si="21"/>
        <v>0</v>
      </c>
      <c r="R986" s="14">
        <v>0.71</v>
      </c>
      <c r="S986" s="15">
        <v>0.4863013698630137</v>
      </c>
      <c r="T986" s="16">
        <v>3.5062924904016728E-8</v>
      </c>
    </row>
    <row r="987" spans="1:20" ht="16" hidden="1">
      <c r="A987" s="80" t="s">
        <v>559</v>
      </c>
      <c r="B987" s="81" t="s">
        <v>78</v>
      </c>
      <c r="C987" s="18"/>
      <c r="D987" s="21">
        <v>3496.3500000000022</v>
      </c>
      <c r="E987" s="21">
        <v>0</v>
      </c>
      <c r="F987" s="21">
        <v>0</v>
      </c>
      <c r="G987" s="21">
        <v>0</v>
      </c>
      <c r="H987" s="21">
        <v>0</v>
      </c>
      <c r="I987" s="21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18"/>
      <c r="Q987" s="82">
        <f t="shared" si="21"/>
        <v>0</v>
      </c>
      <c r="R987" s="14">
        <v>0</v>
      </c>
      <c r="S987" s="15">
        <v>0</v>
      </c>
      <c r="T987" s="16">
        <v>7.4326937584551601E-9</v>
      </c>
    </row>
    <row r="988" spans="1:20" ht="16" hidden="1">
      <c r="A988" s="80" t="s">
        <v>560</v>
      </c>
      <c r="B988" s="81" t="s">
        <v>60</v>
      </c>
      <c r="C988" s="18"/>
      <c r="D988" s="21">
        <v>0</v>
      </c>
      <c r="E988" s="21">
        <v>0</v>
      </c>
      <c r="F988" s="21">
        <v>0</v>
      </c>
      <c r="G988" s="21">
        <v>0</v>
      </c>
      <c r="H988" s="21">
        <v>0</v>
      </c>
      <c r="I988" s="21">
        <v>0</v>
      </c>
      <c r="J988" s="3">
        <v>0</v>
      </c>
      <c r="K988" s="3">
        <v>0</v>
      </c>
      <c r="L988" s="3">
        <v>0</v>
      </c>
      <c r="M988" s="3">
        <v>0</v>
      </c>
      <c r="N988" s="3">
        <v>0</v>
      </c>
      <c r="O988" s="3">
        <v>0</v>
      </c>
      <c r="P988" s="18"/>
      <c r="Q988" s="82">
        <f t="shared" si="21"/>
        <v>0</v>
      </c>
      <c r="R988" s="14">
        <v>4079.8800000000047</v>
      </c>
      <c r="S988" s="15">
        <v>4.1299235222967308E-2</v>
      </c>
      <c r="T988" s="16">
        <v>1.6621466444539765E-3</v>
      </c>
    </row>
    <row r="989" spans="1:20" ht="16" hidden="1">
      <c r="A989" s="80" t="s">
        <v>562</v>
      </c>
      <c r="B989" s="81" t="s">
        <v>60</v>
      </c>
      <c r="C989" s="18"/>
      <c r="D989" s="21">
        <v>15.44</v>
      </c>
      <c r="E989" s="21">
        <v>0.01</v>
      </c>
      <c r="F989" s="21">
        <v>0.01</v>
      </c>
      <c r="G989" s="21">
        <v>0.01</v>
      </c>
      <c r="H989" s="21">
        <v>0</v>
      </c>
      <c r="I989" s="21">
        <v>0</v>
      </c>
      <c r="J989" s="3">
        <v>0</v>
      </c>
      <c r="K989" s="3">
        <v>0</v>
      </c>
      <c r="L989" s="3">
        <v>0</v>
      </c>
      <c r="M989" s="3">
        <v>0</v>
      </c>
      <c r="N989" s="3">
        <v>0</v>
      </c>
      <c r="O989" s="3">
        <v>0</v>
      </c>
      <c r="P989" s="18"/>
      <c r="Q989" s="82">
        <f t="shared" si="21"/>
        <v>0</v>
      </c>
      <c r="R989" s="14">
        <v>2884.68</v>
      </c>
      <c r="S989" s="15">
        <v>144234</v>
      </c>
      <c r="T989" s="16">
        <v>4.6611068880468689E-5</v>
      </c>
    </row>
    <row r="990" spans="1:20" ht="16" hidden="1">
      <c r="A990" s="80" t="s">
        <v>563</v>
      </c>
      <c r="B990" s="81" t="s">
        <v>66</v>
      </c>
      <c r="C990" s="18"/>
      <c r="D990" s="21">
        <v>0</v>
      </c>
      <c r="E990" s="21">
        <v>0</v>
      </c>
      <c r="F990" s="21">
        <v>0</v>
      </c>
      <c r="G990" s="21">
        <v>0</v>
      </c>
      <c r="H990" s="21">
        <v>0</v>
      </c>
      <c r="I990" s="21">
        <v>0</v>
      </c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>
        <v>0</v>
      </c>
      <c r="P990" s="18"/>
      <c r="Q990" s="82">
        <f t="shared" si="21"/>
        <v>0</v>
      </c>
      <c r="R990" s="14">
        <v>154388.27000000005</v>
      </c>
      <c r="S990" s="15">
        <v>1.1967070846953956</v>
      </c>
      <c r="T990" s="16">
        <v>4.5791724268202409E-3</v>
      </c>
    </row>
    <row r="991" spans="1:20" ht="16" hidden="1">
      <c r="A991" s="80" t="s">
        <v>567</v>
      </c>
      <c r="B991" s="81" t="s">
        <v>85</v>
      </c>
      <c r="C991" s="18"/>
      <c r="D991" s="21">
        <v>0</v>
      </c>
      <c r="E991" s="21">
        <v>0</v>
      </c>
      <c r="F991" s="21">
        <v>0</v>
      </c>
      <c r="G991" s="21">
        <v>0</v>
      </c>
      <c r="H991" s="21">
        <v>0</v>
      </c>
      <c r="I991" s="21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18"/>
      <c r="Q991" s="82">
        <f t="shared" si="21"/>
        <v>0</v>
      </c>
      <c r="R991" s="14">
        <v>-18743.010000000009</v>
      </c>
      <c r="S991" s="15">
        <v>-5.2442051535990596E-2</v>
      </c>
      <c r="T991" s="16">
        <v>5.4720977988498591E-3</v>
      </c>
    </row>
    <row r="992" spans="1:20" ht="16" hidden="1">
      <c r="A992" s="80" t="s">
        <v>571</v>
      </c>
      <c r="B992" s="81" t="s">
        <v>76</v>
      </c>
      <c r="C992" s="18"/>
      <c r="D992" s="21">
        <v>0</v>
      </c>
      <c r="E992" s="21">
        <v>0</v>
      </c>
      <c r="F992" s="21">
        <v>0</v>
      </c>
      <c r="G992" s="21">
        <v>0</v>
      </c>
      <c r="H992" s="21">
        <v>0</v>
      </c>
      <c r="I992" s="21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18"/>
      <c r="Q992" s="82">
        <f t="shared" si="21"/>
        <v>0</v>
      </c>
      <c r="R992" s="14">
        <v>69769.800000000047</v>
      </c>
      <c r="S992" s="15">
        <v>0.10774241998168213</v>
      </c>
      <c r="T992" s="16">
        <v>1.1590654137341352E-2</v>
      </c>
    </row>
    <row r="993" spans="1:20" ht="16" hidden="1">
      <c r="A993" s="80" t="s">
        <v>571</v>
      </c>
      <c r="B993" s="81" t="s">
        <v>89</v>
      </c>
      <c r="C993" s="18"/>
      <c r="D993" s="21">
        <v>0</v>
      </c>
      <c r="E993" s="21">
        <v>0</v>
      </c>
      <c r="F993" s="21">
        <v>0</v>
      </c>
      <c r="G993" s="21">
        <v>0</v>
      </c>
      <c r="H993" s="21">
        <v>0</v>
      </c>
      <c r="I993" s="21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18"/>
      <c r="Q993" s="82">
        <f t="shared" si="21"/>
        <v>0</v>
      </c>
      <c r="R993" s="14">
        <v>-51454.28</v>
      </c>
      <c r="S993" s="15">
        <v>-1</v>
      </c>
      <c r="T993" s="16">
        <v>0</v>
      </c>
    </row>
    <row r="994" spans="1:20" ht="16" hidden="1">
      <c r="A994" s="80" t="s">
        <v>575</v>
      </c>
      <c r="B994" s="81" t="s">
        <v>60</v>
      </c>
      <c r="C994" s="18"/>
      <c r="D994" s="21">
        <v>0</v>
      </c>
      <c r="E994" s="21">
        <v>0</v>
      </c>
      <c r="F994" s="21">
        <v>0</v>
      </c>
      <c r="G994" s="21">
        <v>0</v>
      </c>
      <c r="H994" s="21">
        <v>0</v>
      </c>
      <c r="I994" s="21">
        <v>0</v>
      </c>
      <c r="J994" s="3">
        <v>0</v>
      </c>
      <c r="K994" s="3">
        <v>0</v>
      </c>
      <c r="L994" s="3">
        <v>0</v>
      </c>
      <c r="M994" s="3">
        <v>0</v>
      </c>
      <c r="N994" s="3">
        <v>0</v>
      </c>
      <c r="O994" s="3">
        <v>0</v>
      </c>
      <c r="P994" s="18"/>
      <c r="Q994" s="82">
        <f t="shared" si="21"/>
        <v>0</v>
      </c>
      <c r="R994" s="14">
        <v>0</v>
      </c>
      <c r="S994" s="15">
        <v>0</v>
      </c>
      <c r="T994" s="16">
        <v>5.3321498701960944E-9</v>
      </c>
    </row>
    <row r="995" spans="1:20" ht="16" hidden="1">
      <c r="A995" s="80" t="s">
        <v>576</v>
      </c>
      <c r="B995" s="81" t="s">
        <v>60</v>
      </c>
      <c r="C995" s="18"/>
      <c r="D995" s="21">
        <v>0</v>
      </c>
      <c r="E995" s="21">
        <v>0</v>
      </c>
      <c r="F995" s="21">
        <v>0</v>
      </c>
      <c r="G995" s="21">
        <v>0</v>
      </c>
      <c r="H995" s="21">
        <v>0</v>
      </c>
      <c r="I995" s="21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18"/>
      <c r="Q995" s="82">
        <f t="shared" si="21"/>
        <v>0</v>
      </c>
      <c r="R995" s="14">
        <v>0</v>
      </c>
      <c r="S995" s="15">
        <v>0</v>
      </c>
      <c r="T995" s="16">
        <v>8.6558566226183247E-6</v>
      </c>
    </row>
    <row r="996" spans="1:20" ht="16" hidden="1">
      <c r="A996" s="80" t="s">
        <v>577</v>
      </c>
      <c r="B996" s="81" t="s">
        <v>78</v>
      </c>
      <c r="C996" s="18"/>
      <c r="D996" s="21">
        <v>0</v>
      </c>
      <c r="E996" s="21">
        <v>0</v>
      </c>
      <c r="F996" s="21">
        <v>0</v>
      </c>
      <c r="G996" s="21">
        <v>0</v>
      </c>
      <c r="H996" s="21">
        <v>0</v>
      </c>
      <c r="I996" s="21">
        <v>0</v>
      </c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>
        <v>0</v>
      </c>
      <c r="P996" s="18"/>
      <c r="Q996" s="82">
        <f t="shared" si="21"/>
        <v>0</v>
      </c>
      <c r="R996" s="14">
        <v>0</v>
      </c>
      <c r="S996" s="15">
        <v>0</v>
      </c>
      <c r="T996" s="16">
        <v>8.4155867178613067E-5</v>
      </c>
    </row>
    <row r="997" spans="1:20" ht="16" hidden="1">
      <c r="A997" s="80" t="s">
        <v>581</v>
      </c>
      <c r="B997" s="81" t="s">
        <v>78</v>
      </c>
      <c r="C997" s="18"/>
      <c r="D997" s="21">
        <v>0</v>
      </c>
      <c r="E997" s="21">
        <v>0</v>
      </c>
      <c r="F997" s="21">
        <v>0</v>
      </c>
      <c r="G997" s="21">
        <v>0</v>
      </c>
      <c r="H997" s="21">
        <v>0</v>
      </c>
      <c r="I997" s="21">
        <v>0</v>
      </c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>
        <v>0</v>
      </c>
      <c r="P997" s="18"/>
      <c r="Q997" s="82">
        <f t="shared" si="21"/>
        <v>0</v>
      </c>
      <c r="R997" s="14">
        <v>28750.91</v>
      </c>
      <c r="S997" s="15">
        <v>2875091</v>
      </c>
      <c r="T997" s="16">
        <v>4.6455822529096438E-4</v>
      </c>
    </row>
    <row r="998" spans="1:20" ht="16" hidden="1">
      <c r="A998" s="80" t="s">
        <v>584</v>
      </c>
      <c r="B998" s="81" t="s">
        <v>85</v>
      </c>
      <c r="C998" s="18"/>
      <c r="D998" s="21">
        <v>0</v>
      </c>
      <c r="E998" s="21">
        <v>0</v>
      </c>
      <c r="F998" s="21">
        <v>0</v>
      </c>
      <c r="G998" s="21">
        <v>0</v>
      </c>
      <c r="H998" s="21">
        <v>0</v>
      </c>
      <c r="I998" s="21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18"/>
      <c r="Q998" s="82">
        <f t="shared" si="21"/>
        <v>0</v>
      </c>
      <c r="R998" s="14">
        <v>0</v>
      </c>
      <c r="S998" s="15">
        <v>0</v>
      </c>
      <c r="T998" s="16">
        <v>-5.6059427619732405E-26</v>
      </c>
    </row>
    <row r="999" spans="1:20" ht="16" hidden="1">
      <c r="A999" s="80" t="s">
        <v>585</v>
      </c>
      <c r="B999" s="81" t="s">
        <v>366</v>
      </c>
      <c r="C999" s="18"/>
      <c r="D999" s="21">
        <v>0</v>
      </c>
      <c r="E999" s="21">
        <v>0</v>
      </c>
      <c r="F999" s="21">
        <v>0</v>
      </c>
      <c r="G999" s="21">
        <v>0</v>
      </c>
      <c r="H999" s="21">
        <v>0</v>
      </c>
      <c r="I999" s="21">
        <v>0</v>
      </c>
      <c r="J999" s="3">
        <v>0</v>
      </c>
      <c r="K999" s="3">
        <v>0</v>
      </c>
      <c r="L999" s="3">
        <v>0</v>
      </c>
      <c r="M999" s="3">
        <v>0</v>
      </c>
      <c r="N999" s="3">
        <v>0</v>
      </c>
      <c r="O999" s="3">
        <v>0</v>
      </c>
      <c r="P999" s="18"/>
      <c r="Q999" s="82">
        <f t="shared" si="21"/>
        <v>0</v>
      </c>
      <c r="R999" s="14">
        <v>0</v>
      </c>
      <c r="S999" s="15">
        <v>0</v>
      </c>
      <c r="T999" s="16">
        <v>0</v>
      </c>
    </row>
    <row r="1000" spans="1:20" ht="16" hidden="1">
      <c r="A1000" s="80" t="s">
        <v>586</v>
      </c>
      <c r="B1000" s="81" t="s">
        <v>78</v>
      </c>
      <c r="C1000" s="18"/>
      <c r="D1000" s="21">
        <v>0</v>
      </c>
      <c r="E1000" s="21">
        <v>0</v>
      </c>
      <c r="F1000" s="21">
        <v>0</v>
      </c>
      <c r="G1000" s="21">
        <v>0</v>
      </c>
      <c r="H1000" s="21">
        <v>0</v>
      </c>
      <c r="I1000" s="21">
        <v>0</v>
      </c>
      <c r="J1000" s="3">
        <v>0</v>
      </c>
      <c r="K1000" s="3">
        <v>0</v>
      </c>
      <c r="L1000" s="3">
        <v>0</v>
      </c>
      <c r="M1000" s="3">
        <v>0</v>
      </c>
      <c r="N1000" s="3">
        <v>0</v>
      </c>
      <c r="O1000" s="3">
        <v>0</v>
      </c>
      <c r="P1000" s="18"/>
      <c r="Q1000" s="82">
        <f t="shared" si="21"/>
        <v>0</v>
      </c>
      <c r="R1000" s="14">
        <v>0</v>
      </c>
      <c r="S1000" s="15">
        <v>0</v>
      </c>
      <c r="T1000" s="16">
        <v>0</v>
      </c>
    </row>
    <row r="1001" spans="1:20" ht="16" hidden="1">
      <c r="A1001" s="80" t="s">
        <v>591</v>
      </c>
      <c r="B1001" s="81" t="s">
        <v>62</v>
      </c>
      <c r="C1001" s="18"/>
      <c r="D1001" s="21">
        <v>0</v>
      </c>
      <c r="E1001" s="21">
        <v>0</v>
      </c>
      <c r="F1001" s="21">
        <v>0</v>
      </c>
      <c r="G1001" s="21">
        <v>0</v>
      </c>
      <c r="H1001" s="21">
        <v>0</v>
      </c>
      <c r="I1001" s="21">
        <v>0</v>
      </c>
      <c r="J1001" s="3">
        <v>0</v>
      </c>
      <c r="K1001" s="3">
        <v>0</v>
      </c>
      <c r="L1001" s="3">
        <v>0</v>
      </c>
      <c r="M1001" s="3">
        <v>0</v>
      </c>
      <c r="N1001" s="3">
        <v>0</v>
      </c>
      <c r="O1001" s="3">
        <v>0</v>
      </c>
      <c r="P1001" s="18"/>
      <c r="Q1001" s="82">
        <f t="shared" si="21"/>
        <v>0</v>
      </c>
      <c r="R1001" s="14">
        <v>0</v>
      </c>
      <c r="S1001" s="15">
        <v>0</v>
      </c>
      <c r="T1001" s="16">
        <v>-5.5842151367871811E-7</v>
      </c>
    </row>
    <row r="1002" spans="1:20" ht="16" hidden="1">
      <c r="A1002" s="80" t="s">
        <v>593</v>
      </c>
      <c r="B1002" s="81" t="s">
        <v>62</v>
      </c>
      <c r="C1002" s="18"/>
      <c r="D1002" s="21">
        <v>0</v>
      </c>
      <c r="E1002" s="21">
        <v>0</v>
      </c>
      <c r="F1002" s="21">
        <v>0</v>
      </c>
      <c r="G1002" s="21">
        <v>0</v>
      </c>
      <c r="H1002" s="21">
        <v>0</v>
      </c>
      <c r="I1002" s="21">
        <v>0</v>
      </c>
      <c r="J1002" s="3">
        <v>0</v>
      </c>
      <c r="K1002" s="3">
        <v>0</v>
      </c>
      <c r="L1002" s="3">
        <v>0</v>
      </c>
      <c r="M1002" s="3">
        <v>0</v>
      </c>
      <c r="N1002" s="3">
        <v>0</v>
      </c>
      <c r="O1002" s="3">
        <v>0</v>
      </c>
      <c r="P1002" s="18"/>
      <c r="Q1002" s="82">
        <f t="shared" si="21"/>
        <v>0</v>
      </c>
      <c r="R1002" s="14">
        <v>0</v>
      </c>
      <c r="S1002" s="15">
        <v>0</v>
      </c>
      <c r="T1002" s="16">
        <v>-1.6158029909685129E-10</v>
      </c>
    </row>
    <row r="1003" spans="1:20" ht="16" hidden="1">
      <c r="A1003" s="80" t="s">
        <v>595</v>
      </c>
      <c r="B1003" s="81" t="s">
        <v>78</v>
      </c>
      <c r="C1003" s="18"/>
      <c r="D1003" s="21">
        <v>0</v>
      </c>
      <c r="E1003" s="21">
        <v>0</v>
      </c>
      <c r="F1003" s="21">
        <v>0</v>
      </c>
      <c r="G1003" s="21">
        <v>0</v>
      </c>
      <c r="H1003" s="21">
        <v>0</v>
      </c>
      <c r="I1003" s="21">
        <v>0</v>
      </c>
      <c r="J1003" s="3">
        <v>0</v>
      </c>
      <c r="K1003" s="3">
        <v>0</v>
      </c>
      <c r="L1003" s="3">
        <v>0</v>
      </c>
      <c r="M1003" s="3">
        <v>0</v>
      </c>
      <c r="N1003" s="3">
        <v>0</v>
      </c>
      <c r="O1003" s="3">
        <v>0</v>
      </c>
      <c r="P1003" s="18"/>
      <c r="Q1003" s="82">
        <f t="shared" si="21"/>
        <v>0</v>
      </c>
      <c r="R1003" s="14">
        <v>0</v>
      </c>
      <c r="S1003" s="15">
        <v>0</v>
      </c>
      <c r="T1003" s="16">
        <v>0</v>
      </c>
    </row>
    <row r="1004" spans="1:20" ht="16" hidden="1">
      <c r="A1004" s="80" t="s">
        <v>597</v>
      </c>
      <c r="B1004" s="81" t="s">
        <v>78</v>
      </c>
      <c r="C1004" s="18"/>
      <c r="D1004" s="21">
        <v>0</v>
      </c>
      <c r="E1004" s="21">
        <v>0</v>
      </c>
      <c r="F1004" s="21">
        <v>0</v>
      </c>
      <c r="G1004" s="21">
        <v>0</v>
      </c>
      <c r="H1004" s="21">
        <v>0</v>
      </c>
      <c r="I1004" s="21">
        <v>0</v>
      </c>
      <c r="J1004" s="3">
        <v>0</v>
      </c>
      <c r="K1004" s="3">
        <v>0</v>
      </c>
      <c r="L1004" s="3">
        <v>0</v>
      </c>
      <c r="M1004" s="3">
        <v>0</v>
      </c>
      <c r="N1004" s="3">
        <v>0</v>
      </c>
      <c r="O1004" s="3">
        <v>0</v>
      </c>
      <c r="P1004" s="18"/>
      <c r="Q1004" s="82">
        <f t="shared" si="21"/>
        <v>0</v>
      </c>
      <c r="R1004" s="14">
        <v>0</v>
      </c>
      <c r="S1004" s="15">
        <v>0</v>
      </c>
      <c r="T1004" s="16">
        <v>0</v>
      </c>
    </row>
    <row r="1005" spans="1:20" ht="16" hidden="1">
      <c r="A1005" s="80" t="s">
        <v>598</v>
      </c>
      <c r="B1005" s="81" t="s">
        <v>78</v>
      </c>
      <c r="C1005" s="18"/>
      <c r="D1005" s="21">
        <v>0</v>
      </c>
      <c r="E1005" s="21">
        <v>0</v>
      </c>
      <c r="F1005" s="21">
        <v>0</v>
      </c>
      <c r="G1005" s="21">
        <v>0</v>
      </c>
      <c r="H1005" s="21">
        <v>0</v>
      </c>
      <c r="I1005" s="21">
        <v>0</v>
      </c>
      <c r="J1005" s="3">
        <v>0</v>
      </c>
      <c r="K1005" s="3">
        <v>0</v>
      </c>
      <c r="L1005" s="3">
        <v>0</v>
      </c>
      <c r="M1005" s="3">
        <v>0</v>
      </c>
      <c r="N1005" s="3">
        <v>0</v>
      </c>
      <c r="O1005" s="3">
        <v>0</v>
      </c>
      <c r="P1005" s="18"/>
      <c r="Q1005" s="82">
        <f t="shared" si="21"/>
        <v>0</v>
      </c>
      <c r="R1005" s="14">
        <v>0</v>
      </c>
      <c r="S1005" s="15">
        <v>0</v>
      </c>
      <c r="T1005" s="16">
        <v>0</v>
      </c>
    </row>
    <row r="1006" spans="1:20" ht="16" hidden="1">
      <c r="A1006" s="80" t="s">
        <v>600</v>
      </c>
      <c r="B1006" s="81" t="s">
        <v>62</v>
      </c>
      <c r="C1006" s="18"/>
      <c r="D1006" s="21">
        <v>0</v>
      </c>
      <c r="E1006" s="21">
        <v>0</v>
      </c>
      <c r="F1006" s="21">
        <v>0</v>
      </c>
      <c r="G1006" s="21">
        <v>0</v>
      </c>
      <c r="H1006" s="21">
        <v>0</v>
      </c>
      <c r="I1006" s="21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18"/>
      <c r="Q1006" s="82">
        <f t="shared" si="21"/>
        <v>0</v>
      </c>
      <c r="R1006" s="14">
        <v>0</v>
      </c>
      <c r="S1006" s="15">
        <v>0</v>
      </c>
      <c r="T1006" s="16">
        <v>0</v>
      </c>
    </row>
    <row r="1007" spans="1:20" ht="16">
      <c r="A1007" s="80" t="s">
        <v>601</v>
      </c>
      <c r="B1007" s="81" t="s">
        <v>67</v>
      </c>
      <c r="C1007" s="18"/>
      <c r="D1007" s="21">
        <v>0</v>
      </c>
      <c r="E1007" s="21">
        <v>0</v>
      </c>
      <c r="F1007" s="21">
        <v>0</v>
      </c>
      <c r="G1007" s="21">
        <v>0</v>
      </c>
      <c r="H1007" s="21">
        <v>0</v>
      </c>
      <c r="I1007" s="21">
        <v>0</v>
      </c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18"/>
      <c r="Q1007" s="82">
        <f t="shared" si="21"/>
        <v>0</v>
      </c>
      <c r="R1007" s="14">
        <v>0</v>
      </c>
      <c r="S1007" s="15">
        <v>0</v>
      </c>
      <c r="T1007" s="16">
        <v>0</v>
      </c>
    </row>
    <row r="1008" spans="1:20" ht="16">
      <c r="A1008" s="80" t="s">
        <v>602</v>
      </c>
      <c r="B1008" s="81" t="s">
        <v>67</v>
      </c>
      <c r="C1008" s="18"/>
      <c r="D1008" s="21">
        <v>0</v>
      </c>
      <c r="E1008" s="21">
        <v>0</v>
      </c>
      <c r="F1008" s="21">
        <v>0</v>
      </c>
      <c r="G1008" s="21">
        <v>0</v>
      </c>
      <c r="H1008" s="21">
        <v>0</v>
      </c>
      <c r="I1008" s="21">
        <v>0</v>
      </c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>
        <v>0</v>
      </c>
      <c r="P1008" s="18"/>
      <c r="Q1008" s="82">
        <f t="shared" si="21"/>
        <v>0</v>
      </c>
      <c r="R1008" s="14">
        <v>-188370.68999999989</v>
      </c>
      <c r="S1008" s="15">
        <v>-0.499999867282997</v>
      </c>
      <c r="T1008" s="16">
        <v>3.0437008589310191E-3</v>
      </c>
    </row>
    <row r="1009" spans="1:20" ht="16">
      <c r="A1009" s="80" t="s">
        <v>603</v>
      </c>
      <c r="B1009" s="81" t="s">
        <v>67</v>
      </c>
      <c r="C1009" s="18"/>
      <c r="D1009" s="21">
        <v>0</v>
      </c>
      <c r="E1009" s="21">
        <v>0</v>
      </c>
      <c r="F1009" s="21">
        <v>0</v>
      </c>
      <c r="G1009" s="21">
        <v>0</v>
      </c>
      <c r="H1009" s="21">
        <v>0</v>
      </c>
      <c r="I1009" s="21">
        <v>0</v>
      </c>
      <c r="J1009" s="3">
        <v>0</v>
      </c>
      <c r="K1009" s="3">
        <v>0</v>
      </c>
      <c r="L1009" s="3">
        <v>0</v>
      </c>
      <c r="M1009" s="3">
        <v>0</v>
      </c>
      <c r="N1009" s="3">
        <v>0</v>
      </c>
      <c r="O1009" s="3">
        <v>0</v>
      </c>
      <c r="P1009" s="18"/>
      <c r="Q1009" s="82">
        <f t="shared" si="21"/>
        <v>0</v>
      </c>
      <c r="R1009" s="14">
        <v>0</v>
      </c>
      <c r="S1009" s="15">
        <v>0</v>
      </c>
      <c r="T1009" s="16">
        <v>1.2926423927748122E-9</v>
      </c>
    </row>
    <row r="1010" spans="1:20" ht="16" hidden="1">
      <c r="A1010" s="80" t="s">
        <v>605</v>
      </c>
      <c r="B1010" s="81" t="s">
        <v>76</v>
      </c>
      <c r="C1010" s="18"/>
      <c r="D1010" s="21">
        <v>0</v>
      </c>
      <c r="E1010" s="21">
        <v>0</v>
      </c>
      <c r="F1010" s="21">
        <v>0</v>
      </c>
      <c r="G1010" s="21">
        <v>0</v>
      </c>
      <c r="H1010" s="21">
        <v>0</v>
      </c>
      <c r="I1010" s="21">
        <v>0</v>
      </c>
      <c r="J1010" s="3">
        <v>0</v>
      </c>
      <c r="K1010" s="3">
        <v>0</v>
      </c>
      <c r="L1010" s="3">
        <v>0</v>
      </c>
      <c r="M1010" s="3">
        <v>0</v>
      </c>
      <c r="N1010" s="3">
        <v>0</v>
      </c>
      <c r="O1010" s="3">
        <v>0</v>
      </c>
      <c r="P1010" s="18"/>
      <c r="Q1010" s="82">
        <f t="shared" si="21"/>
        <v>0</v>
      </c>
      <c r="R1010" s="14">
        <v>0</v>
      </c>
      <c r="S1010" s="15">
        <v>0</v>
      </c>
      <c r="T1010" s="16">
        <v>4.4191969432540173E-4</v>
      </c>
    </row>
    <row r="1011" spans="1:20" ht="16">
      <c r="A1011" s="80" t="s">
        <v>610</v>
      </c>
      <c r="B1011" s="81" t="s">
        <v>67</v>
      </c>
      <c r="C1011" s="18"/>
      <c r="D1011" s="21">
        <v>0</v>
      </c>
      <c r="E1011" s="21">
        <v>0</v>
      </c>
      <c r="F1011" s="21">
        <v>0</v>
      </c>
      <c r="G1011" s="21">
        <v>0</v>
      </c>
      <c r="H1011" s="21">
        <v>0</v>
      </c>
      <c r="I1011" s="21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18"/>
      <c r="Q1011" s="82">
        <f t="shared" si="21"/>
        <v>0</v>
      </c>
      <c r="R1011" s="14">
        <v>0</v>
      </c>
      <c r="S1011" s="15">
        <v>0</v>
      </c>
      <c r="T1011" s="16">
        <v>0</v>
      </c>
    </row>
    <row r="1012" spans="1:20" ht="16" hidden="1">
      <c r="A1012" s="80" t="s">
        <v>611</v>
      </c>
      <c r="B1012" s="81" t="s">
        <v>62</v>
      </c>
      <c r="C1012" s="18"/>
      <c r="D1012" s="21">
        <v>0</v>
      </c>
      <c r="E1012" s="21">
        <v>0</v>
      </c>
      <c r="F1012" s="21">
        <v>0</v>
      </c>
      <c r="G1012" s="21">
        <v>0</v>
      </c>
      <c r="H1012" s="21">
        <v>0</v>
      </c>
      <c r="I1012" s="21">
        <v>0</v>
      </c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>
        <v>0</v>
      </c>
      <c r="P1012" s="18"/>
      <c r="Q1012" s="82">
        <f t="shared" si="21"/>
        <v>0</v>
      </c>
      <c r="R1012" s="14">
        <v>0</v>
      </c>
      <c r="S1012" s="15">
        <v>0</v>
      </c>
      <c r="T1012" s="16">
        <v>-6.1400513656803481E-9</v>
      </c>
    </row>
    <row r="1013" spans="1:20" ht="16" hidden="1">
      <c r="A1013" s="80" t="s">
        <v>614</v>
      </c>
      <c r="B1013" s="81" t="s">
        <v>60</v>
      </c>
      <c r="C1013" s="18"/>
      <c r="D1013" s="21">
        <v>0</v>
      </c>
      <c r="E1013" s="21">
        <v>0</v>
      </c>
      <c r="F1013" s="21">
        <v>0</v>
      </c>
      <c r="G1013" s="21">
        <v>0</v>
      </c>
      <c r="H1013" s="21">
        <v>0</v>
      </c>
      <c r="I1013" s="21">
        <v>0</v>
      </c>
      <c r="J1013" s="3">
        <v>0</v>
      </c>
      <c r="K1013" s="3">
        <v>0</v>
      </c>
      <c r="L1013" s="3">
        <v>0</v>
      </c>
      <c r="M1013" s="3">
        <v>0</v>
      </c>
      <c r="N1013" s="3">
        <v>0</v>
      </c>
      <c r="O1013" s="3">
        <v>0</v>
      </c>
      <c r="P1013" s="18"/>
      <c r="Q1013" s="82">
        <f t="shared" si="21"/>
        <v>0</v>
      </c>
      <c r="R1013" s="14">
        <v>0</v>
      </c>
      <c r="S1013" s="15">
        <v>0</v>
      </c>
      <c r="T1013" s="16">
        <v>0</v>
      </c>
    </row>
    <row r="1014" spans="1:20" ht="16" hidden="1">
      <c r="A1014" s="80" t="s">
        <v>624</v>
      </c>
      <c r="B1014" s="81" t="s">
        <v>62</v>
      </c>
      <c r="C1014" s="18"/>
      <c r="D1014" s="21">
        <v>0</v>
      </c>
      <c r="E1014" s="21">
        <v>0</v>
      </c>
      <c r="F1014" s="21">
        <v>0</v>
      </c>
      <c r="G1014" s="21">
        <v>0</v>
      </c>
      <c r="H1014" s="21">
        <v>0</v>
      </c>
      <c r="I1014" s="21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18"/>
      <c r="Q1014" s="82">
        <f t="shared" si="21"/>
        <v>0</v>
      </c>
      <c r="R1014" s="14">
        <v>0</v>
      </c>
      <c r="S1014" s="15">
        <v>0</v>
      </c>
      <c r="T1014" s="16">
        <v>0</v>
      </c>
    </row>
    <row r="1015" spans="1:20" ht="16" hidden="1">
      <c r="A1015" s="80" t="s">
        <v>628</v>
      </c>
      <c r="B1015" s="81" t="s">
        <v>78</v>
      </c>
      <c r="C1015" s="18"/>
      <c r="D1015" s="21">
        <v>1546.66</v>
      </c>
      <c r="E1015" s="21">
        <v>1546.66</v>
      </c>
      <c r="F1015" s="21">
        <v>0</v>
      </c>
      <c r="G1015" s="21">
        <v>0</v>
      </c>
      <c r="H1015" s="21">
        <v>0</v>
      </c>
      <c r="I1015" s="21">
        <v>0</v>
      </c>
      <c r="J1015" s="3">
        <v>0</v>
      </c>
      <c r="K1015" s="3">
        <v>0</v>
      </c>
      <c r="L1015" s="3">
        <v>0</v>
      </c>
      <c r="M1015" s="3">
        <v>0</v>
      </c>
      <c r="N1015" s="3">
        <v>0</v>
      </c>
      <c r="O1015" s="3">
        <v>0</v>
      </c>
      <c r="P1015" s="18"/>
      <c r="Q1015" s="82">
        <f t="shared" si="21"/>
        <v>0</v>
      </c>
      <c r="R1015" s="14">
        <v>0</v>
      </c>
      <c r="S1015" s="15">
        <v>0</v>
      </c>
      <c r="T1015" s="16">
        <v>0</v>
      </c>
    </row>
    <row r="1016" spans="1:20" ht="16">
      <c r="A1016" s="80" t="s">
        <v>629</v>
      </c>
      <c r="B1016" s="81" t="s">
        <v>67</v>
      </c>
      <c r="C1016" s="18"/>
      <c r="D1016" s="21">
        <v>0</v>
      </c>
      <c r="E1016" s="21">
        <v>0</v>
      </c>
      <c r="F1016" s="21">
        <v>0</v>
      </c>
      <c r="G1016" s="21">
        <v>0</v>
      </c>
      <c r="H1016" s="21">
        <v>0</v>
      </c>
      <c r="I1016" s="21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18"/>
      <c r="Q1016" s="82">
        <f t="shared" si="21"/>
        <v>0</v>
      </c>
      <c r="R1016" s="14">
        <v>88333.34</v>
      </c>
      <c r="S1016" s="15">
        <v>13802.084374999999</v>
      </c>
      <c r="T1016" s="16">
        <v>1.4273961611338077E-3</v>
      </c>
    </row>
    <row r="1017" spans="1:20" ht="16">
      <c r="A1017" s="80" t="s">
        <v>632</v>
      </c>
      <c r="B1017" s="81" t="s">
        <v>67</v>
      </c>
      <c r="C1017" s="18"/>
      <c r="D1017" s="21">
        <v>0</v>
      </c>
      <c r="E1017" s="21">
        <v>0</v>
      </c>
      <c r="F1017" s="21">
        <v>0</v>
      </c>
      <c r="G1017" s="21">
        <v>0</v>
      </c>
      <c r="H1017" s="21">
        <v>0</v>
      </c>
      <c r="I1017" s="21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18"/>
      <c r="Q1017" s="82">
        <f t="shared" si="21"/>
        <v>0</v>
      </c>
      <c r="R1017" s="14">
        <v>0</v>
      </c>
      <c r="S1017" s="15">
        <v>0</v>
      </c>
      <c r="T1017" s="16">
        <v>0</v>
      </c>
    </row>
    <row r="1018" spans="1:20" ht="16" hidden="1">
      <c r="A1018" s="80" t="s">
        <v>636</v>
      </c>
      <c r="B1018" s="81" t="s">
        <v>66</v>
      </c>
      <c r="C1018" s="18"/>
      <c r="D1018" s="21">
        <v>0</v>
      </c>
      <c r="E1018" s="21">
        <v>0</v>
      </c>
      <c r="F1018" s="21">
        <v>0</v>
      </c>
      <c r="G1018" s="21">
        <v>0</v>
      </c>
      <c r="H1018" s="21">
        <v>0</v>
      </c>
      <c r="I1018" s="21">
        <v>0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0</v>
      </c>
      <c r="P1018" s="18"/>
      <c r="Q1018" s="82">
        <f t="shared" si="21"/>
        <v>0</v>
      </c>
      <c r="R1018" s="14">
        <v>0</v>
      </c>
      <c r="S1018" s="15">
        <v>0</v>
      </c>
      <c r="T1018" s="16">
        <v>0</v>
      </c>
    </row>
    <row r="1019" spans="1:20" ht="16" hidden="1">
      <c r="A1019" s="80" t="s">
        <v>638</v>
      </c>
      <c r="B1019" s="81" t="s">
        <v>62</v>
      </c>
      <c r="C1019" s="18"/>
      <c r="D1019" s="21">
        <v>0</v>
      </c>
      <c r="E1019" s="21">
        <v>0</v>
      </c>
      <c r="F1019" s="21">
        <v>0</v>
      </c>
      <c r="G1019" s="21">
        <v>0</v>
      </c>
      <c r="H1019" s="21">
        <v>0</v>
      </c>
      <c r="I1019" s="21">
        <v>0</v>
      </c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>
        <v>0</v>
      </c>
      <c r="P1019" s="18"/>
      <c r="Q1019" s="82">
        <f t="shared" si="21"/>
        <v>0</v>
      </c>
      <c r="R1019" s="14">
        <v>0</v>
      </c>
      <c r="S1019" s="15">
        <v>0</v>
      </c>
      <c r="T1019" s="16">
        <v>0</v>
      </c>
    </row>
    <row r="1020" spans="1:20" ht="16" hidden="1">
      <c r="A1020" s="80" t="s">
        <v>639</v>
      </c>
      <c r="B1020" s="81" t="s">
        <v>78</v>
      </c>
      <c r="C1020" s="18"/>
      <c r="D1020" s="21">
        <v>0</v>
      </c>
      <c r="E1020" s="21">
        <v>0</v>
      </c>
      <c r="F1020" s="21">
        <v>0</v>
      </c>
      <c r="G1020" s="21">
        <v>0</v>
      </c>
      <c r="H1020" s="21">
        <v>0</v>
      </c>
      <c r="I1020" s="21">
        <v>0</v>
      </c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>
        <v>0</v>
      </c>
      <c r="P1020" s="18"/>
      <c r="Q1020" s="82">
        <f t="shared" si="21"/>
        <v>0</v>
      </c>
      <c r="R1020" s="14">
        <v>0</v>
      </c>
      <c r="S1020" s="15">
        <v>0</v>
      </c>
      <c r="T1020" s="16">
        <v>1.9825902699183653E-7</v>
      </c>
    </row>
    <row r="1021" spans="1:20" ht="16" hidden="1">
      <c r="A1021" s="80" t="s">
        <v>642</v>
      </c>
      <c r="B1021" s="81" t="s">
        <v>78</v>
      </c>
      <c r="C1021" s="18"/>
      <c r="D1021" s="21">
        <v>0</v>
      </c>
      <c r="E1021" s="21">
        <v>0</v>
      </c>
      <c r="F1021" s="21">
        <v>8620.69</v>
      </c>
      <c r="G1021" s="21">
        <v>17241.38</v>
      </c>
      <c r="H1021" s="21">
        <v>0</v>
      </c>
      <c r="I1021" s="21">
        <v>0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18"/>
      <c r="Q1021" s="82">
        <f t="shared" si="21"/>
        <v>0</v>
      </c>
      <c r="R1021" s="14">
        <v>-13920</v>
      </c>
      <c r="S1021" s="15">
        <v>-1</v>
      </c>
      <c r="T1021" s="16">
        <v>0</v>
      </c>
    </row>
    <row r="1022" spans="1:20" ht="16" hidden="1">
      <c r="A1022" s="80" t="s">
        <v>643</v>
      </c>
      <c r="B1022" s="81" t="s">
        <v>76</v>
      </c>
      <c r="C1022" s="18"/>
      <c r="D1022" s="21">
        <v>19200</v>
      </c>
      <c r="E1022" s="21">
        <v>19200</v>
      </c>
      <c r="F1022" s="21">
        <v>9600</v>
      </c>
      <c r="G1022" s="21">
        <v>9600</v>
      </c>
      <c r="H1022" s="21">
        <v>0</v>
      </c>
      <c r="I1022" s="21">
        <v>0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0</v>
      </c>
      <c r="P1022" s="18"/>
      <c r="Q1022" s="82">
        <f t="shared" si="21"/>
        <v>0</v>
      </c>
      <c r="R1022" s="14">
        <v>0</v>
      </c>
      <c r="S1022" s="15">
        <v>0</v>
      </c>
      <c r="T1022" s="16">
        <v>0</v>
      </c>
    </row>
    <row r="1023" spans="1:20" ht="16" hidden="1">
      <c r="A1023" s="80" t="s">
        <v>644</v>
      </c>
      <c r="B1023" s="81" t="s">
        <v>145</v>
      </c>
      <c r="C1023" s="18"/>
      <c r="D1023" s="21">
        <v>0</v>
      </c>
      <c r="E1023" s="21">
        <v>0</v>
      </c>
      <c r="F1023" s="21">
        <v>0</v>
      </c>
      <c r="G1023" s="21">
        <v>0</v>
      </c>
      <c r="H1023" s="21">
        <v>0</v>
      </c>
      <c r="I1023" s="21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18"/>
      <c r="Q1023" s="82">
        <f t="shared" si="21"/>
        <v>0</v>
      </c>
      <c r="R1023" s="14">
        <v>0</v>
      </c>
      <c r="S1023" s="15">
        <v>0</v>
      </c>
      <c r="T1023" s="16">
        <v>6.7487114259542609E-4</v>
      </c>
    </row>
    <row r="1024" spans="1:20" ht="16" hidden="1">
      <c r="A1024" s="80" t="s">
        <v>645</v>
      </c>
      <c r="B1024" s="81" t="s">
        <v>62</v>
      </c>
      <c r="C1024" s="18"/>
      <c r="D1024" s="21">
        <v>0</v>
      </c>
      <c r="E1024" s="21">
        <v>0</v>
      </c>
      <c r="F1024" s="21">
        <v>0</v>
      </c>
      <c r="G1024" s="21">
        <v>0</v>
      </c>
      <c r="H1024" s="21">
        <v>0</v>
      </c>
      <c r="I1024" s="21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18"/>
      <c r="Q1024" s="82">
        <f t="shared" si="21"/>
        <v>0</v>
      </c>
      <c r="R1024" s="14">
        <v>0</v>
      </c>
      <c r="S1024" s="15">
        <v>0</v>
      </c>
      <c r="T1024" s="16">
        <v>0</v>
      </c>
    </row>
    <row r="1025" spans="1:20" ht="16" hidden="1">
      <c r="A1025" s="80" t="s">
        <v>646</v>
      </c>
      <c r="B1025" s="81" t="s">
        <v>78</v>
      </c>
      <c r="C1025" s="18"/>
      <c r="D1025" s="21">
        <v>0</v>
      </c>
      <c r="E1025" s="21">
        <v>0</v>
      </c>
      <c r="F1025" s="21">
        <v>0</v>
      </c>
      <c r="G1025" s="21">
        <v>0</v>
      </c>
      <c r="H1025" s="21">
        <v>0</v>
      </c>
      <c r="I1025" s="21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18"/>
      <c r="Q1025" s="82">
        <f t="shared" si="21"/>
        <v>0</v>
      </c>
      <c r="R1025" s="14">
        <v>0</v>
      </c>
      <c r="S1025" s="15">
        <v>0</v>
      </c>
      <c r="T1025" s="16">
        <v>0</v>
      </c>
    </row>
    <row r="1026" spans="1:20" ht="16" hidden="1">
      <c r="A1026" s="80" t="s">
        <v>647</v>
      </c>
      <c r="B1026" s="81" t="s">
        <v>145</v>
      </c>
      <c r="C1026" s="18"/>
      <c r="D1026" s="21">
        <v>12127.1</v>
      </c>
      <c r="E1026" s="21">
        <v>0</v>
      </c>
      <c r="F1026" s="21">
        <v>12127.1</v>
      </c>
      <c r="G1026" s="21">
        <v>12127.1</v>
      </c>
      <c r="H1026" s="21">
        <v>0</v>
      </c>
      <c r="I1026" s="21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18"/>
      <c r="Q1026" s="82">
        <f t="shared" si="21"/>
        <v>0</v>
      </c>
      <c r="R1026" s="14">
        <v>0</v>
      </c>
      <c r="S1026" s="15">
        <v>0</v>
      </c>
      <c r="T1026" s="16">
        <v>8.6862337188485327E-5</v>
      </c>
    </row>
    <row r="1027" spans="1:20" ht="16" hidden="1">
      <c r="A1027" s="80" t="s">
        <v>649</v>
      </c>
      <c r="B1027" s="81" t="s">
        <v>76</v>
      </c>
      <c r="C1027" s="18"/>
      <c r="D1027" s="21">
        <v>0</v>
      </c>
      <c r="E1027" s="21">
        <v>0</v>
      </c>
      <c r="F1027" s="21">
        <v>0</v>
      </c>
      <c r="G1027" s="21">
        <v>0</v>
      </c>
      <c r="H1027" s="21">
        <v>0</v>
      </c>
      <c r="I1027" s="21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18"/>
      <c r="Q1027" s="82">
        <f t="shared" si="21"/>
        <v>0</v>
      </c>
      <c r="R1027" s="14">
        <v>0</v>
      </c>
      <c r="S1027" s="15">
        <v>0</v>
      </c>
      <c r="T1027" s="16">
        <v>0</v>
      </c>
    </row>
    <row r="1028" spans="1:20" ht="16" hidden="1">
      <c r="A1028" s="80" t="s">
        <v>650</v>
      </c>
      <c r="B1028" s="81" t="s">
        <v>66</v>
      </c>
      <c r="C1028" s="18"/>
      <c r="D1028" s="21">
        <v>0</v>
      </c>
      <c r="E1028" s="21">
        <v>0</v>
      </c>
      <c r="F1028" s="21">
        <v>0</v>
      </c>
      <c r="G1028" s="21">
        <v>0</v>
      </c>
      <c r="H1028" s="21">
        <v>0</v>
      </c>
      <c r="I1028" s="21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18"/>
      <c r="Q1028" s="82">
        <f t="shared" si="21"/>
        <v>0</v>
      </c>
      <c r="R1028" s="14">
        <v>0</v>
      </c>
      <c r="S1028" s="15">
        <v>0</v>
      </c>
      <c r="T1028" s="16">
        <v>-1.9228055592525311E-8</v>
      </c>
    </row>
    <row r="1029" spans="1:20" ht="16" hidden="1">
      <c r="A1029" s="80" t="s">
        <v>655</v>
      </c>
      <c r="B1029" s="81" t="s">
        <v>62</v>
      </c>
      <c r="C1029" s="18"/>
      <c r="D1029" s="21">
        <v>0</v>
      </c>
      <c r="E1029" s="21">
        <v>0</v>
      </c>
      <c r="F1029" s="21">
        <v>0</v>
      </c>
      <c r="G1029" s="21">
        <v>0</v>
      </c>
      <c r="H1029" s="21">
        <v>0</v>
      </c>
      <c r="I1029" s="21">
        <v>0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0</v>
      </c>
      <c r="P1029" s="18"/>
      <c r="Q1029" s="82">
        <f t="shared" si="21"/>
        <v>0</v>
      </c>
      <c r="R1029" s="14">
        <v>0</v>
      </c>
      <c r="S1029" s="15">
        <v>0</v>
      </c>
      <c r="T1029" s="16">
        <v>3.2316059819370279E-10</v>
      </c>
    </row>
    <row r="1030" spans="1:20" ht="16" hidden="1">
      <c r="A1030" s="80" t="s">
        <v>658</v>
      </c>
      <c r="B1030" s="81" t="s">
        <v>62</v>
      </c>
      <c r="C1030" s="18"/>
      <c r="D1030" s="21">
        <v>0</v>
      </c>
      <c r="E1030" s="21">
        <v>0</v>
      </c>
      <c r="F1030" s="21">
        <v>0</v>
      </c>
      <c r="G1030" s="21">
        <v>0</v>
      </c>
      <c r="H1030" s="21">
        <v>0</v>
      </c>
      <c r="I1030" s="21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18"/>
      <c r="Q1030" s="82">
        <f t="shared" si="21"/>
        <v>0</v>
      </c>
      <c r="R1030" s="14">
        <v>0</v>
      </c>
      <c r="S1030" s="15">
        <v>0</v>
      </c>
      <c r="T1030" s="16">
        <v>0</v>
      </c>
    </row>
    <row r="1031" spans="1:20" ht="16" hidden="1">
      <c r="A1031" s="80" t="s">
        <v>660</v>
      </c>
      <c r="B1031" s="81" t="s">
        <v>78</v>
      </c>
      <c r="C1031" s="18"/>
      <c r="D1031" s="21">
        <v>0</v>
      </c>
      <c r="E1031" s="21">
        <v>0</v>
      </c>
      <c r="F1031" s="21">
        <v>0</v>
      </c>
      <c r="G1031" s="21">
        <v>0</v>
      </c>
      <c r="H1031" s="21">
        <v>0</v>
      </c>
      <c r="I1031" s="21">
        <v>0</v>
      </c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>
        <v>0</v>
      </c>
      <c r="P1031" s="18"/>
      <c r="Q1031" s="82">
        <f t="shared" si="21"/>
        <v>0</v>
      </c>
      <c r="R1031" s="14">
        <v>0</v>
      </c>
      <c r="S1031" s="15">
        <v>0</v>
      </c>
      <c r="T1031" s="16">
        <v>-8.2405952539394195E-9</v>
      </c>
    </row>
    <row r="1032" spans="1:20" ht="16" hidden="1">
      <c r="A1032" s="80" t="s">
        <v>661</v>
      </c>
      <c r="B1032" s="81" t="s">
        <v>66</v>
      </c>
      <c r="C1032" s="18"/>
      <c r="D1032" s="21">
        <v>0</v>
      </c>
      <c r="E1032" s="21">
        <v>0</v>
      </c>
      <c r="F1032" s="21">
        <v>0</v>
      </c>
      <c r="G1032" s="21">
        <v>0</v>
      </c>
      <c r="H1032" s="21">
        <v>0</v>
      </c>
      <c r="I1032" s="21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18"/>
      <c r="Q1032" s="82">
        <f t="shared" si="21"/>
        <v>0</v>
      </c>
      <c r="R1032" s="14">
        <v>0</v>
      </c>
      <c r="S1032" s="15">
        <v>0</v>
      </c>
      <c r="T1032" s="16">
        <v>5.6059427619732405E-26</v>
      </c>
    </row>
    <row r="1033" spans="1:20" ht="16" hidden="1">
      <c r="A1033" s="80" t="s">
        <v>662</v>
      </c>
      <c r="B1033" s="81" t="s">
        <v>76</v>
      </c>
      <c r="C1033" s="18"/>
      <c r="D1033" s="21">
        <v>0</v>
      </c>
      <c r="E1033" s="21">
        <v>0</v>
      </c>
      <c r="F1033" s="21">
        <v>0</v>
      </c>
      <c r="G1033" s="21">
        <v>0</v>
      </c>
      <c r="H1033" s="21">
        <v>0</v>
      </c>
      <c r="I1033" s="21">
        <v>0</v>
      </c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>
        <v>0</v>
      </c>
      <c r="P1033" s="18"/>
      <c r="Q1033" s="82">
        <f t="shared" si="21"/>
        <v>0</v>
      </c>
      <c r="R1033" s="14">
        <v>0</v>
      </c>
      <c r="S1033" s="15">
        <v>0</v>
      </c>
      <c r="T1033" s="16">
        <v>2.7812456559474039E-3</v>
      </c>
    </row>
    <row r="1034" spans="1:20" ht="16" hidden="1">
      <c r="A1034" s="80" t="s">
        <v>665</v>
      </c>
      <c r="B1034" s="81" t="s">
        <v>85</v>
      </c>
      <c r="C1034" s="18"/>
      <c r="D1034" s="21">
        <v>0</v>
      </c>
      <c r="E1034" s="21">
        <v>0</v>
      </c>
      <c r="F1034" s="21">
        <v>1134</v>
      </c>
      <c r="G1034" s="21">
        <v>1134</v>
      </c>
      <c r="H1034" s="21">
        <v>0</v>
      </c>
      <c r="I1034" s="21">
        <v>0</v>
      </c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>
        <v>0</v>
      </c>
      <c r="P1034" s="18"/>
      <c r="Q1034" s="82">
        <f t="shared" si="21"/>
        <v>0</v>
      </c>
      <c r="R1034" s="14">
        <v>0</v>
      </c>
      <c r="S1034" s="15">
        <v>0</v>
      </c>
      <c r="T1034" s="16">
        <v>3.2639220417563965E-8</v>
      </c>
    </row>
    <row r="1035" spans="1:20" ht="16" hidden="1">
      <c r="A1035" s="80" t="s">
        <v>668</v>
      </c>
      <c r="B1035" s="81" t="s">
        <v>76</v>
      </c>
      <c r="C1035" s="18"/>
      <c r="D1035" s="21">
        <v>0</v>
      </c>
      <c r="E1035" s="21">
        <v>0</v>
      </c>
      <c r="F1035" s="21">
        <v>0</v>
      </c>
      <c r="G1035" s="21">
        <v>0</v>
      </c>
      <c r="H1035" s="21">
        <v>0</v>
      </c>
      <c r="I1035" s="21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18"/>
      <c r="Q1035" s="82">
        <f t="shared" si="21"/>
        <v>0</v>
      </c>
      <c r="R1035" s="14">
        <v>0</v>
      </c>
      <c r="S1035" s="15">
        <v>0</v>
      </c>
      <c r="T1035" s="16">
        <v>1.2926423927748108E-9</v>
      </c>
    </row>
    <row r="1036" spans="1:20" ht="16" hidden="1">
      <c r="A1036" s="80" t="s">
        <v>668</v>
      </c>
      <c r="B1036" s="81" t="s">
        <v>78</v>
      </c>
      <c r="C1036" s="18"/>
      <c r="D1036" s="21">
        <v>0</v>
      </c>
      <c r="E1036" s="21">
        <v>0</v>
      </c>
      <c r="F1036" s="21">
        <v>0</v>
      </c>
      <c r="G1036" s="21">
        <v>0</v>
      </c>
      <c r="H1036" s="21">
        <v>0</v>
      </c>
      <c r="I1036" s="21">
        <v>0</v>
      </c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>
        <v>0</v>
      </c>
      <c r="P1036" s="18"/>
      <c r="Q1036" s="82">
        <f t="shared" si="21"/>
        <v>0</v>
      </c>
      <c r="R1036" s="14">
        <v>2000.01</v>
      </c>
      <c r="S1036" s="15">
        <v>256.41153846153844</v>
      </c>
      <c r="T1036" s="16">
        <v>3.2442254032964903E-5</v>
      </c>
    </row>
    <row r="1037" spans="1:20" ht="16" hidden="1">
      <c r="A1037" s="80" t="s">
        <v>669</v>
      </c>
      <c r="B1037" s="81" t="s">
        <v>62</v>
      </c>
      <c r="C1037" s="18"/>
      <c r="D1037" s="21">
        <v>0</v>
      </c>
      <c r="E1037" s="21">
        <v>0</v>
      </c>
      <c r="F1037" s="21">
        <v>0</v>
      </c>
      <c r="G1037" s="21">
        <v>0</v>
      </c>
      <c r="H1037" s="21">
        <v>0</v>
      </c>
      <c r="I1037" s="21">
        <v>0</v>
      </c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>
        <v>0</v>
      </c>
      <c r="P1037" s="18"/>
      <c r="Q1037" s="82">
        <f t="shared" si="21"/>
        <v>0</v>
      </c>
      <c r="R1037" s="14">
        <v>1609.4599999999991</v>
      </c>
      <c r="S1037" s="15">
        <v>0.16234967529257954</v>
      </c>
      <c r="T1037" s="16">
        <v>1.8618897864930176E-4</v>
      </c>
    </row>
    <row r="1038" spans="1:20" ht="16" hidden="1">
      <c r="A1038" s="80" t="s">
        <v>670</v>
      </c>
      <c r="B1038" s="81" t="s">
        <v>66</v>
      </c>
      <c r="C1038" s="18"/>
      <c r="D1038" s="21">
        <v>0</v>
      </c>
      <c r="E1038" s="21">
        <v>0</v>
      </c>
      <c r="F1038" s="21">
        <v>0</v>
      </c>
      <c r="G1038" s="21">
        <v>0</v>
      </c>
      <c r="H1038" s="21">
        <v>0</v>
      </c>
      <c r="I1038" s="21">
        <v>0</v>
      </c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>
        <v>0</v>
      </c>
      <c r="P1038" s="18"/>
      <c r="Q1038" s="82">
        <f t="shared" si="21"/>
        <v>0</v>
      </c>
      <c r="R1038" s="14">
        <v>0</v>
      </c>
      <c r="S1038" s="15">
        <v>0</v>
      </c>
      <c r="T1038" s="16">
        <v>8.0790149548425657E-10</v>
      </c>
    </row>
    <row r="1039" spans="1:20" ht="16" hidden="1">
      <c r="A1039" s="80" t="s">
        <v>680</v>
      </c>
      <c r="B1039" s="81" t="s">
        <v>162</v>
      </c>
      <c r="C1039" s="18"/>
      <c r="D1039" s="21">
        <v>0</v>
      </c>
      <c r="E1039" s="21">
        <v>0</v>
      </c>
      <c r="F1039" s="21">
        <v>0</v>
      </c>
      <c r="G1039" s="21">
        <v>0</v>
      </c>
      <c r="H1039" s="21">
        <v>0</v>
      </c>
      <c r="I1039" s="21">
        <v>0</v>
      </c>
      <c r="J1039" s="3">
        <v>0</v>
      </c>
      <c r="K1039" s="3">
        <v>0</v>
      </c>
      <c r="L1039" s="3">
        <v>0</v>
      </c>
      <c r="M1039" s="3">
        <v>0</v>
      </c>
      <c r="N1039" s="3">
        <v>0</v>
      </c>
      <c r="O1039" s="3">
        <v>0</v>
      </c>
      <c r="P1039" s="18"/>
      <c r="Q1039" s="82">
        <f t="shared" ref="Q1039:Q1102" si="22">IFERROR(I1039/$I$4," ")</f>
        <v>0</v>
      </c>
      <c r="R1039" s="14">
        <v>0</v>
      </c>
      <c r="S1039" s="15">
        <v>0</v>
      </c>
      <c r="T1039" s="16">
        <v>5.5745865667640004E-4</v>
      </c>
    </row>
    <row r="1040" spans="1:20" ht="16" hidden="1">
      <c r="A1040" s="80" t="s">
        <v>686</v>
      </c>
      <c r="B1040" s="81" t="s">
        <v>62</v>
      </c>
      <c r="C1040" s="18"/>
      <c r="D1040" s="21">
        <v>0</v>
      </c>
      <c r="E1040" s="21">
        <v>0</v>
      </c>
      <c r="F1040" s="21">
        <v>0</v>
      </c>
      <c r="G1040" s="21">
        <v>0</v>
      </c>
      <c r="H1040" s="21">
        <v>0</v>
      </c>
      <c r="I1040" s="21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18"/>
      <c r="Q1040" s="82">
        <f t="shared" si="22"/>
        <v>0</v>
      </c>
      <c r="R1040" s="14">
        <v>0</v>
      </c>
      <c r="S1040" s="15">
        <v>0</v>
      </c>
      <c r="T1040" s="16">
        <v>5.9390608237322806E-3</v>
      </c>
    </row>
    <row r="1041" spans="1:20" ht="16" hidden="1">
      <c r="A1041" s="80" t="s">
        <v>690</v>
      </c>
      <c r="B1041" s="81" t="s">
        <v>66</v>
      </c>
      <c r="C1041" s="18"/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>
        <v>0</v>
      </c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>
        <v>0</v>
      </c>
      <c r="P1041" s="18"/>
      <c r="Q1041" s="82">
        <f t="shared" si="22"/>
        <v>0</v>
      </c>
      <c r="R1041" s="14">
        <v>0</v>
      </c>
      <c r="S1041" s="15">
        <v>0</v>
      </c>
      <c r="T1041" s="16">
        <v>0</v>
      </c>
    </row>
    <row r="1042" spans="1:20" ht="16" hidden="1">
      <c r="A1042" s="80" t="s">
        <v>693</v>
      </c>
      <c r="B1042" s="81" t="s">
        <v>76</v>
      </c>
      <c r="C1042" s="18"/>
      <c r="D1042" s="21">
        <v>0</v>
      </c>
      <c r="E1042" s="21">
        <v>0</v>
      </c>
      <c r="F1042" s="21">
        <v>0</v>
      </c>
      <c r="G1042" s="21">
        <v>0</v>
      </c>
      <c r="H1042" s="21">
        <v>0</v>
      </c>
      <c r="I1042" s="21">
        <v>0</v>
      </c>
      <c r="J1042" s="3">
        <v>0</v>
      </c>
      <c r="K1042" s="3">
        <v>0</v>
      </c>
      <c r="L1042" s="3">
        <v>0</v>
      </c>
      <c r="M1042" s="3">
        <v>0</v>
      </c>
      <c r="N1042" s="3">
        <v>0</v>
      </c>
      <c r="O1042" s="3">
        <v>0</v>
      </c>
      <c r="P1042" s="18"/>
      <c r="Q1042" s="82">
        <f t="shared" si="22"/>
        <v>0</v>
      </c>
      <c r="R1042" s="14">
        <v>0</v>
      </c>
      <c r="S1042" s="15">
        <v>0</v>
      </c>
      <c r="T1042" s="16">
        <v>-9.5332376467142274E-9</v>
      </c>
    </row>
    <row r="1043" spans="1:20" ht="16" hidden="1">
      <c r="A1043" s="80" t="s">
        <v>695</v>
      </c>
      <c r="B1043" s="81" t="s">
        <v>78</v>
      </c>
      <c r="C1043" s="18"/>
      <c r="D1043" s="21">
        <v>0</v>
      </c>
      <c r="E1043" s="21">
        <v>0</v>
      </c>
      <c r="F1043" s="21">
        <v>0</v>
      </c>
      <c r="G1043" s="21">
        <v>0</v>
      </c>
      <c r="H1043" s="21">
        <v>0</v>
      </c>
      <c r="I1043" s="21">
        <v>0</v>
      </c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>
        <v>0</v>
      </c>
      <c r="P1043" s="18"/>
      <c r="Q1043" s="82">
        <f t="shared" si="22"/>
        <v>0</v>
      </c>
      <c r="R1043" s="14">
        <v>0</v>
      </c>
      <c r="S1043" s="15">
        <v>0</v>
      </c>
      <c r="T1043" s="16">
        <v>-1.8229327763807668E-8</v>
      </c>
    </row>
    <row r="1044" spans="1:20" ht="16" hidden="1">
      <c r="A1044" s="80" t="s">
        <v>698</v>
      </c>
      <c r="B1044" s="81" t="s">
        <v>85</v>
      </c>
      <c r="C1044" s="18"/>
      <c r="D1044" s="21">
        <v>0</v>
      </c>
      <c r="E1044" s="21">
        <v>0</v>
      </c>
      <c r="F1044" s="21">
        <v>0</v>
      </c>
      <c r="G1044" s="21">
        <v>0</v>
      </c>
      <c r="H1044" s="21">
        <v>0</v>
      </c>
      <c r="I1044" s="21">
        <v>0</v>
      </c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>
        <v>0</v>
      </c>
      <c r="P1044" s="18"/>
      <c r="Q1044" s="82">
        <f t="shared" si="22"/>
        <v>0</v>
      </c>
      <c r="R1044" s="14">
        <v>0</v>
      </c>
      <c r="S1044" s="15">
        <v>0</v>
      </c>
      <c r="T1044" s="16">
        <v>0</v>
      </c>
    </row>
    <row r="1045" spans="1:20" ht="16" hidden="1">
      <c r="A1045" s="80" t="s">
        <v>699</v>
      </c>
      <c r="B1045" s="81" t="s">
        <v>66</v>
      </c>
      <c r="C1045" s="18"/>
      <c r="D1045" s="21">
        <v>0</v>
      </c>
      <c r="E1045" s="21">
        <v>0</v>
      </c>
      <c r="F1045" s="21">
        <v>0</v>
      </c>
      <c r="G1045" s="21">
        <v>0</v>
      </c>
      <c r="H1045" s="21">
        <v>0</v>
      </c>
      <c r="I1045" s="21">
        <v>0</v>
      </c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>
        <v>0</v>
      </c>
      <c r="P1045" s="18"/>
      <c r="Q1045" s="82">
        <f t="shared" si="22"/>
        <v>0</v>
      </c>
      <c r="R1045" s="14">
        <v>0</v>
      </c>
      <c r="S1045" s="15">
        <v>0</v>
      </c>
      <c r="T1045" s="16">
        <v>4.8474089729055386E-9</v>
      </c>
    </row>
    <row r="1046" spans="1:20" ht="16" hidden="1">
      <c r="A1046" s="80" t="s">
        <v>705</v>
      </c>
      <c r="B1046" s="81" t="s">
        <v>76</v>
      </c>
      <c r="C1046" s="18"/>
      <c r="D1046" s="21">
        <v>0</v>
      </c>
      <c r="E1046" s="21">
        <v>0</v>
      </c>
      <c r="F1046" s="21">
        <v>0</v>
      </c>
      <c r="G1046" s="21">
        <v>0</v>
      </c>
      <c r="H1046" s="21">
        <v>0</v>
      </c>
      <c r="I1046" s="21">
        <v>0</v>
      </c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>
        <v>0</v>
      </c>
      <c r="P1046" s="18"/>
      <c r="Q1046" s="82">
        <f t="shared" si="22"/>
        <v>0</v>
      </c>
      <c r="R1046" s="14">
        <v>0</v>
      </c>
      <c r="S1046" s="15">
        <v>0</v>
      </c>
      <c r="T1046" s="16">
        <v>0</v>
      </c>
    </row>
    <row r="1047" spans="1:20" ht="16" hidden="1">
      <c r="A1047" s="80" t="s">
        <v>706</v>
      </c>
      <c r="B1047" s="81" t="s">
        <v>85</v>
      </c>
      <c r="C1047" s="18"/>
      <c r="D1047" s="21">
        <v>4354.5600000000004</v>
      </c>
      <c r="E1047" s="21">
        <v>0</v>
      </c>
      <c r="F1047" s="21">
        <v>0</v>
      </c>
      <c r="G1047" s="21">
        <v>0</v>
      </c>
      <c r="H1047" s="21">
        <v>0</v>
      </c>
      <c r="I1047" s="21">
        <v>0</v>
      </c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>
        <v>0</v>
      </c>
      <c r="P1047" s="18"/>
      <c r="Q1047" s="82">
        <f t="shared" si="22"/>
        <v>0</v>
      </c>
      <c r="R1047" s="14">
        <v>0</v>
      </c>
      <c r="S1047" s="15">
        <v>0</v>
      </c>
      <c r="T1047" s="16">
        <v>5.3812832075454643E-4</v>
      </c>
    </row>
    <row r="1048" spans="1:20" ht="16" hidden="1">
      <c r="A1048" s="80" t="s">
        <v>707</v>
      </c>
      <c r="B1048" s="81" t="s">
        <v>78</v>
      </c>
      <c r="C1048" s="18"/>
      <c r="D1048" s="21">
        <v>0</v>
      </c>
      <c r="E1048" s="21">
        <v>0</v>
      </c>
      <c r="F1048" s="21">
        <v>0</v>
      </c>
      <c r="G1048" s="21">
        <v>0</v>
      </c>
      <c r="H1048" s="21">
        <v>0</v>
      </c>
      <c r="I1048" s="21">
        <v>0</v>
      </c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>
        <v>0</v>
      </c>
      <c r="P1048" s="18"/>
      <c r="Q1048" s="82">
        <f t="shared" si="22"/>
        <v>0</v>
      </c>
      <c r="R1048" s="14">
        <v>0</v>
      </c>
      <c r="S1048" s="15">
        <v>0</v>
      </c>
      <c r="T1048" s="16">
        <v>0</v>
      </c>
    </row>
    <row r="1049" spans="1:20" ht="16" hidden="1">
      <c r="A1049" s="80" t="s">
        <v>708</v>
      </c>
      <c r="B1049" s="81" t="s">
        <v>78</v>
      </c>
      <c r="C1049" s="18"/>
      <c r="D1049" s="21">
        <v>0</v>
      </c>
      <c r="E1049" s="21">
        <v>0</v>
      </c>
      <c r="F1049" s="21">
        <v>0</v>
      </c>
      <c r="G1049" s="21">
        <v>0</v>
      </c>
      <c r="H1049" s="21">
        <v>0</v>
      </c>
      <c r="I1049" s="21">
        <v>0</v>
      </c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>
        <v>0</v>
      </c>
      <c r="P1049" s="18"/>
      <c r="Q1049" s="82">
        <f t="shared" si="22"/>
        <v>0</v>
      </c>
      <c r="R1049" s="14">
        <v>0</v>
      </c>
      <c r="S1049" s="15">
        <v>0</v>
      </c>
      <c r="T1049" s="16">
        <v>0</v>
      </c>
    </row>
    <row r="1050" spans="1:20" ht="16" hidden="1">
      <c r="A1050" s="80" t="s">
        <v>713</v>
      </c>
      <c r="B1050" s="81" t="s">
        <v>145</v>
      </c>
      <c r="C1050" s="18"/>
      <c r="D1050" s="21">
        <v>0</v>
      </c>
      <c r="E1050" s="21">
        <v>0</v>
      </c>
      <c r="F1050" s="21">
        <v>0</v>
      </c>
      <c r="G1050" s="21">
        <v>0</v>
      </c>
      <c r="H1050" s="21">
        <v>0</v>
      </c>
      <c r="I1050" s="21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18"/>
      <c r="Q1050" s="82">
        <f t="shared" si="22"/>
        <v>0</v>
      </c>
      <c r="R1050" s="14">
        <v>0</v>
      </c>
      <c r="S1050" s="15">
        <v>0</v>
      </c>
      <c r="T1050" s="16">
        <v>0</v>
      </c>
    </row>
    <row r="1051" spans="1:20" ht="16">
      <c r="A1051" s="80" t="s">
        <v>716</v>
      </c>
      <c r="B1051" s="81" t="s">
        <v>67</v>
      </c>
      <c r="C1051" s="18"/>
      <c r="D1051" s="21">
        <v>0</v>
      </c>
      <c r="E1051" s="21">
        <v>0</v>
      </c>
      <c r="F1051" s="21">
        <v>0</v>
      </c>
      <c r="G1051" s="21">
        <v>0</v>
      </c>
      <c r="H1051" s="21">
        <v>0</v>
      </c>
      <c r="I1051" s="21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18"/>
      <c r="Q1051" s="82">
        <f t="shared" si="22"/>
        <v>0</v>
      </c>
      <c r="R1051" s="14">
        <v>0</v>
      </c>
      <c r="S1051" s="15">
        <v>0</v>
      </c>
      <c r="T1051" s="16">
        <v>1.3583821453638598E-3</v>
      </c>
    </row>
    <row r="1052" spans="1:20" ht="16" hidden="1">
      <c r="A1052" s="80" t="s">
        <v>716</v>
      </c>
      <c r="B1052" s="81" t="s">
        <v>62</v>
      </c>
      <c r="C1052" s="18"/>
      <c r="D1052" s="21">
        <v>0</v>
      </c>
      <c r="E1052" s="21">
        <v>0</v>
      </c>
      <c r="F1052" s="21">
        <v>0</v>
      </c>
      <c r="G1052" s="21">
        <v>0</v>
      </c>
      <c r="H1052" s="21">
        <v>0</v>
      </c>
      <c r="I1052" s="21">
        <v>0</v>
      </c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>
        <v>0</v>
      </c>
      <c r="P1052" s="18"/>
      <c r="Q1052" s="82">
        <f t="shared" si="22"/>
        <v>0</v>
      </c>
      <c r="R1052" s="14">
        <v>0</v>
      </c>
      <c r="S1052" s="15">
        <v>0</v>
      </c>
      <c r="T1052" s="16">
        <v>-3.231605981937029E-10</v>
      </c>
    </row>
    <row r="1053" spans="1:20" ht="16" hidden="1">
      <c r="A1053" s="80" t="s">
        <v>718</v>
      </c>
      <c r="B1053" s="81" t="s">
        <v>85</v>
      </c>
      <c r="C1053" s="18"/>
      <c r="D1053" s="21">
        <v>0</v>
      </c>
      <c r="E1053" s="21">
        <v>0</v>
      </c>
      <c r="F1053" s="21">
        <v>0</v>
      </c>
      <c r="G1053" s="21">
        <v>0</v>
      </c>
      <c r="H1053" s="21">
        <v>0</v>
      </c>
      <c r="I1053" s="21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18"/>
      <c r="Q1053" s="82">
        <f t="shared" si="22"/>
        <v>0</v>
      </c>
      <c r="R1053" s="14">
        <v>0</v>
      </c>
      <c r="S1053" s="15">
        <v>0</v>
      </c>
      <c r="T1053" s="16">
        <v>0</v>
      </c>
    </row>
    <row r="1054" spans="1:20" ht="16" hidden="1">
      <c r="A1054" s="80" t="s">
        <v>719</v>
      </c>
      <c r="B1054" s="81" t="s">
        <v>78</v>
      </c>
      <c r="C1054" s="18"/>
      <c r="D1054" s="21">
        <v>0</v>
      </c>
      <c r="E1054" s="21">
        <v>0</v>
      </c>
      <c r="F1054" s="21">
        <v>0</v>
      </c>
      <c r="G1054" s="21">
        <v>0</v>
      </c>
      <c r="H1054" s="21">
        <v>0</v>
      </c>
      <c r="I1054" s="21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18"/>
      <c r="Q1054" s="82">
        <f t="shared" si="22"/>
        <v>0</v>
      </c>
      <c r="R1054" s="14">
        <v>0</v>
      </c>
      <c r="S1054" s="15">
        <v>0</v>
      </c>
      <c r="T1054" s="16">
        <v>0</v>
      </c>
    </row>
    <row r="1055" spans="1:20" ht="16" hidden="1">
      <c r="A1055" s="80" t="s">
        <v>720</v>
      </c>
      <c r="B1055" s="81" t="s">
        <v>85</v>
      </c>
      <c r="C1055" s="18"/>
      <c r="D1055" s="21">
        <v>0</v>
      </c>
      <c r="E1055" s="21">
        <v>0</v>
      </c>
      <c r="F1055" s="21">
        <v>0</v>
      </c>
      <c r="G1055" s="21">
        <v>0</v>
      </c>
      <c r="H1055" s="21">
        <v>0</v>
      </c>
      <c r="I1055" s="21">
        <v>0</v>
      </c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>
        <v>0</v>
      </c>
      <c r="P1055" s="18"/>
      <c r="Q1055" s="82">
        <f t="shared" si="22"/>
        <v>0</v>
      </c>
      <c r="R1055" s="14">
        <v>0</v>
      </c>
      <c r="S1055" s="15">
        <v>0</v>
      </c>
      <c r="T1055" s="16">
        <v>0</v>
      </c>
    </row>
    <row r="1056" spans="1:20" ht="16" hidden="1">
      <c r="A1056" s="80" t="s">
        <v>721</v>
      </c>
      <c r="B1056" s="81" t="s">
        <v>85</v>
      </c>
      <c r="C1056" s="18"/>
      <c r="D1056" s="21">
        <v>0</v>
      </c>
      <c r="E1056" s="21">
        <v>0</v>
      </c>
      <c r="F1056" s="21">
        <v>0</v>
      </c>
      <c r="G1056" s="21">
        <v>0</v>
      </c>
      <c r="H1056" s="21">
        <v>0</v>
      </c>
      <c r="I1056" s="21">
        <v>0</v>
      </c>
      <c r="J1056" s="3">
        <v>0</v>
      </c>
      <c r="K1056" s="3">
        <v>0</v>
      </c>
      <c r="L1056" s="3">
        <v>0</v>
      </c>
      <c r="M1056" s="3">
        <v>0</v>
      </c>
      <c r="N1056" s="3">
        <v>0</v>
      </c>
      <c r="O1056" s="3">
        <v>0</v>
      </c>
      <c r="P1056" s="18"/>
      <c r="Q1056" s="82">
        <f t="shared" si="22"/>
        <v>0</v>
      </c>
      <c r="R1056" s="14">
        <v>1.000000000000012E-2</v>
      </c>
      <c r="S1056" s="15">
        <v>1.1111111111111245E-2</v>
      </c>
      <c r="T1056" s="16">
        <v>1.4703807217813469E-8</v>
      </c>
    </row>
    <row r="1057" spans="1:20" ht="16" hidden="1">
      <c r="A1057" s="80" t="s">
        <v>722</v>
      </c>
      <c r="B1057" s="81" t="s">
        <v>60</v>
      </c>
      <c r="C1057" s="18"/>
      <c r="D1057" s="21">
        <v>0</v>
      </c>
      <c r="E1057" s="21">
        <v>0</v>
      </c>
      <c r="F1057" s="21">
        <v>0</v>
      </c>
      <c r="G1057" s="21">
        <v>0</v>
      </c>
      <c r="H1057" s="21">
        <v>0</v>
      </c>
      <c r="I1057" s="21">
        <v>0</v>
      </c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>
        <v>0</v>
      </c>
      <c r="P1057" s="18"/>
      <c r="Q1057" s="82">
        <f t="shared" si="22"/>
        <v>0</v>
      </c>
      <c r="R1057" s="14">
        <v>0</v>
      </c>
      <c r="S1057" s="15">
        <v>0</v>
      </c>
      <c r="T1057" s="16">
        <v>0</v>
      </c>
    </row>
    <row r="1058" spans="1:20" ht="16" hidden="1">
      <c r="A1058" s="80" t="s">
        <v>725</v>
      </c>
      <c r="B1058" s="81" t="s">
        <v>60</v>
      </c>
      <c r="C1058" s="18"/>
      <c r="D1058" s="21">
        <v>0</v>
      </c>
      <c r="E1058" s="21">
        <v>0</v>
      </c>
      <c r="F1058" s="21">
        <v>0</v>
      </c>
      <c r="G1058" s="21">
        <v>0</v>
      </c>
      <c r="H1058" s="21">
        <v>0</v>
      </c>
      <c r="I1058" s="21">
        <v>0</v>
      </c>
      <c r="J1058" s="3">
        <v>0</v>
      </c>
      <c r="K1058" s="3">
        <v>0</v>
      </c>
      <c r="L1058" s="3">
        <v>0</v>
      </c>
      <c r="M1058" s="3">
        <v>0</v>
      </c>
      <c r="N1058" s="3">
        <v>0</v>
      </c>
      <c r="O1058" s="3">
        <v>0</v>
      </c>
      <c r="P1058" s="18"/>
      <c r="Q1058" s="82">
        <f t="shared" si="22"/>
        <v>0</v>
      </c>
      <c r="R1058" s="14">
        <v>27835.489999999991</v>
      </c>
      <c r="S1058" s="15">
        <v>0.19047620676887209</v>
      </c>
      <c r="T1058" s="16">
        <v>2.8110415478417592E-3</v>
      </c>
    </row>
    <row r="1059" spans="1:20" ht="16" hidden="1">
      <c r="A1059" s="80" t="s">
        <v>726</v>
      </c>
      <c r="B1059" s="81" t="s">
        <v>76</v>
      </c>
      <c r="C1059" s="18"/>
      <c r="D1059" s="21">
        <v>0</v>
      </c>
      <c r="E1059" s="21">
        <v>0</v>
      </c>
      <c r="F1059" s="21">
        <v>0</v>
      </c>
      <c r="G1059" s="21">
        <v>0</v>
      </c>
      <c r="H1059" s="21">
        <v>0</v>
      </c>
      <c r="I1059" s="21">
        <v>0</v>
      </c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>
        <v>0</v>
      </c>
      <c r="P1059" s="18"/>
      <c r="Q1059" s="82">
        <f t="shared" si="22"/>
        <v>0</v>
      </c>
      <c r="R1059" s="14">
        <v>0.03</v>
      </c>
      <c r="S1059" s="15">
        <v>0</v>
      </c>
      <c r="T1059" s="16">
        <v>4.8474089729055388E-10</v>
      </c>
    </row>
    <row r="1060" spans="1:20" ht="16" hidden="1">
      <c r="A1060" s="80" t="s">
        <v>729</v>
      </c>
      <c r="B1060" s="81" t="s">
        <v>66</v>
      </c>
      <c r="C1060" s="18"/>
      <c r="D1060" s="21">
        <v>0</v>
      </c>
      <c r="E1060" s="21">
        <v>0</v>
      </c>
      <c r="F1060" s="21">
        <v>0</v>
      </c>
      <c r="G1060" s="21">
        <v>0</v>
      </c>
      <c r="H1060" s="21">
        <v>0</v>
      </c>
      <c r="I1060" s="21">
        <v>0</v>
      </c>
      <c r="J1060" s="3">
        <v>0</v>
      </c>
      <c r="K1060" s="3">
        <v>0</v>
      </c>
      <c r="L1060" s="3">
        <v>0</v>
      </c>
      <c r="M1060" s="3">
        <v>0</v>
      </c>
      <c r="N1060" s="3">
        <v>0</v>
      </c>
      <c r="O1060" s="3">
        <v>0</v>
      </c>
      <c r="P1060" s="18"/>
      <c r="Q1060" s="82">
        <f t="shared" si="22"/>
        <v>0</v>
      </c>
      <c r="R1060" s="14">
        <v>0</v>
      </c>
      <c r="S1060" s="15">
        <v>0</v>
      </c>
      <c r="T1060" s="16">
        <v>0</v>
      </c>
    </row>
    <row r="1061" spans="1:20" ht="16" hidden="1">
      <c r="A1061" s="80" t="s">
        <v>731</v>
      </c>
      <c r="B1061" s="81" t="s">
        <v>85</v>
      </c>
      <c r="C1061" s="18"/>
      <c r="D1061" s="21">
        <v>0</v>
      </c>
      <c r="E1061" s="21">
        <v>0</v>
      </c>
      <c r="F1061" s="21">
        <v>0</v>
      </c>
      <c r="G1061" s="21">
        <v>0</v>
      </c>
      <c r="H1061" s="21">
        <v>0</v>
      </c>
      <c r="I1061" s="21">
        <v>0</v>
      </c>
      <c r="J1061" s="3">
        <v>0</v>
      </c>
      <c r="K1061" s="3">
        <v>0</v>
      </c>
      <c r="L1061" s="3">
        <v>0</v>
      </c>
      <c r="M1061" s="3">
        <v>0</v>
      </c>
      <c r="N1061" s="3">
        <v>0</v>
      </c>
      <c r="O1061" s="3">
        <v>0</v>
      </c>
      <c r="P1061" s="18"/>
      <c r="Q1061" s="82">
        <f t="shared" si="22"/>
        <v>0</v>
      </c>
      <c r="R1061" s="14">
        <v>-48631.86</v>
      </c>
      <c r="S1061" s="15">
        <v>-1</v>
      </c>
      <c r="T1061" s="16">
        <v>0</v>
      </c>
    </row>
    <row r="1062" spans="1:20" ht="16" hidden="1">
      <c r="A1062" s="80" t="s">
        <v>733</v>
      </c>
      <c r="B1062" s="81" t="s">
        <v>62</v>
      </c>
      <c r="C1062" s="18"/>
      <c r="D1062" s="21">
        <v>2832</v>
      </c>
      <c r="E1062" s="21">
        <v>2832</v>
      </c>
      <c r="F1062" s="21">
        <v>21119.46</v>
      </c>
      <c r="G1062" s="21">
        <v>39406.92</v>
      </c>
      <c r="H1062" s="21">
        <v>54862.38</v>
      </c>
      <c r="I1062" s="21">
        <v>0</v>
      </c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>
        <v>0</v>
      </c>
      <c r="P1062" s="18"/>
      <c r="Q1062" s="82">
        <f t="shared" si="22"/>
        <v>0</v>
      </c>
      <c r="R1062" s="14">
        <v>0</v>
      </c>
      <c r="S1062" s="15">
        <v>0</v>
      </c>
      <c r="T1062" s="16">
        <v>9.371657347617376E-6</v>
      </c>
    </row>
    <row r="1063" spans="1:20" ht="16" hidden="1">
      <c r="A1063" s="80" t="s">
        <v>735</v>
      </c>
      <c r="B1063" s="81" t="s">
        <v>78</v>
      </c>
      <c r="C1063" s="18"/>
      <c r="D1063" s="21">
        <v>0</v>
      </c>
      <c r="E1063" s="21">
        <v>0</v>
      </c>
      <c r="F1063" s="21">
        <v>0</v>
      </c>
      <c r="G1063" s="21">
        <v>0</v>
      </c>
      <c r="H1063" s="21">
        <v>0</v>
      </c>
      <c r="I1063" s="21">
        <v>0</v>
      </c>
      <c r="J1063" s="3">
        <v>0</v>
      </c>
      <c r="K1063" s="3">
        <v>0</v>
      </c>
      <c r="L1063" s="3">
        <v>0</v>
      </c>
      <c r="M1063" s="3">
        <v>0</v>
      </c>
      <c r="N1063" s="3">
        <v>0</v>
      </c>
      <c r="O1063" s="3">
        <v>0</v>
      </c>
      <c r="P1063" s="18"/>
      <c r="Q1063" s="82">
        <f t="shared" si="22"/>
        <v>0</v>
      </c>
      <c r="R1063" s="14">
        <v>0</v>
      </c>
      <c r="S1063" s="15">
        <v>0</v>
      </c>
      <c r="T1063" s="16">
        <v>0</v>
      </c>
    </row>
    <row r="1064" spans="1:20" ht="16" hidden="1">
      <c r="A1064" s="80" t="s">
        <v>736</v>
      </c>
      <c r="B1064" s="81" t="s">
        <v>62</v>
      </c>
      <c r="C1064" s="18"/>
      <c r="D1064" s="21">
        <v>0</v>
      </c>
      <c r="E1064" s="21">
        <v>0</v>
      </c>
      <c r="F1064" s="21">
        <v>0</v>
      </c>
      <c r="G1064" s="21">
        <v>0</v>
      </c>
      <c r="H1064" s="21">
        <v>0</v>
      </c>
      <c r="I1064" s="21">
        <v>0</v>
      </c>
      <c r="J1064" s="3">
        <v>0</v>
      </c>
      <c r="K1064" s="3">
        <v>0</v>
      </c>
      <c r="L1064" s="3">
        <v>0</v>
      </c>
      <c r="M1064" s="3">
        <v>0</v>
      </c>
      <c r="N1064" s="3">
        <v>0</v>
      </c>
      <c r="O1064" s="3">
        <v>0</v>
      </c>
      <c r="P1064" s="18"/>
      <c r="Q1064" s="82">
        <f t="shared" si="22"/>
        <v>0</v>
      </c>
      <c r="R1064" s="14">
        <v>0</v>
      </c>
      <c r="S1064" s="15">
        <v>0</v>
      </c>
      <c r="T1064" s="16">
        <v>0</v>
      </c>
    </row>
    <row r="1065" spans="1:20" ht="16" hidden="1">
      <c r="A1065" s="80" t="s">
        <v>738</v>
      </c>
      <c r="B1065" s="81" t="s">
        <v>85</v>
      </c>
      <c r="C1065" s="18"/>
      <c r="D1065" s="21">
        <v>0</v>
      </c>
      <c r="E1065" s="21">
        <v>0</v>
      </c>
      <c r="F1065" s="21">
        <v>0</v>
      </c>
      <c r="G1065" s="21">
        <v>0</v>
      </c>
      <c r="H1065" s="21">
        <v>0</v>
      </c>
      <c r="I1065" s="21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18"/>
      <c r="Q1065" s="82">
        <f t="shared" si="22"/>
        <v>0</v>
      </c>
      <c r="R1065" s="14">
        <v>0</v>
      </c>
      <c r="S1065" s="15">
        <v>0</v>
      </c>
      <c r="T1065" s="16">
        <v>-1.1536833355515183E-7</v>
      </c>
    </row>
    <row r="1066" spans="1:20" ht="16" hidden="1">
      <c r="A1066" s="80" t="s">
        <v>741</v>
      </c>
      <c r="B1066" s="81" t="s">
        <v>78</v>
      </c>
      <c r="C1066" s="18"/>
      <c r="D1066" s="21">
        <v>0</v>
      </c>
      <c r="E1066" s="21">
        <v>0</v>
      </c>
      <c r="F1066" s="21">
        <v>0</v>
      </c>
      <c r="G1066" s="21">
        <v>0</v>
      </c>
      <c r="H1066" s="21">
        <v>0</v>
      </c>
      <c r="I1066" s="21">
        <v>0</v>
      </c>
      <c r="J1066" s="3">
        <v>0</v>
      </c>
      <c r="K1066" s="3">
        <v>0</v>
      </c>
      <c r="L1066" s="3">
        <v>0</v>
      </c>
      <c r="M1066" s="3">
        <v>0</v>
      </c>
      <c r="N1066" s="3">
        <v>0</v>
      </c>
      <c r="O1066" s="3">
        <v>0</v>
      </c>
      <c r="P1066" s="18"/>
      <c r="Q1066" s="82">
        <f t="shared" si="22"/>
        <v>0</v>
      </c>
      <c r="R1066" s="14">
        <v>0</v>
      </c>
      <c r="S1066" s="15">
        <v>0</v>
      </c>
      <c r="T1066" s="16">
        <v>1.0932734383924178E-2</v>
      </c>
    </row>
    <row r="1067" spans="1:20" ht="16" hidden="1">
      <c r="A1067" s="80" t="s">
        <v>742</v>
      </c>
      <c r="B1067" s="81" t="s">
        <v>62</v>
      </c>
      <c r="C1067" s="18"/>
      <c r="D1067" s="21">
        <v>0</v>
      </c>
      <c r="E1067" s="21">
        <v>0</v>
      </c>
      <c r="F1067" s="21">
        <v>0</v>
      </c>
      <c r="G1067" s="21">
        <v>0</v>
      </c>
      <c r="H1067" s="21">
        <v>0</v>
      </c>
      <c r="I1067" s="21">
        <v>0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0</v>
      </c>
      <c r="P1067" s="18"/>
      <c r="Q1067" s="82">
        <f t="shared" si="22"/>
        <v>0</v>
      </c>
      <c r="R1067" s="14">
        <v>0</v>
      </c>
      <c r="S1067" s="15">
        <v>0</v>
      </c>
      <c r="T1067" s="16">
        <v>0</v>
      </c>
    </row>
    <row r="1068" spans="1:20" ht="16" hidden="1">
      <c r="A1068" s="80" t="s">
        <v>743</v>
      </c>
      <c r="B1068" s="81" t="s">
        <v>62</v>
      </c>
      <c r="C1068" s="18"/>
      <c r="D1068" s="21">
        <v>0</v>
      </c>
      <c r="E1068" s="21">
        <v>0</v>
      </c>
      <c r="F1068" s="21">
        <v>0</v>
      </c>
      <c r="G1068" s="21">
        <v>0</v>
      </c>
      <c r="H1068" s="21">
        <v>0</v>
      </c>
      <c r="I1068" s="21">
        <v>0</v>
      </c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>
        <v>0</v>
      </c>
      <c r="P1068" s="18"/>
      <c r="Q1068" s="82">
        <f t="shared" si="22"/>
        <v>0</v>
      </c>
      <c r="R1068" s="14">
        <v>68992.639999999985</v>
      </c>
      <c r="S1068" s="15">
        <v>1.2351460528040088</v>
      </c>
      <c r="T1068" s="16">
        <v>2.0173384363997415E-3</v>
      </c>
    </row>
    <row r="1069" spans="1:20" ht="16">
      <c r="A1069" s="80" t="s">
        <v>748</v>
      </c>
      <c r="B1069" s="81" t="s">
        <v>67</v>
      </c>
      <c r="C1069" s="18"/>
      <c r="D1069" s="21">
        <v>0</v>
      </c>
      <c r="E1069" s="21">
        <v>0</v>
      </c>
      <c r="F1069" s="21">
        <v>0</v>
      </c>
      <c r="G1069" s="21">
        <v>0</v>
      </c>
      <c r="H1069" s="21">
        <v>0</v>
      </c>
      <c r="I1069" s="21">
        <v>0</v>
      </c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>
        <v>0</v>
      </c>
      <c r="P1069" s="18"/>
      <c r="Q1069" s="82">
        <f t="shared" si="22"/>
        <v>0</v>
      </c>
      <c r="R1069" s="14">
        <v>0</v>
      </c>
      <c r="S1069" s="15">
        <v>0</v>
      </c>
      <c r="T1069" s="16">
        <v>0</v>
      </c>
    </row>
    <row r="1070" spans="1:20" ht="16" hidden="1">
      <c r="A1070" s="80" t="s">
        <v>752</v>
      </c>
      <c r="B1070" s="81" t="s">
        <v>66</v>
      </c>
      <c r="C1070" s="18"/>
      <c r="D1070" s="21">
        <v>0</v>
      </c>
      <c r="E1070" s="21">
        <v>0</v>
      </c>
      <c r="F1070" s="21">
        <v>0</v>
      </c>
      <c r="G1070" s="21">
        <v>0</v>
      </c>
      <c r="H1070" s="21">
        <v>0</v>
      </c>
      <c r="I1070" s="21">
        <v>0</v>
      </c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>
        <v>0</v>
      </c>
      <c r="P1070" s="18"/>
      <c r="Q1070" s="82">
        <f t="shared" si="22"/>
        <v>0</v>
      </c>
      <c r="R1070" s="14">
        <v>0.03</v>
      </c>
      <c r="S1070" s="15">
        <v>0.25</v>
      </c>
      <c r="T1070" s="16">
        <v>2.4237044864527693E-9</v>
      </c>
    </row>
    <row r="1071" spans="1:20" ht="16" hidden="1">
      <c r="A1071" s="80" t="s">
        <v>766</v>
      </c>
      <c r="B1071" s="81" t="s">
        <v>78</v>
      </c>
      <c r="C1071" s="18"/>
      <c r="D1071" s="21">
        <v>0</v>
      </c>
      <c r="E1071" s="21">
        <v>0</v>
      </c>
      <c r="F1071" s="21">
        <v>0</v>
      </c>
      <c r="G1071" s="21">
        <v>0</v>
      </c>
      <c r="H1071" s="21">
        <v>0</v>
      </c>
      <c r="I1071" s="21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18"/>
      <c r="Q1071" s="82">
        <f t="shared" si="22"/>
        <v>0</v>
      </c>
      <c r="R1071" s="14">
        <v>0</v>
      </c>
      <c r="S1071" s="15">
        <v>0</v>
      </c>
      <c r="T1071" s="16">
        <v>1.7773832900653641E-9</v>
      </c>
    </row>
    <row r="1072" spans="1:20" ht="16" hidden="1">
      <c r="A1072" s="80" t="s">
        <v>768</v>
      </c>
      <c r="B1072" s="81" t="s">
        <v>62</v>
      </c>
      <c r="C1072" s="18"/>
      <c r="D1072" s="21">
        <v>0</v>
      </c>
      <c r="E1072" s="21">
        <v>0</v>
      </c>
      <c r="F1072" s="21">
        <v>38535.29</v>
      </c>
      <c r="G1072" s="21">
        <v>0</v>
      </c>
      <c r="H1072" s="21">
        <v>38535.29</v>
      </c>
      <c r="I1072" s="21">
        <v>0</v>
      </c>
      <c r="J1072" s="3">
        <v>0</v>
      </c>
      <c r="K1072" s="3">
        <v>0</v>
      </c>
      <c r="L1072" s="3">
        <v>0</v>
      </c>
      <c r="M1072" s="3">
        <v>0</v>
      </c>
      <c r="N1072" s="3">
        <v>0</v>
      </c>
      <c r="O1072" s="3">
        <v>0</v>
      </c>
      <c r="P1072" s="18"/>
      <c r="Q1072" s="82">
        <f t="shared" si="22"/>
        <v>0</v>
      </c>
      <c r="R1072" s="14">
        <v>0</v>
      </c>
      <c r="S1072" s="15">
        <v>0</v>
      </c>
      <c r="T1072" s="16">
        <v>0</v>
      </c>
    </row>
    <row r="1073" spans="1:20" ht="16">
      <c r="A1073" s="80" t="s">
        <v>773</v>
      </c>
      <c r="B1073" s="81" t="s">
        <v>67</v>
      </c>
      <c r="C1073" s="18"/>
      <c r="D1073" s="21">
        <v>29259.599999999999</v>
      </c>
      <c r="E1073" s="21">
        <v>0</v>
      </c>
      <c r="F1073" s="21">
        <v>0</v>
      </c>
      <c r="G1073" s="21">
        <v>0</v>
      </c>
      <c r="H1073" s="21">
        <v>0</v>
      </c>
      <c r="I1073" s="21">
        <v>0</v>
      </c>
      <c r="J1073" s="3">
        <v>0</v>
      </c>
      <c r="K1073" s="3">
        <v>0</v>
      </c>
      <c r="L1073" s="3">
        <v>0</v>
      </c>
      <c r="M1073" s="3">
        <v>0</v>
      </c>
      <c r="N1073" s="3">
        <v>0</v>
      </c>
      <c r="O1073" s="3">
        <v>0</v>
      </c>
      <c r="P1073" s="18"/>
      <c r="Q1073" s="82">
        <f t="shared" si="22"/>
        <v>0</v>
      </c>
      <c r="R1073" s="14">
        <v>0</v>
      </c>
      <c r="S1073" s="15">
        <v>0</v>
      </c>
      <c r="T1073" s="16">
        <v>-5.6059427619732405E-26</v>
      </c>
    </row>
    <row r="1074" spans="1:20" ht="16" hidden="1">
      <c r="A1074" s="80" t="s">
        <v>774</v>
      </c>
      <c r="B1074" s="81" t="s">
        <v>145</v>
      </c>
      <c r="C1074" s="18"/>
      <c r="D1074" s="21">
        <v>0</v>
      </c>
      <c r="E1074" s="21">
        <v>0</v>
      </c>
      <c r="F1074" s="21">
        <v>0</v>
      </c>
      <c r="G1074" s="21">
        <v>0</v>
      </c>
      <c r="H1074" s="21">
        <v>0</v>
      </c>
      <c r="I1074" s="21">
        <v>0</v>
      </c>
      <c r="J1074" s="3">
        <v>0</v>
      </c>
      <c r="K1074" s="3">
        <v>0</v>
      </c>
      <c r="L1074" s="3">
        <v>0</v>
      </c>
      <c r="M1074" s="3">
        <v>0</v>
      </c>
      <c r="N1074" s="3">
        <v>0</v>
      </c>
      <c r="O1074" s="3">
        <v>0</v>
      </c>
      <c r="P1074" s="18"/>
      <c r="Q1074" s="82">
        <f t="shared" si="22"/>
        <v>0</v>
      </c>
      <c r="R1074" s="14">
        <v>0</v>
      </c>
      <c r="S1074" s="15">
        <v>0</v>
      </c>
      <c r="T1074" s="16">
        <v>6.4632119638740517E-10</v>
      </c>
    </row>
    <row r="1075" spans="1:20" ht="16" hidden="1">
      <c r="A1075" s="80" t="s">
        <v>775</v>
      </c>
      <c r="B1075" s="81" t="s">
        <v>66</v>
      </c>
      <c r="C1075" s="18"/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18"/>
      <c r="Q1075" s="82">
        <f t="shared" si="22"/>
        <v>0</v>
      </c>
      <c r="R1075" s="14">
        <v>0</v>
      </c>
      <c r="S1075" s="15">
        <v>0</v>
      </c>
      <c r="T1075" s="16">
        <v>4.8474089729055398E-10</v>
      </c>
    </row>
    <row r="1076" spans="1:20" ht="16" hidden="1">
      <c r="A1076" s="80" t="s">
        <v>775</v>
      </c>
      <c r="B1076" s="81" t="s">
        <v>62</v>
      </c>
      <c r="C1076" s="18"/>
      <c r="D1076" s="21">
        <v>0</v>
      </c>
      <c r="E1076" s="21">
        <v>0</v>
      </c>
      <c r="F1076" s="21">
        <v>0</v>
      </c>
      <c r="G1076" s="21">
        <v>0</v>
      </c>
      <c r="H1076" s="21">
        <v>0</v>
      </c>
      <c r="I1076" s="21">
        <v>0</v>
      </c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>
        <v>0</v>
      </c>
      <c r="P1076" s="18"/>
      <c r="Q1076" s="82">
        <f t="shared" si="22"/>
        <v>0</v>
      </c>
      <c r="R1076" s="14">
        <v>0</v>
      </c>
      <c r="S1076" s="15">
        <v>0</v>
      </c>
      <c r="T1076" s="16">
        <v>2.328364030970673E-4</v>
      </c>
    </row>
    <row r="1077" spans="1:20" ht="16" hidden="1">
      <c r="A1077" s="80" t="s">
        <v>781</v>
      </c>
      <c r="B1077" s="81" t="s">
        <v>85</v>
      </c>
      <c r="C1077" s="18"/>
      <c r="D1077" s="21">
        <v>0</v>
      </c>
      <c r="E1077" s="21">
        <v>0</v>
      </c>
      <c r="F1077" s="21">
        <v>0</v>
      </c>
      <c r="G1077" s="21">
        <v>0</v>
      </c>
      <c r="H1077" s="21">
        <v>0</v>
      </c>
      <c r="I1077" s="21">
        <v>0</v>
      </c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>
        <v>0</v>
      </c>
      <c r="P1077" s="18"/>
      <c r="Q1077" s="82">
        <f t="shared" si="22"/>
        <v>0</v>
      </c>
      <c r="R1077" s="14">
        <v>0</v>
      </c>
      <c r="S1077" s="15">
        <v>0</v>
      </c>
      <c r="T1077" s="16">
        <v>-3.2316059819370269E-10</v>
      </c>
    </row>
    <row r="1078" spans="1:20" ht="16" hidden="1">
      <c r="A1078" s="80" t="s">
        <v>785</v>
      </c>
      <c r="B1078" s="81" t="s">
        <v>85</v>
      </c>
      <c r="C1078" s="18"/>
      <c r="D1078" s="21">
        <v>0</v>
      </c>
      <c r="E1078" s="21">
        <v>0</v>
      </c>
      <c r="F1078" s="21">
        <v>0</v>
      </c>
      <c r="G1078" s="21">
        <v>0</v>
      </c>
      <c r="H1078" s="21">
        <v>0</v>
      </c>
      <c r="I1078" s="21">
        <v>0</v>
      </c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>
        <v>0</v>
      </c>
      <c r="P1078" s="18"/>
      <c r="Q1078" s="82">
        <f t="shared" si="22"/>
        <v>0</v>
      </c>
      <c r="R1078" s="14">
        <v>-1.0000000000000064E-2</v>
      </c>
      <c r="S1078" s="15">
        <v>-3.3333333333333534E-2</v>
      </c>
      <c r="T1078" s="16">
        <v>4.6858286738086888E-9</v>
      </c>
    </row>
    <row r="1079" spans="1:20" ht="16" hidden="1">
      <c r="A1079" s="80" t="s">
        <v>788</v>
      </c>
      <c r="B1079" s="81" t="s">
        <v>78</v>
      </c>
      <c r="C1079" s="18"/>
      <c r="D1079" s="21">
        <v>0</v>
      </c>
      <c r="E1079" s="21">
        <v>0</v>
      </c>
      <c r="F1079" s="21">
        <v>0</v>
      </c>
      <c r="G1079" s="21">
        <v>0</v>
      </c>
      <c r="H1079" s="21">
        <v>0</v>
      </c>
      <c r="I1079" s="21">
        <v>0</v>
      </c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>
        <v>0</v>
      </c>
      <c r="P1079" s="18"/>
      <c r="Q1079" s="82">
        <f t="shared" si="22"/>
        <v>0</v>
      </c>
      <c r="R1079" s="14">
        <v>0</v>
      </c>
      <c r="S1079" s="15">
        <v>0</v>
      </c>
      <c r="T1079" s="16">
        <v>0</v>
      </c>
    </row>
    <row r="1080" spans="1:20" ht="16" hidden="1">
      <c r="A1080" s="80" t="s">
        <v>791</v>
      </c>
      <c r="B1080" s="81" t="s">
        <v>85</v>
      </c>
      <c r="C1080" s="18"/>
      <c r="D1080" s="21">
        <v>39068.089999999997</v>
      </c>
      <c r="E1080" s="21">
        <v>39068.089999999997</v>
      </c>
      <c r="F1080" s="21">
        <v>2893.93</v>
      </c>
      <c r="G1080" s="21">
        <v>2893.93</v>
      </c>
      <c r="H1080" s="21">
        <v>0</v>
      </c>
      <c r="I1080" s="21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18"/>
      <c r="Q1080" s="82">
        <f t="shared" si="22"/>
        <v>0</v>
      </c>
      <c r="R1080" s="14">
        <v>0</v>
      </c>
      <c r="S1080" s="15">
        <v>0</v>
      </c>
      <c r="T1080" s="16">
        <v>0</v>
      </c>
    </row>
    <row r="1081" spans="1:20" ht="16" hidden="1">
      <c r="A1081" s="80" t="s">
        <v>791</v>
      </c>
      <c r="B1081" s="81" t="s">
        <v>60</v>
      </c>
      <c r="C1081" s="18"/>
      <c r="D1081" s="21">
        <v>0</v>
      </c>
      <c r="E1081" s="21">
        <v>0</v>
      </c>
      <c r="F1081" s="21">
        <v>0</v>
      </c>
      <c r="G1081" s="21">
        <v>0</v>
      </c>
      <c r="H1081" s="21">
        <v>0</v>
      </c>
      <c r="I1081" s="21">
        <v>0</v>
      </c>
      <c r="J1081" s="3">
        <v>0</v>
      </c>
      <c r="K1081" s="3">
        <v>0</v>
      </c>
      <c r="L1081" s="3">
        <v>0</v>
      </c>
      <c r="M1081" s="3">
        <v>0</v>
      </c>
      <c r="N1081" s="3">
        <v>0</v>
      </c>
      <c r="O1081" s="3">
        <v>0</v>
      </c>
      <c r="P1081" s="18"/>
      <c r="Q1081" s="82">
        <f t="shared" si="22"/>
        <v>0</v>
      </c>
      <c r="R1081" s="14">
        <v>0</v>
      </c>
      <c r="S1081" s="15">
        <v>0</v>
      </c>
      <c r="T1081" s="16">
        <v>-2.8268134008366014E-4</v>
      </c>
    </row>
    <row r="1082" spans="1:20" ht="16" hidden="1">
      <c r="A1082" s="80" t="s">
        <v>792</v>
      </c>
      <c r="B1082" s="81" t="s">
        <v>78</v>
      </c>
      <c r="C1082" s="18"/>
      <c r="D1082" s="21">
        <v>0</v>
      </c>
      <c r="E1082" s="21">
        <v>0</v>
      </c>
      <c r="F1082" s="21">
        <v>3480</v>
      </c>
      <c r="G1082" s="21">
        <v>0</v>
      </c>
      <c r="H1082" s="21">
        <v>0</v>
      </c>
      <c r="I1082" s="21">
        <v>0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18"/>
      <c r="Q1082" s="82">
        <f t="shared" si="22"/>
        <v>0</v>
      </c>
      <c r="R1082" s="14">
        <v>0</v>
      </c>
      <c r="S1082" s="15">
        <v>0</v>
      </c>
      <c r="T1082" s="16">
        <v>0</v>
      </c>
    </row>
    <row r="1083" spans="1:20" ht="16" hidden="1">
      <c r="A1083" s="80" t="s">
        <v>793</v>
      </c>
      <c r="B1083" s="81" t="s">
        <v>62</v>
      </c>
      <c r="C1083" s="18"/>
      <c r="D1083" s="21">
        <v>27000</v>
      </c>
      <c r="E1083" s="21">
        <v>27000</v>
      </c>
      <c r="F1083" s="21">
        <v>54000</v>
      </c>
      <c r="G1083" s="21">
        <v>27000</v>
      </c>
      <c r="H1083" s="21">
        <v>0</v>
      </c>
      <c r="I1083" s="21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18"/>
      <c r="Q1083" s="82">
        <f t="shared" si="22"/>
        <v>0</v>
      </c>
      <c r="R1083" s="14">
        <v>0</v>
      </c>
      <c r="S1083" s="15">
        <v>0</v>
      </c>
      <c r="T1083" s="16">
        <v>0</v>
      </c>
    </row>
    <row r="1084" spans="1:20" ht="16" hidden="1">
      <c r="A1084" s="80" t="s">
        <v>795</v>
      </c>
      <c r="B1084" s="81" t="s">
        <v>66</v>
      </c>
      <c r="C1084" s="18"/>
      <c r="D1084" s="21">
        <v>0</v>
      </c>
      <c r="E1084" s="21">
        <v>0</v>
      </c>
      <c r="F1084" s="21">
        <v>0</v>
      </c>
      <c r="G1084" s="21">
        <v>0</v>
      </c>
      <c r="H1084" s="21">
        <v>0</v>
      </c>
      <c r="I1084" s="21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18"/>
      <c r="Q1084" s="82">
        <f t="shared" si="22"/>
        <v>0</v>
      </c>
      <c r="R1084" s="14">
        <v>0</v>
      </c>
      <c r="S1084" s="15">
        <v>0</v>
      </c>
      <c r="T1084" s="16">
        <v>3.2316059819370259E-10</v>
      </c>
    </row>
    <row r="1085" spans="1:20" ht="16" hidden="1">
      <c r="A1085" s="80" t="s">
        <v>796</v>
      </c>
      <c r="B1085" s="81" t="s">
        <v>85</v>
      </c>
      <c r="C1085" s="18"/>
      <c r="D1085" s="21">
        <v>1304.17</v>
      </c>
      <c r="E1085" s="21">
        <v>46089.56</v>
      </c>
      <c r="F1085" s="21">
        <v>-1130.32</v>
      </c>
      <c r="G1085" s="21">
        <v>-0.01</v>
      </c>
      <c r="H1085" s="21">
        <v>-0.01</v>
      </c>
      <c r="I1085" s="21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18"/>
      <c r="Q1085" s="82">
        <f t="shared" si="22"/>
        <v>0</v>
      </c>
      <c r="R1085" s="14">
        <v>0</v>
      </c>
      <c r="S1085" s="15">
        <v>0</v>
      </c>
      <c r="T1085" s="16">
        <v>2.8001865833484323E-7</v>
      </c>
    </row>
    <row r="1086" spans="1:20" ht="16">
      <c r="A1086" s="80" t="s">
        <v>798</v>
      </c>
      <c r="B1086" s="81" t="s">
        <v>67</v>
      </c>
      <c r="C1086" s="18"/>
      <c r="D1086" s="21">
        <v>0</v>
      </c>
      <c r="E1086" s="21">
        <v>0</v>
      </c>
      <c r="F1086" s="21">
        <v>0</v>
      </c>
      <c r="G1086" s="21">
        <v>0</v>
      </c>
      <c r="H1086" s="21">
        <v>0</v>
      </c>
      <c r="I1086" s="21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18"/>
      <c r="Q1086" s="82">
        <f t="shared" si="22"/>
        <v>0</v>
      </c>
      <c r="R1086" s="14">
        <v>0</v>
      </c>
      <c r="S1086" s="15">
        <v>0</v>
      </c>
      <c r="T1086" s="16">
        <v>0</v>
      </c>
    </row>
    <row r="1087" spans="1:20" ht="16" hidden="1">
      <c r="A1087" s="80" t="s">
        <v>799</v>
      </c>
      <c r="B1087" s="81" t="s">
        <v>85</v>
      </c>
      <c r="C1087" s="18"/>
      <c r="D1087" s="21">
        <v>0</v>
      </c>
      <c r="E1087" s="21">
        <v>0</v>
      </c>
      <c r="F1087" s="21">
        <v>0</v>
      </c>
      <c r="G1087" s="21">
        <v>0</v>
      </c>
      <c r="H1087" s="21">
        <v>0</v>
      </c>
      <c r="I1087" s="21">
        <v>0</v>
      </c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>
        <v>0</v>
      </c>
      <c r="P1087" s="18"/>
      <c r="Q1087" s="82">
        <f t="shared" si="22"/>
        <v>0</v>
      </c>
      <c r="R1087" s="14">
        <v>0</v>
      </c>
      <c r="S1087" s="15">
        <v>0</v>
      </c>
      <c r="T1087" s="16">
        <v>0</v>
      </c>
    </row>
    <row r="1088" spans="1:20" ht="16" hidden="1">
      <c r="A1088" s="80" t="s">
        <v>800</v>
      </c>
      <c r="B1088" s="81" t="s">
        <v>60</v>
      </c>
      <c r="C1088" s="18"/>
      <c r="D1088" s="21">
        <v>0</v>
      </c>
      <c r="E1088" s="21">
        <v>0</v>
      </c>
      <c r="F1088" s="21">
        <v>0</v>
      </c>
      <c r="G1088" s="21">
        <v>0</v>
      </c>
      <c r="H1088" s="21">
        <v>0</v>
      </c>
      <c r="I1088" s="21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18"/>
      <c r="Q1088" s="82">
        <f t="shared" si="22"/>
        <v>0</v>
      </c>
      <c r="R1088" s="14">
        <v>0</v>
      </c>
      <c r="S1088" s="15">
        <v>0</v>
      </c>
      <c r="T1088" s="16">
        <v>0</v>
      </c>
    </row>
    <row r="1089" spans="1:20" ht="16" hidden="1">
      <c r="A1089" s="80" t="s">
        <v>801</v>
      </c>
      <c r="B1089" s="81" t="s">
        <v>62</v>
      </c>
      <c r="C1089" s="18"/>
      <c r="D1089" s="21">
        <v>0</v>
      </c>
      <c r="E1089" s="21">
        <v>0</v>
      </c>
      <c r="F1089" s="21">
        <v>0</v>
      </c>
      <c r="G1089" s="21">
        <v>0</v>
      </c>
      <c r="H1089" s="21">
        <v>0</v>
      </c>
      <c r="I1089" s="21">
        <v>0</v>
      </c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18"/>
      <c r="Q1089" s="82">
        <f t="shared" si="22"/>
        <v>0</v>
      </c>
      <c r="R1089" s="14">
        <v>35862.44</v>
      </c>
      <c r="S1089" s="15">
        <v>0.16666666666666666</v>
      </c>
      <c r="T1089" s="16">
        <v>4.0562646470800193E-3</v>
      </c>
    </row>
    <row r="1090" spans="1:20" ht="16">
      <c r="A1090" s="80" t="s">
        <v>804</v>
      </c>
      <c r="B1090" s="81" t="s">
        <v>67</v>
      </c>
      <c r="C1090" s="18"/>
      <c r="D1090" s="21">
        <v>0</v>
      </c>
      <c r="E1090" s="21">
        <v>0</v>
      </c>
      <c r="F1090" s="21">
        <v>0</v>
      </c>
      <c r="G1090" s="21">
        <v>0</v>
      </c>
      <c r="H1090" s="21">
        <v>0</v>
      </c>
      <c r="I1090" s="21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18"/>
      <c r="Q1090" s="82">
        <f t="shared" si="22"/>
        <v>0</v>
      </c>
      <c r="R1090" s="14">
        <v>0</v>
      </c>
      <c r="S1090" s="15">
        <v>0</v>
      </c>
      <c r="T1090" s="16">
        <v>0</v>
      </c>
    </row>
    <row r="1091" spans="1:20" ht="16" hidden="1">
      <c r="A1091" s="80" t="s">
        <v>805</v>
      </c>
      <c r="B1091" s="81" t="s">
        <v>66</v>
      </c>
      <c r="C1091" s="18"/>
      <c r="D1091" s="21">
        <v>0</v>
      </c>
      <c r="E1091" s="21">
        <v>0</v>
      </c>
      <c r="F1091" s="21">
        <v>0</v>
      </c>
      <c r="G1091" s="21">
        <v>0</v>
      </c>
      <c r="H1091" s="21">
        <v>0</v>
      </c>
      <c r="I1091" s="21">
        <v>0</v>
      </c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>
        <v>0</v>
      </c>
      <c r="P1091" s="18"/>
      <c r="Q1091" s="82">
        <f t="shared" si="22"/>
        <v>0</v>
      </c>
      <c r="R1091" s="14">
        <v>0</v>
      </c>
      <c r="S1091" s="15">
        <v>0</v>
      </c>
      <c r="T1091" s="16">
        <v>2.2459661574462329E-8</v>
      </c>
    </row>
    <row r="1092" spans="1:20" ht="16" hidden="1">
      <c r="A1092" s="80" t="s">
        <v>807</v>
      </c>
      <c r="B1092" s="81" t="s">
        <v>62</v>
      </c>
      <c r="C1092" s="18"/>
      <c r="D1092" s="21">
        <v>0</v>
      </c>
      <c r="E1092" s="21">
        <v>0</v>
      </c>
      <c r="F1092" s="21">
        <v>0</v>
      </c>
      <c r="G1092" s="21">
        <v>0</v>
      </c>
      <c r="H1092" s="21">
        <v>0</v>
      </c>
      <c r="I1092" s="21">
        <v>0</v>
      </c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>
        <v>0</v>
      </c>
      <c r="P1092" s="18"/>
      <c r="Q1092" s="82">
        <f t="shared" si="22"/>
        <v>0</v>
      </c>
      <c r="R1092" s="14">
        <v>0</v>
      </c>
      <c r="S1092" s="15">
        <v>0</v>
      </c>
      <c r="T1092" s="16">
        <v>1.6158029909685129E-10</v>
      </c>
    </row>
    <row r="1093" spans="1:20" ht="16" hidden="1">
      <c r="A1093" s="80" t="s">
        <v>813</v>
      </c>
      <c r="B1093" s="81" t="s">
        <v>60</v>
      </c>
      <c r="C1093" s="18"/>
      <c r="D1093" s="21">
        <v>14533.33</v>
      </c>
      <c r="E1093" s="21">
        <v>12152.38</v>
      </c>
      <c r="F1093" s="21">
        <v>12152.38</v>
      </c>
      <c r="G1093" s="21">
        <v>0</v>
      </c>
      <c r="H1093" s="21">
        <v>0</v>
      </c>
      <c r="I1093" s="21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18"/>
      <c r="Q1093" s="82">
        <f t="shared" si="22"/>
        <v>0</v>
      </c>
      <c r="R1093" s="14">
        <v>0</v>
      </c>
      <c r="S1093" s="15">
        <v>0</v>
      </c>
      <c r="T1093" s="16">
        <v>0</v>
      </c>
    </row>
    <row r="1094" spans="1:20" ht="16" hidden="1">
      <c r="A1094" s="80" t="s">
        <v>814</v>
      </c>
      <c r="B1094" s="81" t="s">
        <v>66</v>
      </c>
      <c r="C1094" s="18"/>
      <c r="D1094" s="21">
        <v>0</v>
      </c>
      <c r="E1094" s="21">
        <v>0</v>
      </c>
      <c r="F1094" s="21">
        <v>0</v>
      </c>
      <c r="G1094" s="21">
        <v>0</v>
      </c>
      <c r="H1094" s="21">
        <v>0</v>
      </c>
      <c r="I1094" s="21">
        <v>0</v>
      </c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>
        <v>0</v>
      </c>
      <c r="P1094" s="18"/>
      <c r="Q1094" s="82">
        <f t="shared" si="22"/>
        <v>0</v>
      </c>
      <c r="R1094" s="14">
        <v>-35824.78</v>
      </c>
      <c r="S1094" s="15">
        <v>-0.14321506421451122</v>
      </c>
      <c r="T1094" s="16">
        <v>3.4630204784020409E-3</v>
      </c>
    </row>
    <row r="1095" spans="1:20" ht="16">
      <c r="A1095" s="80" t="s">
        <v>817</v>
      </c>
      <c r="B1095" s="81" t="s">
        <v>67</v>
      </c>
      <c r="C1095" s="18"/>
      <c r="D1095" s="21">
        <v>0</v>
      </c>
      <c r="E1095" s="21">
        <v>0</v>
      </c>
      <c r="F1095" s="21">
        <v>0</v>
      </c>
      <c r="G1095" s="21">
        <v>0</v>
      </c>
      <c r="H1095" s="21">
        <v>0</v>
      </c>
      <c r="I1095" s="21">
        <v>0</v>
      </c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>
        <v>0</v>
      </c>
      <c r="P1095" s="18"/>
      <c r="Q1095" s="82">
        <f t="shared" si="22"/>
        <v>0</v>
      </c>
      <c r="R1095" s="14">
        <v>-1.0000000000000009E-2</v>
      </c>
      <c r="S1095" s="15">
        <v>5.1020408163265354E-3</v>
      </c>
      <c r="T1095" s="16">
        <v>-3.1831318922079707E-8</v>
      </c>
    </row>
    <row r="1096" spans="1:20" ht="16" hidden="1">
      <c r="A1096" s="80" t="s">
        <v>817</v>
      </c>
      <c r="B1096" s="81" t="s">
        <v>62</v>
      </c>
      <c r="C1096" s="18"/>
      <c r="D1096" s="21">
        <v>0</v>
      </c>
      <c r="E1096" s="21">
        <v>0</v>
      </c>
      <c r="F1096" s="21">
        <v>0</v>
      </c>
      <c r="G1096" s="21">
        <v>0</v>
      </c>
      <c r="H1096" s="21">
        <v>0</v>
      </c>
      <c r="I1096" s="21">
        <v>0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18"/>
      <c r="Q1096" s="82">
        <f t="shared" si="22"/>
        <v>0</v>
      </c>
      <c r="R1096" s="14">
        <v>0</v>
      </c>
      <c r="S1096" s="15">
        <v>0</v>
      </c>
      <c r="T1096" s="16">
        <v>0</v>
      </c>
    </row>
    <row r="1097" spans="1:20" ht="16" hidden="1">
      <c r="A1097" s="80" t="s">
        <v>818</v>
      </c>
      <c r="B1097" s="81" t="s">
        <v>62</v>
      </c>
      <c r="C1097" s="18"/>
      <c r="D1097" s="21">
        <v>0</v>
      </c>
      <c r="E1097" s="21">
        <v>0</v>
      </c>
      <c r="F1097" s="21">
        <v>0</v>
      </c>
      <c r="G1097" s="21">
        <v>0</v>
      </c>
      <c r="H1097" s="21">
        <v>0</v>
      </c>
      <c r="I1097" s="21">
        <v>0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18"/>
      <c r="Q1097" s="82">
        <f t="shared" si="22"/>
        <v>0</v>
      </c>
      <c r="R1097" s="14">
        <v>0</v>
      </c>
      <c r="S1097" s="15">
        <v>0</v>
      </c>
      <c r="T1097" s="16">
        <v>4.8474089729055377E-10</v>
      </c>
    </row>
    <row r="1098" spans="1:20" ht="16" hidden="1">
      <c r="A1098" s="80" t="s">
        <v>822</v>
      </c>
      <c r="B1098" s="81" t="s">
        <v>66</v>
      </c>
      <c r="C1098" s="18"/>
      <c r="D1098" s="21">
        <v>0</v>
      </c>
      <c r="E1098" s="21">
        <v>0</v>
      </c>
      <c r="F1098" s="21">
        <v>0</v>
      </c>
      <c r="G1098" s="21">
        <v>0</v>
      </c>
      <c r="H1098" s="21">
        <v>0</v>
      </c>
      <c r="I1098" s="21">
        <v>0</v>
      </c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>
        <v>0</v>
      </c>
      <c r="P1098" s="18"/>
      <c r="Q1098" s="82">
        <f t="shared" si="22"/>
        <v>0</v>
      </c>
      <c r="R1098" s="14">
        <v>0</v>
      </c>
      <c r="S1098" s="15">
        <v>0</v>
      </c>
      <c r="T1098" s="16">
        <v>5.5377149119918935E-3</v>
      </c>
    </row>
    <row r="1099" spans="1:20" ht="16" hidden="1">
      <c r="A1099" s="80" t="s">
        <v>826</v>
      </c>
      <c r="B1099" s="81" t="s">
        <v>78</v>
      </c>
      <c r="C1099" s="18"/>
      <c r="D1099" s="21">
        <v>0</v>
      </c>
      <c r="E1099" s="21">
        <v>0</v>
      </c>
      <c r="F1099" s="21">
        <v>0</v>
      </c>
      <c r="G1099" s="21">
        <v>0</v>
      </c>
      <c r="H1099" s="21">
        <v>0</v>
      </c>
      <c r="I1099" s="21">
        <v>0</v>
      </c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>
        <v>0</v>
      </c>
      <c r="P1099" s="18"/>
      <c r="Q1099" s="82">
        <f t="shared" si="22"/>
        <v>0</v>
      </c>
      <c r="R1099" s="14">
        <v>0</v>
      </c>
      <c r="S1099" s="15">
        <v>0</v>
      </c>
      <c r="T1099" s="16">
        <v>6.4632119638740525E-9</v>
      </c>
    </row>
    <row r="1100" spans="1:20" ht="16" hidden="1">
      <c r="A1100" s="80" t="s">
        <v>827</v>
      </c>
      <c r="B1100" s="81" t="s">
        <v>162</v>
      </c>
      <c r="C1100" s="18"/>
      <c r="D1100" s="21">
        <v>0</v>
      </c>
      <c r="E1100" s="21">
        <v>0</v>
      </c>
      <c r="F1100" s="21">
        <v>0</v>
      </c>
      <c r="G1100" s="21">
        <v>0</v>
      </c>
      <c r="H1100" s="21">
        <v>0</v>
      </c>
      <c r="I1100" s="21">
        <v>0</v>
      </c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>
        <v>0</v>
      </c>
      <c r="P1100" s="18"/>
      <c r="Q1100" s="82">
        <f t="shared" si="22"/>
        <v>0</v>
      </c>
      <c r="R1100" s="14">
        <v>0</v>
      </c>
      <c r="S1100" s="15">
        <v>0</v>
      </c>
      <c r="T1100" s="16">
        <v>0</v>
      </c>
    </row>
    <row r="1101" spans="1:20" ht="16">
      <c r="A1101" s="80" t="s">
        <v>828</v>
      </c>
      <c r="B1101" s="81" t="s">
        <v>67</v>
      </c>
      <c r="C1101" s="18"/>
      <c r="D1101" s="21">
        <v>0</v>
      </c>
      <c r="E1101" s="21">
        <v>0</v>
      </c>
      <c r="F1101" s="21">
        <v>0</v>
      </c>
      <c r="G1101" s="21">
        <v>0</v>
      </c>
      <c r="H1101" s="21">
        <v>0</v>
      </c>
      <c r="I1101" s="21">
        <v>0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0</v>
      </c>
      <c r="P1101" s="18"/>
      <c r="Q1101" s="82">
        <f t="shared" si="22"/>
        <v>0</v>
      </c>
      <c r="R1101" s="14">
        <v>0</v>
      </c>
      <c r="S1101" s="15">
        <v>0</v>
      </c>
      <c r="T1101" s="16">
        <v>0</v>
      </c>
    </row>
    <row r="1102" spans="1:20" ht="16" hidden="1">
      <c r="A1102" s="80" t="s">
        <v>828</v>
      </c>
      <c r="B1102" s="81" t="s">
        <v>62</v>
      </c>
      <c r="C1102" s="18"/>
      <c r="D1102" s="21">
        <v>0</v>
      </c>
      <c r="E1102" s="21">
        <v>0</v>
      </c>
      <c r="F1102" s="21">
        <v>0</v>
      </c>
      <c r="G1102" s="21">
        <v>0</v>
      </c>
      <c r="H1102" s="21">
        <v>0</v>
      </c>
      <c r="I1102" s="21">
        <v>0</v>
      </c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>
        <v>0</v>
      </c>
      <c r="P1102" s="18"/>
      <c r="Q1102" s="82">
        <f t="shared" si="22"/>
        <v>0</v>
      </c>
      <c r="R1102" s="14">
        <v>0</v>
      </c>
      <c r="S1102" s="15">
        <v>0</v>
      </c>
      <c r="T1102" s="16">
        <v>1.8339363947492623E-7</v>
      </c>
    </row>
    <row r="1103" spans="1:20" ht="16" hidden="1">
      <c r="A1103" s="80" t="s">
        <v>831</v>
      </c>
      <c r="B1103" s="81" t="s">
        <v>66</v>
      </c>
      <c r="C1103" s="18"/>
      <c r="D1103" s="21">
        <v>0</v>
      </c>
      <c r="E1103" s="21">
        <v>0</v>
      </c>
      <c r="F1103" s="21">
        <v>0</v>
      </c>
      <c r="G1103" s="21">
        <v>0</v>
      </c>
      <c r="H1103" s="21">
        <v>0</v>
      </c>
      <c r="I1103" s="21">
        <v>0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18"/>
      <c r="Q1103" s="82">
        <f t="shared" ref="Q1103:Q1166" si="23">IFERROR(I1103/$I$4," ")</f>
        <v>0</v>
      </c>
      <c r="R1103" s="14">
        <v>0</v>
      </c>
      <c r="S1103" s="15">
        <v>0</v>
      </c>
      <c r="T1103" s="16">
        <v>2.1005438882590669E-9</v>
      </c>
    </row>
    <row r="1104" spans="1:20" ht="16" hidden="1">
      <c r="A1104" s="80" t="s">
        <v>832</v>
      </c>
      <c r="B1104" s="81" t="s">
        <v>85</v>
      </c>
      <c r="C1104" s="18"/>
      <c r="D1104" s="21">
        <v>0</v>
      </c>
      <c r="E1104" s="21">
        <v>0</v>
      </c>
      <c r="F1104" s="21">
        <v>0</v>
      </c>
      <c r="G1104" s="21">
        <v>0</v>
      </c>
      <c r="H1104" s="21">
        <v>0</v>
      </c>
      <c r="I1104" s="21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18"/>
      <c r="Q1104" s="82">
        <f t="shared" si="23"/>
        <v>0</v>
      </c>
      <c r="R1104" s="14">
        <v>0</v>
      </c>
      <c r="S1104" s="15">
        <v>0</v>
      </c>
      <c r="T1104" s="16">
        <v>0</v>
      </c>
    </row>
    <row r="1105" spans="1:20" ht="16">
      <c r="A1105" s="80" t="s">
        <v>833</v>
      </c>
      <c r="B1105" s="81" t="s">
        <v>67</v>
      </c>
      <c r="C1105" s="18"/>
      <c r="D1105" s="21">
        <v>0</v>
      </c>
      <c r="E1105" s="21">
        <v>0</v>
      </c>
      <c r="F1105" s="21">
        <v>0</v>
      </c>
      <c r="G1105" s="21">
        <v>1093.06</v>
      </c>
      <c r="H1105" s="21">
        <v>0</v>
      </c>
      <c r="I1105" s="21">
        <v>0</v>
      </c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>
        <v>0</v>
      </c>
      <c r="P1105" s="18"/>
      <c r="Q1105" s="82">
        <f t="shared" si="23"/>
        <v>0</v>
      </c>
      <c r="R1105" s="14">
        <v>0</v>
      </c>
      <c r="S1105" s="15">
        <v>0</v>
      </c>
      <c r="T1105" s="16">
        <v>0</v>
      </c>
    </row>
    <row r="1106" spans="1:20" ht="16" hidden="1">
      <c r="A1106" s="80" t="s">
        <v>834</v>
      </c>
      <c r="B1106" s="81" t="s">
        <v>85</v>
      </c>
      <c r="C1106" s="18"/>
      <c r="D1106" s="21">
        <v>0</v>
      </c>
      <c r="E1106" s="21">
        <v>0</v>
      </c>
      <c r="F1106" s="21">
        <v>0</v>
      </c>
      <c r="G1106" s="21">
        <v>0</v>
      </c>
      <c r="H1106" s="21">
        <v>0</v>
      </c>
      <c r="I1106" s="21">
        <v>0</v>
      </c>
      <c r="J1106" s="3">
        <v>0</v>
      </c>
      <c r="K1106" s="3">
        <v>0</v>
      </c>
      <c r="L1106" s="3">
        <v>0</v>
      </c>
      <c r="M1106" s="3">
        <v>0</v>
      </c>
      <c r="N1106" s="3">
        <v>0</v>
      </c>
      <c r="O1106" s="3">
        <v>0</v>
      </c>
      <c r="P1106" s="18"/>
      <c r="Q1106" s="82">
        <f t="shared" si="23"/>
        <v>0</v>
      </c>
      <c r="R1106" s="14">
        <v>0</v>
      </c>
      <c r="S1106" s="15">
        <v>0</v>
      </c>
      <c r="T1106" s="16">
        <v>0</v>
      </c>
    </row>
    <row r="1107" spans="1:20" ht="16">
      <c r="A1107" s="80" t="s">
        <v>835</v>
      </c>
      <c r="B1107" s="81" t="s">
        <v>67</v>
      </c>
      <c r="C1107" s="18"/>
      <c r="D1107" s="21">
        <v>0</v>
      </c>
      <c r="E1107" s="21">
        <v>0</v>
      </c>
      <c r="F1107" s="21">
        <v>0</v>
      </c>
      <c r="G1107" s="21">
        <v>0</v>
      </c>
      <c r="H1107" s="21">
        <v>0</v>
      </c>
      <c r="I1107" s="21">
        <v>0</v>
      </c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>
        <v>0</v>
      </c>
      <c r="P1107" s="18"/>
      <c r="Q1107" s="82">
        <f t="shared" si="23"/>
        <v>0</v>
      </c>
      <c r="R1107" s="14">
        <v>0</v>
      </c>
      <c r="S1107" s="15">
        <v>0</v>
      </c>
      <c r="T1107" s="16">
        <v>-3.4901344604919883E-7</v>
      </c>
    </row>
    <row r="1108" spans="1:20" ht="16" hidden="1">
      <c r="A1108" s="80" t="s">
        <v>841</v>
      </c>
      <c r="B1108" s="81" t="s">
        <v>78</v>
      </c>
      <c r="C1108" s="18"/>
      <c r="D1108" s="21">
        <v>0.02</v>
      </c>
      <c r="E1108" s="21">
        <v>0.02</v>
      </c>
      <c r="F1108" s="21">
        <v>0.02</v>
      </c>
      <c r="G1108" s="21">
        <v>0.02</v>
      </c>
      <c r="H1108" s="21">
        <v>0</v>
      </c>
      <c r="I1108" s="21">
        <v>0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0</v>
      </c>
      <c r="P1108" s="18"/>
      <c r="Q1108" s="82">
        <f t="shared" si="23"/>
        <v>0</v>
      </c>
      <c r="R1108" s="14">
        <v>0</v>
      </c>
      <c r="S1108" s="15">
        <v>0</v>
      </c>
      <c r="T1108" s="16">
        <v>-5.6059427619732405E-26</v>
      </c>
    </row>
    <row r="1109" spans="1:20" ht="16" hidden="1">
      <c r="A1109" s="80" t="s">
        <v>847</v>
      </c>
      <c r="B1109" s="81" t="s">
        <v>66</v>
      </c>
      <c r="C1109" s="18"/>
      <c r="D1109" s="21">
        <v>0</v>
      </c>
      <c r="E1109" s="21">
        <v>0</v>
      </c>
      <c r="F1109" s="21">
        <v>0</v>
      </c>
      <c r="G1109" s="21">
        <v>0</v>
      </c>
      <c r="H1109" s="21">
        <v>0</v>
      </c>
      <c r="I1109" s="21">
        <v>0</v>
      </c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>
        <v>0</v>
      </c>
      <c r="P1109" s="18"/>
      <c r="Q1109" s="82">
        <f t="shared" si="23"/>
        <v>0</v>
      </c>
      <c r="R1109" s="14">
        <v>0</v>
      </c>
      <c r="S1109" s="15">
        <v>0</v>
      </c>
      <c r="T1109" s="16">
        <v>0</v>
      </c>
    </row>
    <row r="1110" spans="1:20" ht="16" hidden="1">
      <c r="A1110" s="80" t="s">
        <v>848</v>
      </c>
      <c r="B1110" s="81" t="s">
        <v>85</v>
      </c>
      <c r="C1110" s="18"/>
      <c r="D1110" s="21">
        <v>0</v>
      </c>
      <c r="E1110" s="21">
        <v>0</v>
      </c>
      <c r="F1110" s="21">
        <v>0</v>
      </c>
      <c r="G1110" s="21">
        <v>0</v>
      </c>
      <c r="H1110" s="21">
        <v>0</v>
      </c>
      <c r="I1110" s="21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18"/>
      <c r="Q1110" s="82">
        <f t="shared" si="23"/>
        <v>0</v>
      </c>
      <c r="R1110" s="14">
        <v>0</v>
      </c>
      <c r="S1110" s="15">
        <v>0</v>
      </c>
      <c r="T1110" s="16">
        <v>1.6964136248046417E-3</v>
      </c>
    </row>
    <row r="1111" spans="1:20" ht="16" hidden="1">
      <c r="A1111" s="80" t="s">
        <v>850</v>
      </c>
      <c r="B1111" s="81" t="s">
        <v>78</v>
      </c>
      <c r="C1111" s="18"/>
      <c r="D1111" s="21">
        <v>0</v>
      </c>
      <c r="E1111" s="21">
        <v>0</v>
      </c>
      <c r="F1111" s="21">
        <v>0</v>
      </c>
      <c r="G1111" s="21">
        <v>0</v>
      </c>
      <c r="H1111" s="21">
        <v>23200</v>
      </c>
      <c r="I1111" s="21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18"/>
      <c r="Q1111" s="82">
        <f t="shared" si="23"/>
        <v>0</v>
      </c>
      <c r="R1111" s="14">
        <v>0</v>
      </c>
      <c r="S1111" s="15">
        <v>0</v>
      </c>
      <c r="T1111" s="16">
        <v>0</v>
      </c>
    </row>
    <row r="1112" spans="1:20" ht="16" hidden="1">
      <c r="A1112" s="80" t="s">
        <v>851</v>
      </c>
      <c r="B1112" s="81" t="s">
        <v>78</v>
      </c>
      <c r="C1112" s="18"/>
      <c r="D1112" s="21">
        <v>0</v>
      </c>
      <c r="E1112" s="21">
        <v>0</v>
      </c>
      <c r="F1112" s="21">
        <v>0</v>
      </c>
      <c r="G1112" s="21">
        <v>0</v>
      </c>
      <c r="H1112" s="21">
        <v>0</v>
      </c>
      <c r="I1112" s="21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18"/>
      <c r="Q1112" s="82">
        <f t="shared" si="23"/>
        <v>0</v>
      </c>
      <c r="R1112" s="14">
        <v>9.9999999999997868E-3</v>
      </c>
      <c r="S1112" s="15">
        <v>3.3003300330032297E-3</v>
      </c>
      <c r="T1112" s="16">
        <v>4.9120410925442798E-8</v>
      </c>
    </row>
    <row r="1113" spans="1:20" ht="16" hidden="1">
      <c r="A1113" s="80" t="s">
        <v>854</v>
      </c>
      <c r="B1113" s="81" t="s">
        <v>60</v>
      </c>
      <c r="C1113" s="18"/>
      <c r="D1113" s="21">
        <v>0</v>
      </c>
      <c r="E1113" s="21">
        <v>0</v>
      </c>
      <c r="F1113" s="21">
        <v>0</v>
      </c>
      <c r="G1113" s="21">
        <v>0</v>
      </c>
      <c r="H1113" s="21">
        <v>0</v>
      </c>
      <c r="I1113" s="21">
        <v>0</v>
      </c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>
        <v>0</v>
      </c>
      <c r="P1113" s="18"/>
      <c r="Q1113" s="82">
        <f t="shared" si="23"/>
        <v>0</v>
      </c>
      <c r="R1113" s="14">
        <v>0</v>
      </c>
      <c r="S1113" s="15">
        <v>0</v>
      </c>
      <c r="T1113" s="16">
        <v>0</v>
      </c>
    </row>
    <row r="1114" spans="1:20" ht="16">
      <c r="A1114" s="80" t="s">
        <v>857</v>
      </c>
      <c r="B1114" s="81" t="s">
        <v>67</v>
      </c>
      <c r="C1114" s="18"/>
      <c r="D1114" s="21">
        <v>0</v>
      </c>
      <c r="E1114" s="21">
        <v>0</v>
      </c>
      <c r="F1114" s="21">
        <v>0</v>
      </c>
      <c r="G1114" s="21">
        <v>0</v>
      </c>
      <c r="H1114" s="21">
        <v>0</v>
      </c>
      <c r="I1114" s="21">
        <v>0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0</v>
      </c>
      <c r="P1114" s="18"/>
      <c r="Q1114" s="82">
        <f t="shared" si="23"/>
        <v>0</v>
      </c>
      <c r="R1114" s="14">
        <v>0</v>
      </c>
      <c r="S1114" s="15">
        <v>0</v>
      </c>
      <c r="T1114" s="16">
        <v>9.6948179458110771E-9</v>
      </c>
    </row>
    <row r="1115" spans="1:20" ht="16" hidden="1">
      <c r="A1115" s="80" t="s">
        <v>858</v>
      </c>
      <c r="B1115" s="81" t="s">
        <v>85</v>
      </c>
      <c r="C1115" s="18"/>
      <c r="D1115" s="21">
        <v>0</v>
      </c>
      <c r="E1115" s="21">
        <v>0</v>
      </c>
      <c r="F1115" s="21">
        <v>0</v>
      </c>
      <c r="G1115" s="21">
        <v>0</v>
      </c>
      <c r="H1115" s="21">
        <v>0</v>
      </c>
      <c r="I1115" s="21">
        <v>0</v>
      </c>
      <c r="J1115" s="3">
        <v>0</v>
      </c>
      <c r="K1115" s="3">
        <v>0</v>
      </c>
      <c r="L1115" s="3">
        <v>0</v>
      </c>
      <c r="M1115" s="3">
        <v>0</v>
      </c>
      <c r="N1115" s="3">
        <v>0</v>
      </c>
      <c r="O1115" s="3">
        <v>0</v>
      </c>
      <c r="P1115" s="18"/>
      <c r="Q1115" s="82">
        <f t="shared" si="23"/>
        <v>0</v>
      </c>
      <c r="R1115" s="14">
        <v>0</v>
      </c>
      <c r="S1115" s="15">
        <v>0</v>
      </c>
      <c r="T1115" s="16">
        <v>0</v>
      </c>
    </row>
    <row r="1116" spans="1:20" ht="16" hidden="1">
      <c r="A1116" s="80" t="s">
        <v>859</v>
      </c>
      <c r="B1116" s="81" t="s">
        <v>62</v>
      </c>
      <c r="C1116" s="18"/>
      <c r="D1116" s="21">
        <v>0</v>
      </c>
      <c r="E1116" s="21">
        <v>0</v>
      </c>
      <c r="F1116" s="21">
        <v>0</v>
      </c>
      <c r="G1116" s="21">
        <v>0</v>
      </c>
      <c r="H1116" s="21">
        <v>0</v>
      </c>
      <c r="I1116" s="21">
        <v>0</v>
      </c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>
        <v>0</v>
      </c>
      <c r="P1116" s="18"/>
      <c r="Q1116" s="82">
        <f t="shared" si="23"/>
        <v>0</v>
      </c>
      <c r="R1116" s="14">
        <v>0</v>
      </c>
      <c r="S1116" s="15">
        <v>0</v>
      </c>
      <c r="T1116" s="16">
        <v>0</v>
      </c>
    </row>
    <row r="1117" spans="1:20" ht="16" hidden="1">
      <c r="A1117" s="80" t="s">
        <v>861</v>
      </c>
      <c r="B1117" s="81" t="s">
        <v>162</v>
      </c>
      <c r="C1117" s="18"/>
      <c r="D1117" s="21">
        <v>0</v>
      </c>
      <c r="E1117" s="21">
        <v>0</v>
      </c>
      <c r="F1117" s="21">
        <v>0</v>
      </c>
      <c r="G1117" s="21">
        <v>0</v>
      </c>
      <c r="H1117" s="21">
        <v>0</v>
      </c>
      <c r="I1117" s="21">
        <v>0</v>
      </c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>
        <v>0</v>
      </c>
      <c r="P1117" s="18"/>
      <c r="Q1117" s="82">
        <f t="shared" si="23"/>
        <v>0</v>
      </c>
      <c r="R1117" s="14">
        <v>-694.62000000000035</v>
      </c>
      <c r="S1117" s="15">
        <v>-0.1794202202264257</v>
      </c>
      <c r="T1117" s="16">
        <v>5.1331637318583203E-5</v>
      </c>
    </row>
    <row r="1118" spans="1:20" ht="16" hidden="1">
      <c r="A1118" s="80" t="s">
        <v>862</v>
      </c>
      <c r="B1118" s="81" t="s">
        <v>66</v>
      </c>
      <c r="C1118" s="18"/>
      <c r="D1118" s="21">
        <v>0</v>
      </c>
      <c r="E1118" s="21">
        <v>0</v>
      </c>
      <c r="F1118" s="21">
        <v>0</v>
      </c>
      <c r="G1118" s="21">
        <v>0</v>
      </c>
      <c r="H1118" s="21">
        <v>0</v>
      </c>
      <c r="I1118" s="21">
        <v>0</v>
      </c>
      <c r="J1118" s="3">
        <v>0</v>
      </c>
      <c r="K1118" s="3">
        <v>0</v>
      </c>
      <c r="L1118" s="3">
        <v>0</v>
      </c>
      <c r="M1118" s="3">
        <v>0</v>
      </c>
      <c r="N1118" s="3">
        <v>0</v>
      </c>
      <c r="O1118" s="3">
        <v>0</v>
      </c>
      <c r="P1118" s="18"/>
      <c r="Q1118" s="82">
        <f t="shared" si="23"/>
        <v>0</v>
      </c>
      <c r="R1118" s="14">
        <v>0</v>
      </c>
      <c r="S1118" s="15">
        <v>0</v>
      </c>
      <c r="T1118" s="16">
        <v>9.0792939544315321E-5</v>
      </c>
    </row>
    <row r="1119" spans="1:20" ht="16">
      <c r="A1119" s="80" t="s">
        <v>866</v>
      </c>
      <c r="B1119" s="81" t="s">
        <v>67</v>
      </c>
      <c r="C1119" s="18"/>
      <c r="D1119" s="21">
        <v>0</v>
      </c>
      <c r="E1119" s="21">
        <v>0</v>
      </c>
      <c r="F1119" s="21">
        <v>0</v>
      </c>
      <c r="G1119" s="21">
        <v>0</v>
      </c>
      <c r="H1119" s="21">
        <v>0</v>
      </c>
      <c r="I1119" s="21">
        <v>0</v>
      </c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>
        <v>0</v>
      </c>
      <c r="P1119" s="18"/>
      <c r="Q1119" s="82">
        <f t="shared" si="23"/>
        <v>0</v>
      </c>
      <c r="R1119" s="14">
        <v>-16068.029999999999</v>
      </c>
      <c r="S1119" s="15">
        <v>-0.99612227210676862</v>
      </c>
      <c r="T1119" s="16">
        <v>1.0106847708508047E-6</v>
      </c>
    </row>
    <row r="1120" spans="1:20" ht="16">
      <c r="A1120" s="80" t="s">
        <v>867</v>
      </c>
      <c r="B1120" s="81" t="s">
        <v>67</v>
      </c>
      <c r="C1120" s="18"/>
      <c r="D1120" s="21">
        <v>32209.77</v>
      </c>
      <c r="E1120" s="21">
        <v>32209.77</v>
      </c>
      <c r="F1120" s="21">
        <v>0</v>
      </c>
      <c r="G1120" s="21">
        <v>0</v>
      </c>
      <c r="H1120" s="21">
        <v>0</v>
      </c>
      <c r="I1120" s="21">
        <v>0</v>
      </c>
      <c r="J1120" s="3">
        <v>0</v>
      </c>
      <c r="K1120" s="3">
        <v>0</v>
      </c>
      <c r="L1120" s="3">
        <v>0</v>
      </c>
      <c r="M1120" s="3">
        <v>0</v>
      </c>
      <c r="N1120" s="3">
        <v>0</v>
      </c>
      <c r="O1120" s="3">
        <v>0</v>
      </c>
      <c r="P1120" s="18"/>
      <c r="Q1120" s="82">
        <f t="shared" si="23"/>
        <v>0</v>
      </c>
      <c r="R1120" s="14">
        <v>0</v>
      </c>
      <c r="S1120" s="15">
        <v>0</v>
      </c>
      <c r="T1120" s="16">
        <v>0</v>
      </c>
    </row>
    <row r="1121" spans="1:20" ht="16" hidden="1">
      <c r="A1121" s="80" t="s">
        <v>872</v>
      </c>
      <c r="B1121" s="81" t="s">
        <v>60</v>
      </c>
      <c r="C1121" s="18"/>
      <c r="D1121" s="21">
        <v>0</v>
      </c>
      <c r="E1121" s="21">
        <v>8357.14</v>
      </c>
      <c r="F1121" s="21">
        <v>26357.14</v>
      </c>
      <c r="G1121" s="21">
        <v>30574.28</v>
      </c>
      <c r="H1121" s="21">
        <v>51454.28</v>
      </c>
      <c r="I1121" s="21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18"/>
      <c r="Q1121" s="82">
        <f t="shared" si="23"/>
        <v>0</v>
      </c>
      <c r="R1121" s="14">
        <v>0</v>
      </c>
      <c r="S1121" s="15">
        <v>0</v>
      </c>
      <c r="T1121" s="16">
        <v>0</v>
      </c>
    </row>
    <row r="1122" spans="1:20" ht="16">
      <c r="A1122" s="80" t="s">
        <v>877</v>
      </c>
      <c r="B1122" s="81" t="s">
        <v>67</v>
      </c>
      <c r="C1122" s="18"/>
      <c r="D1122" s="21">
        <v>0</v>
      </c>
      <c r="E1122" s="21">
        <v>0</v>
      </c>
      <c r="F1122" s="21">
        <v>0</v>
      </c>
      <c r="G1122" s="21">
        <v>0</v>
      </c>
      <c r="H1122" s="21">
        <v>0</v>
      </c>
      <c r="I1122" s="21">
        <v>0</v>
      </c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>
        <v>0</v>
      </c>
      <c r="P1122" s="18"/>
      <c r="Q1122" s="82">
        <f t="shared" si="23"/>
        <v>0</v>
      </c>
      <c r="R1122" s="14">
        <v>0</v>
      </c>
      <c r="S1122" s="15">
        <v>0</v>
      </c>
      <c r="T1122" s="16">
        <v>6.4632119638740517E-10</v>
      </c>
    </row>
    <row r="1123" spans="1:20" ht="16" hidden="1">
      <c r="A1123" s="80" t="s">
        <v>877</v>
      </c>
      <c r="B1123" s="81" t="s">
        <v>62</v>
      </c>
      <c r="C1123" s="18"/>
      <c r="D1123" s="21">
        <v>0</v>
      </c>
      <c r="E1123" s="21">
        <v>0</v>
      </c>
      <c r="F1123" s="21">
        <v>0</v>
      </c>
      <c r="G1123" s="21">
        <v>0</v>
      </c>
      <c r="H1123" s="21">
        <v>0</v>
      </c>
      <c r="I1123" s="21">
        <v>0</v>
      </c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>
        <v>0</v>
      </c>
      <c r="P1123" s="18"/>
      <c r="Q1123" s="82">
        <f t="shared" si="23"/>
        <v>0</v>
      </c>
      <c r="R1123" s="14">
        <v>0</v>
      </c>
      <c r="S1123" s="15">
        <v>0</v>
      </c>
      <c r="T1123" s="16">
        <v>3.3931862810338777E-9</v>
      </c>
    </row>
    <row r="1124" spans="1:20" ht="16" hidden="1">
      <c r="A1124" s="80" t="s">
        <v>880</v>
      </c>
      <c r="B1124" s="81" t="s">
        <v>66</v>
      </c>
      <c r="C1124" s="18"/>
      <c r="D1124" s="21">
        <v>0</v>
      </c>
      <c r="E1124" s="21">
        <v>0</v>
      </c>
      <c r="F1124" s="21">
        <v>0</v>
      </c>
      <c r="G1124" s="21">
        <v>0</v>
      </c>
      <c r="H1124" s="21">
        <v>0</v>
      </c>
      <c r="I1124" s="21">
        <v>0</v>
      </c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>
        <v>0</v>
      </c>
      <c r="P1124" s="18"/>
      <c r="Q1124" s="82">
        <f t="shared" si="23"/>
        <v>0</v>
      </c>
      <c r="R1124" s="14">
        <v>0</v>
      </c>
      <c r="S1124" s="15">
        <v>0</v>
      </c>
      <c r="T1124" s="16">
        <v>4.7872203114919623E-5</v>
      </c>
    </row>
    <row r="1125" spans="1:20" ht="16" hidden="1">
      <c r="A1125" s="80" t="s">
        <v>881</v>
      </c>
      <c r="B1125" s="81" t="s">
        <v>78</v>
      </c>
      <c r="C1125" s="18"/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18"/>
      <c r="Q1125" s="82">
        <f t="shared" si="23"/>
        <v>0</v>
      </c>
      <c r="R1125" s="14">
        <v>0</v>
      </c>
      <c r="S1125" s="15">
        <v>0</v>
      </c>
      <c r="T1125" s="16">
        <v>-1.6158029909685137E-10</v>
      </c>
    </row>
    <row r="1126" spans="1:20" ht="16" hidden="1">
      <c r="A1126" s="80" t="s">
        <v>882</v>
      </c>
      <c r="B1126" s="81" t="s">
        <v>78</v>
      </c>
      <c r="C1126" s="18"/>
      <c r="D1126" s="21">
        <v>0</v>
      </c>
      <c r="E1126" s="21">
        <v>0</v>
      </c>
      <c r="F1126" s="21">
        <v>0</v>
      </c>
      <c r="G1126" s="21">
        <v>0</v>
      </c>
      <c r="H1126" s="21">
        <v>0</v>
      </c>
      <c r="I1126" s="21">
        <v>0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0</v>
      </c>
      <c r="P1126" s="18"/>
      <c r="Q1126" s="82">
        <f t="shared" si="23"/>
        <v>0</v>
      </c>
      <c r="R1126" s="14">
        <v>1.0000000000000009E-2</v>
      </c>
      <c r="S1126" s="15">
        <v>7.7519379844961309E-3</v>
      </c>
      <c r="T1126" s="16">
        <v>2.1005438882590668E-8</v>
      </c>
    </row>
    <row r="1127" spans="1:20" ht="16" hidden="1">
      <c r="A1127" s="80" t="s">
        <v>883</v>
      </c>
      <c r="B1127" s="81" t="s">
        <v>78</v>
      </c>
      <c r="C1127" s="18"/>
      <c r="D1127" s="21">
        <v>0</v>
      </c>
      <c r="E1127" s="21">
        <v>0</v>
      </c>
      <c r="F1127" s="21">
        <v>0</v>
      </c>
      <c r="G1127" s="21">
        <v>0</v>
      </c>
      <c r="H1127" s="21">
        <v>0</v>
      </c>
      <c r="I1127" s="21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18"/>
      <c r="Q1127" s="82">
        <f t="shared" si="23"/>
        <v>0</v>
      </c>
      <c r="R1127" s="14">
        <v>0</v>
      </c>
      <c r="S1127" s="15">
        <v>0</v>
      </c>
      <c r="T1127" s="16">
        <v>0</v>
      </c>
    </row>
    <row r="1128" spans="1:20" ht="16" hidden="1">
      <c r="A1128" s="80" t="s">
        <v>884</v>
      </c>
      <c r="B1128" s="81" t="s">
        <v>60</v>
      </c>
      <c r="C1128" s="18"/>
      <c r="D1128" s="21">
        <v>317147.83</v>
      </c>
      <c r="E1128" s="21">
        <v>8452.15</v>
      </c>
      <c r="F1128" s="21">
        <v>8452.15</v>
      </c>
      <c r="G1128" s="21">
        <v>8452.15</v>
      </c>
      <c r="H1128" s="21">
        <v>0</v>
      </c>
      <c r="I1128" s="21">
        <v>0</v>
      </c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>
        <v>0</v>
      </c>
      <c r="P1128" s="18"/>
      <c r="Q1128" s="82">
        <f t="shared" si="23"/>
        <v>0</v>
      </c>
      <c r="R1128" s="14">
        <v>0</v>
      </c>
      <c r="S1128" s="15">
        <v>0</v>
      </c>
      <c r="T1128" s="16">
        <v>0</v>
      </c>
    </row>
    <row r="1129" spans="1:20" ht="16" hidden="1">
      <c r="A1129" s="80" t="s">
        <v>888</v>
      </c>
      <c r="B1129" s="81" t="s">
        <v>62</v>
      </c>
      <c r="C1129" s="18"/>
      <c r="D1129" s="21">
        <v>0</v>
      </c>
      <c r="E1129" s="21">
        <v>0</v>
      </c>
      <c r="F1129" s="21">
        <v>0</v>
      </c>
      <c r="G1129" s="21">
        <v>0</v>
      </c>
      <c r="H1129" s="21">
        <v>0</v>
      </c>
      <c r="I1129" s="21">
        <v>0</v>
      </c>
      <c r="J1129" s="3">
        <v>0</v>
      </c>
      <c r="K1129" s="3">
        <v>0</v>
      </c>
      <c r="L1129" s="3">
        <v>0</v>
      </c>
      <c r="M1129" s="3">
        <v>0</v>
      </c>
      <c r="N1129" s="3">
        <v>0</v>
      </c>
      <c r="O1129" s="3">
        <v>0</v>
      </c>
      <c r="P1129" s="18"/>
      <c r="Q1129" s="82">
        <f t="shared" si="23"/>
        <v>0</v>
      </c>
      <c r="R1129" s="14">
        <v>0</v>
      </c>
      <c r="S1129" s="15">
        <v>0</v>
      </c>
      <c r="T1129" s="16">
        <v>-5.6059427619732405E-26</v>
      </c>
    </row>
    <row r="1130" spans="1:20" ht="16" hidden="1">
      <c r="A1130" s="80" t="s">
        <v>890</v>
      </c>
      <c r="B1130" s="81" t="s">
        <v>85</v>
      </c>
      <c r="C1130" s="18"/>
      <c r="D1130" s="21">
        <v>0</v>
      </c>
      <c r="E1130" s="21">
        <v>0</v>
      </c>
      <c r="F1130" s="21">
        <v>0</v>
      </c>
      <c r="G1130" s="21">
        <v>0</v>
      </c>
      <c r="H1130" s="21">
        <v>0</v>
      </c>
      <c r="I1130" s="21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18"/>
      <c r="Q1130" s="82">
        <f t="shared" si="23"/>
        <v>0</v>
      </c>
      <c r="R1130" s="14">
        <v>-35819.790000000095</v>
      </c>
      <c r="S1130" s="15">
        <v>-0.12336246729687304</v>
      </c>
      <c r="T1130" s="16">
        <v>4.1129029045815424E-3</v>
      </c>
    </row>
    <row r="1131" spans="1:20" ht="16">
      <c r="A1131" s="80" t="s">
        <v>891</v>
      </c>
      <c r="B1131" s="81" t="s">
        <v>67</v>
      </c>
      <c r="C1131" s="18"/>
      <c r="D1131" s="21">
        <v>0</v>
      </c>
      <c r="E1131" s="21">
        <v>0</v>
      </c>
      <c r="F1131" s="21">
        <v>0</v>
      </c>
      <c r="G1131" s="21">
        <v>0</v>
      </c>
      <c r="H1131" s="21">
        <v>0</v>
      </c>
      <c r="I1131" s="21">
        <v>0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>
        <v>0</v>
      </c>
      <c r="P1131" s="18"/>
      <c r="Q1131" s="82">
        <f t="shared" si="23"/>
        <v>0</v>
      </c>
      <c r="R1131" s="14">
        <v>1499.929999999993</v>
      </c>
      <c r="S1131" s="15">
        <v>2.822785534318004E-2</v>
      </c>
      <c r="T1131" s="16">
        <v>8.82817393259016E-4</v>
      </c>
    </row>
    <row r="1132" spans="1:20" ht="16" hidden="1">
      <c r="A1132" s="80" t="s">
        <v>892</v>
      </c>
      <c r="B1132" s="81" t="s">
        <v>62</v>
      </c>
      <c r="C1132" s="18"/>
      <c r="D1132" s="21">
        <v>0</v>
      </c>
      <c r="E1132" s="21">
        <v>0</v>
      </c>
      <c r="F1132" s="21">
        <v>0</v>
      </c>
      <c r="G1132" s="21">
        <v>0</v>
      </c>
      <c r="H1132" s="21">
        <v>0</v>
      </c>
      <c r="I1132" s="21">
        <v>0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18"/>
      <c r="Q1132" s="82">
        <f t="shared" si="23"/>
        <v>0</v>
      </c>
      <c r="R1132" s="14">
        <v>-24739.199999999983</v>
      </c>
      <c r="S1132" s="15">
        <v>-0.11528491089339227</v>
      </c>
      <c r="T1132" s="16">
        <v>3.0676444739723848E-3</v>
      </c>
    </row>
    <row r="1133" spans="1:20" ht="16" hidden="1">
      <c r="A1133" s="80" t="s">
        <v>894</v>
      </c>
      <c r="B1133" s="81" t="s">
        <v>85</v>
      </c>
      <c r="C1133" s="18"/>
      <c r="D1133" s="21">
        <v>0</v>
      </c>
      <c r="E1133" s="21">
        <v>0</v>
      </c>
      <c r="F1133" s="21">
        <v>0</v>
      </c>
      <c r="G1133" s="21">
        <v>0</v>
      </c>
      <c r="H1133" s="21">
        <v>0</v>
      </c>
      <c r="I1133" s="21">
        <v>0</v>
      </c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>
        <v>0</v>
      </c>
      <c r="P1133" s="18"/>
      <c r="Q1133" s="82">
        <f t="shared" si="23"/>
        <v>0</v>
      </c>
      <c r="R1133" s="14">
        <v>0</v>
      </c>
      <c r="S1133" s="15">
        <v>0</v>
      </c>
      <c r="T1133" s="16">
        <v>0</v>
      </c>
    </row>
    <row r="1134" spans="1:20" ht="16" hidden="1">
      <c r="A1134" s="80" t="s">
        <v>895</v>
      </c>
      <c r="B1134" s="81" t="s">
        <v>85</v>
      </c>
      <c r="C1134" s="18"/>
      <c r="D1134" s="21">
        <v>0</v>
      </c>
      <c r="E1134" s="21">
        <v>0</v>
      </c>
      <c r="F1134" s="21">
        <v>0</v>
      </c>
      <c r="G1134" s="21">
        <v>0</v>
      </c>
      <c r="H1134" s="21">
        <v>0</v>
      </c>
      <c r="I1134" s="21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18"/>
      <c r="Q1134" s="82">
        <f t="shared" si="23"/>
        <v>0</v>
      </c>
      <c r="R1134" s="14">
        <v>9280</v>
      </c>
      <c r="S1134" s="15">
        <v>0.77499958243556977</v>
      </c>
      <c r="T1134" s="16">
        <v>3.4342599930642972E-4</v>
      </c>
    </row>
    <row r="1135" spans="1:20" ht="16" hidden="1">
      <c r="A1135" s="80" t="s">
        <v>896</v>
      </c>
      <c r="B1135" s="81" t="s">
        <v>76</v>
      </c>
      <c r="C1135" s="18"/>
      <c r="D1135" s="21">
        <v>0</v>
      </c>
      <c r="E1135" s="21">
        <v>0</v>
      </c>
      <c r="F1135" s="21">
        <v>0</v>
      </c>
      <c r="G1135" s="21">
        <v>0</v>
      </c>
      <c r="H1135" s="21">
        <v>0</v>
      </c>
      <c r="I1135" s="21">
        <v>0</v>
      </c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>
        <v>0</v>
      </c>
      <c r="P1135" s="18"/>
      <c r="Q1135" s="82">
        <f t="shared" si="23"/>
        <v>0</v>
      </c>
      <c r="R1135" s="14">
        <v>0</v>
      </c>
      <c r="S1135" s="15">
        <v>0</v>
      </c>
      <c r="T1135" s="16">
        <v>0</v>
      </c>
    </row>
    <row r="1136" spans="1:20" ht="16" hidden="1">
      <c r="A1136" s="80" t="s">
        <v>898</v>
      </c>
      <c r="B1136" s="81" t="s">
        <v>78</v>
      </c>
      <c r="C1136" s="18"/>
      <c r="D1136" s="21">
        <v>0</v>
      </c>
      <c r="E1136" s="21">
        <v>4640</v>
      </c>
      <c r="F1136" s="21">
        <v>9280</v>
      </c>
      <c r="G1136" s="21">
        <v>13920</v>
      </c>
      <c r="H1136" s="21">
        <v>13920</v>
      </c>
      <c r="I1136" s="21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18"/>
      <c r="Q1136" s="82">
        <f t="shared" si="23"/>
        <v>0</v>
      </c>
      <c r="R1136" s="14">
        <v>1.0000000000000009E-2</v>
      </c>
      <c r="S1136" s="15">
        <v>6.6666666666666721E-2</v>
      </c>
      <c r="T1136" s="16">
        <v>2.5852847855496215E-9</v>
      </c>
    </row>
    <row r="1137" spans="1:20" ht="16" hidden="1">
      <c r="A1137" s="80" t="s">
        <v>899</v>
      </c>
      <c r="B1137" s="81" t="s">
        <v>83</v>
      </c>
      <c r="C1137" s="18"/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>
        <v>0</v>
      </c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>
        <v>0</v>
      </c>
      <c r="P1137" s="18"/>
      <c r="Q1137" s="82">
        <f t="shared" si="23"/>
        <v>0</v>
      </c>
      <c r="R1137" s="14">
        <v>0</v>
      </c>
      <c r="S1137" s="15">
        <v>0</v>
      </c>
      <c r="T1137" s="16">
        <v>-6.6247922629709023E-9</v>
      </c>
    </row>
    <row r="1138" spans="1:20" ht="16">
      <c r="A1138" s="80" t="s">
        <v>901</v>
      </c>
      <c r="B1138" s="81" t="s">
        <v>67</v>
      </c>
      <c r="C1138" s="18"/>
      <c r="D1138" s="21">
        <v>0</v>
      </c>
      <c r="E1138" s="21">
        <v>0</v>
      </c>
      <c r="F1138" s="21">
        <v>0</v>
      </c>
      <c r="G1138" s="21">
        <v>0</v>
      </c>
      <c r="H1138" s="21">
        <v>0</v>
      </c>
      <c r="I1138" s="21">
        <v>0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18"/>
      <c r="Q1138" s="82">
        <f t="shared" si="23"/>
        <v>0</v>
      </c>
      <c r="R1138" s="14">
        <v>0</v>
      </c>
      <c r="S1138" s="15">
        <v>0</v>
      </c>
      <c r="T1138" s="16">
        <v>6.2148053599954149E-3</v>
      </c>
    </row>
    <row r="1139" spans="1:20" ht="16" hidden="1">
      <c r="A1139" s="80" t="s">
        <v>902</v>
      </c>
      <c r="B1139" s="81" t="s">
        <v>78</v>
      </c>
      <c r="C1139" s="18"/>
      <c r="D1139" s="21">
        <v>0</v>
      </c>
      <c r="E1139" s="21">
        <v>0</v>
      </c>
      <c r="F1139" s="21">
        <v>0</v>
      </c>
      <c r="G1139" s="21">
        <v>0</v>
      </c>
      <c r="H1139" s="21">
        <v>0</v>
      </c>
      <c r="I1139" s="21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18"/>
      <c r="Q1139" s="82">
        <f t="shared" si="23"/>
        <v>0</v>
      </c>
      <c r="R1139" s="14">
        <v>0</v>
      </c>
      <c r="S1139" s="15">
        <v>0</v>
      </c>
      <c r="T1139" s="16">
        <v>3.2316059819370253E-10</v>
      </c>
    </row>
    <row r="1140" spans="1:20" ht="16" hidden="1">
      <c r="A1140" s="80" t="s">
        <v>904</v>
      </c>
      <c r="B1140" s="81" t="s">
        <v>85</v>
      </c>
      <c r="C1140" s="18"/>
      <c r="D1140" s="21">
        <v>0</v>
      </c>
      <c r="E1140" s="21">
        <v>0</v>
      </c>
      <c r="F1140" s="21">
        <v>0</v>
      </c>
      <c r="G1140" s="21">
        <v>0</v>
      </c>
      <c r="H1140" s="21">
        <v>0</v>
      </c>
      <c r="I1140" s="21">
        <v>0</v>
      </c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>
        <v>0</v>
      </c>
      <c r="P1140" s="18"/>
      <c r="Q1140" s="82">
        <f t="shared" si="23"/>
        <v>0</v>
      </c>
      <c r="R1140" s="14">
        <v>0</v>
      </c>
      <c r="S1140" s="15">
        <v>0</v>
      </c>
      <c r="T1140" s="16">
        <v>0</v>
      </c>
    </row>
    <row r="1141" spans="1:20" ht="16" hidden="1">
      <c r="A1141" s="80" t="s">
        <v>905</v>
      </c>
      <c r="B1141" s="81" t="s">
        <v>62</v>
      </c>
      <c r="C1141" s="18"/>
      <c r="D1141" s="21">
        <v>0</v>
      </c>
      <c r="E1141" s="21">
        <v>0</v>
      </c>
      <c r="F1141" s="21">
        <v>0</v>
      </c>
      <c r="G1141" s="21">
        <v>0</v>
      </c>
      <c r="H1141" s="21">
        <v>0</v>
      </c>
      <c r="I1141" s="21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18"/>
      <c r="Q1141" s="82">
        <f t="shared" si="23"/>
        <v>0</v>
      </c>
      <c r="R1141" s="14">
        <v>0</v>
      </c>
      <c r="S1141" s="15">
        <v>0</v>
      </c>
      <c r="T1141" s="16">
        <v>0</v>
      </c>
    </row>
    <row r="1142" spans="1:20" ht="16" hidden="1">
      <c r="A1142" s="80" t="s">
        <v>912</v>
      </c>
      <c r="B1142" s="81" t="s">
        <v>66</v>
      </c>
      <c r="C1142" s="18"/>
      <c r="D1142" s="21">
        <v>1000</v>
      </c>
      <c r="E1142" s="21">
        <v>0</v>
      </c>
      <c r="F1142" s="21">
        <v>0</v>
      </c>
      <c r="G1142" s="21">
        <v>0</v>
      </c>
      <c r="H1142" s="21">
        <v>0</v>
      </c>
      <c r="I1142" s="21">
        <v>0</v>
      </c>
      <c r="J1142" s="3">
        <v>0</v>
      </c>
      <c r="K1142" s="3">
        <v>0</v>
      </c>
      <c r="L1142" s="3">
        <v>0</v>
      </c>
      <c r="M1142" s="3">
        <v>0</v>
      </c>
      <c r="N1142" s="3">
        <v>0</v>
      </c>
      <c r="O1142" s="3">
        <v>0</v>
      </c>
      <c r="P1142" s="18"/>
      <c r="Q1142" s="82">
        <f t="shared" si="23"/>
        <v>0</v>
      </c>
      <c r="R1142" s="14">
        <v>0</v>
      </c>
      <c r="S1142" s="15">
        <v>0</v>
      </c>
      <c r="T1142" s="16">
        <v>-1.4542226918716617E-9</v>
      </c>
    </row>
    <row r="1143" spans="1:20" ht="16" hidden="1">
      <c r="A1143" s="80" t="s">
        <v>913</v>
      </c>
      <c r="B1143" s="81" t="s">
        <v>83</v>
      </c>
      <c r="C1143" s="18"/>
      <c r="D1143" s="21">
        <v>0</v>
      </c>
      <c r="E1143" s="21">
        <v>0</v>
      </c>
      <c r="F1143" s="21">
        <v>0</v>
      </c>
      <c r="G1143" s="21">
        <v>0</v>
      </c>
      <c r="H1143" s="21">
        <v>0</v>
      </c>
      <c r="I1143" s="21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18"/>
      <c r="Q1143" s="82">
        <f t="shared" si="23"/>
        <v>0</v>
      </c>
      <c r="R1143" s="14">
        <v>0</v>
      </c>
      <c r="S1143" s="15">
        <v>0</v>
      </c>
      <c r="T1143" s="16">
        <v>2.2621241873559179E-9</v>
      </c>
    </row>
    <row r="1144" spans="1:20" ht="16" hidden="1">
      <c r="A1144" s="80" t="s">
        <v>914</v>
      </c>
      <c r="B1144" s="81" t="s">
        <v>78</v>
      </c>
      <c r="C1144" s="18"/>
      <c r="D1144" s="21">
        <v>0</v>
      </c>
      <c r="E1144" s="21">
        <v>0</v>
      </c>
      <c r="F1144" s="21">
        <v>0</v>
      </c>
      <c r="G1144" s="21">
        <v>0</v>
      </c>
      <c r="H1144" s="21">
        <v>0</v>
      </c>
      <c r="I1144" s="21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18"/>
      <c r="Q1144" s="82">
        <f t="shared" si="23"/>
        <v>0</v>
      </c>
      <c r="R1144" s="14">
        <v>0</v>
      </c>
      <c r="S1144" s="15">
        <v>0</v>
      </c>
      <c r="T1144" s="16">
        <v>5.8202839537676792E-6</v>
      </c>
    </row>
    <row r="1145" spans="1:20" ht="16" hidden="1">
      <c r="A1145" s="80" t="s">
        <v>916</v>
      </c>
      <c r="B1145" s="81" t="s">
        <v>62</v>
      </c>
      <c r="C1145" s="18"/>
      <c r="D1145" s="21">
        <v>0</v>
      </c>
      <c r="E1145" s="21">
        <v>0</v>
      </c>
      <c r="F1145" s="21">
        <v>0</v>
      </c>
      <c r="G1145" s="21">
        <v>0</v>
      </c>
      <c r="H1145" s="21">
        <v>0</v>
      </c>
      <c r="I1145" s="21">
        <v>0</v>
      </c>
      <c r="J1145" s="3">
        <v>0</v>
      </c>
      <c r="K1145" s="3">
        <v>0</v>
      </c>
      <c r="L1145" s="3">
        <v>0</v>
      </c>
      <c r="M1145" s="3">
        <v>0</v>
      </c>
      <c r="N1145" s="3">
        <v>0</v>
      </c>
      <c r="O1145" s="3">
        <v>0</v>
      </c>
      <c r="P1145" s="18"/>
      <c r="Q1145" s="82">
        <f t="shared" si="23"/>
        <v>0</v>
      </c>
      <c r="R1145" s="14">
        <v>0</v>
      </c>
      <c r="S1145" s="15">
        <v>0</v>
      </c>
      <c r="T1145" s="16">
        <v>1.1310620936779594E-9</v>
      </c>
    </row>
    <row r="1146" spans="1:20" ht="16" hidden="1">
      <c r="A1146" s="80" t="s">
        <v>917</v>
      </c>
      <c r="B1146" s="81" t="s">
        <v>60</v>
      </c>
      <c r="C1146" s="18"/>
      <c r="D1146" s="21">
        <v>0</v>
      </c>
      <c r="E1146" s="21">
        <v>0</v>
      </c>
      <c r="F1146" s="21">
        <v>0</v>
      </c>
      <c r="G1146" s="21">
        <v>0</v>
      </c>
      <c r="H1146" s="21">
        <v>0</v>
      </c>
      <c r="I1146" s="21">
        <v>0</v>
      </c>
      <c r="J1146" s="3">
        <v>0</v>
      </c>
      <c r="K1146" s="3">
        <v>0</v>
      </c>
      <c r="L1146" s="3">
        <v>0</v>
      </c>
      <c r="M1146" s="3">
        <v>0</v>
      </c>
      <c r="N1146" s="3">
        <v>0</v>
      </c>
      <c r="O1146" s="3">
        <v>0</v>
      </c>
      <c r="P1146" s="18"/>
      <c r="Q1146" s="82">
        <f t="shared" si="23"/>
        <v>0</v>
      </c>
      <c r="R1146" s="14">
        <v>0</v>
      </c>
      <c r="S1146" s="15">
        <v>0</v>
      </c>
      <c r="T1146" s="16">
        <v>0</v>
      </c>
    </row>
    <row r="1147" spans="1:20" ht="16">
      <c r="A1147" s="80" t="s">
        <v>918</v>
      </c>
      <c r="B1147" s="81" t="s">
        <v>67</v>
      </c>
      <c r="C1147" s="18"/>
      <c r="D1147" s="21">
        <v>0</v>
      </c>
      <c r="E1147" s="21">
        <v>0</v>
      </c>
      <c r="F1147" s="21">
        <v>0</v>
      </c>
      <c r="G1147" s="21">
        <v>0</v>
      </c>
      <c r="H1147" s="21">
        <v>0</v>
      </c>
      <c r="I1147" s="21">
        <v>0</v>
      </c>
      <c r="J1147" s="3">
        <v>0</v>
      </c>
      <c r="K1147" s="3">
        <v>0</v>
      </c>
      <c r="L1147" s="3">
        <v>0</v>
      </c>
      <c r="M1147" s="3">
        <v>0</v>
      </c>
      <c r="N1147" s="3">
        <v>0</v>
      </c>
      <c r="O1147" s="3">
        <v>0</v>
      </c>
      <c r="P1147" s="18"/>
      <c r="Q1147" s="82">
        <f t="shared" si="23"/>
        <v>0</v>
      </c>
      <c r="R1147" s="14">
        <v>-3.4499999999582087E-4</v>
      </c>
      <c r="S1147" s="15">
        <v>-2.8040134323444902E-6</v>
      </c>
      <c r="T1147" s="16">
        <v>1.9880449299713368E-6</v>
      </c>
    </row>
    <row r="1148" spans="1:20" ht="16" hidden="1">
      <c r="A1148" s="80" t="s">
        <v>921</v>
      </c>
      <c r="B1148" s="81" t="s">
        <v>76</v>
      </c>
      <c r="C1148" s="18"/>
      <c r="D1148" s="21">
        <v>0</v>
      </c>
      <c r="E1148" s="21">
        <v>0</v>
      </c>
      <c r="F1148" s="21">
        <v>0</v>
      </c>
      <c r="G1148" s="21">
        <v>0</v>
      </c>
      <c r="H1148" s="21">
        <v>0</v>
      </c>
      <c r="I1148" s="21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18"/>
      <c r="Q1148" s="82">
        <f t="shared" si="23"/>
        <v>0</v>
      </c>
      <c r="R1148" s="14">
        <v>0</v>
      </c>
      <c r="S1148" s="15">
        <v>0</v>
      </c>
      <c r="T1148" s="16">
        <v>0</v>
      </c>
    </row>
    <row r="1149" spans="1:20" ht="16" hidden="1">
      <c r="A1149" s="80" t="s">
        <v>921</v>
      </c>
      <c r="B1149" s="81" t="s">
        <v>78</v>
      </c>
      <c r="C1149" s="18"/>
      <c r="D1149" s="21">
        <v>0</v>
      </c>
      <c r="E1149" s="21">
        <v>0</v>
      </c>
      <c r="F1149" s="21">
        <v>0</v>
      </c>
      <c r="G1149" s="21">
        <v>0</v>
      </c>
      <c r="H1149" s="21">
        <v>0</v>
      </c>
      <c r="I1149" s="21">
        <v>0</v>
      </c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>
        <v>0</v>
      </c>
      <c r="P1149" s="18"/>
      <c r="Q1149" s="82">
        <f t="shared" si="23"/>
        <v>0</v>
      </c>
      <c r="R1149" s="14">
        <v>0</v>
      </c>
      <c r="S1149" s="15">
        <v>0</v>
      </c>
      <c r="T1149" s="16">
        <v>5.4318125986790313E-4</v>
      </c>
    </row>
    <row r="1150" spans="1:20" ht="16" hidden="1">
      <c r="A1150" s="80" t="s">
        <v>922</v>
      </c>
      <c r="B1150" s="81" t="s">
        <v>62</v>
      </c>
      <c r="C1150" s="18"/>
      <c r="D1150" s="21">
        <v>0</v>
      </c>
      <c r="E1150" s="21">
        <v>0</v>
      </c>
      <c r="F1150" s="21">
        <v>0</v>
      </c>
      <c r="G1150" s="21">
        <v>0</v>
      </c>
      <c r="H1150" s="21">
        <v>0</v>
      </c>
      <c r="I1150" s="21">
        <v>0</v>
      </c>
      <c r="J1150" s="3">
        <v>0</v>
      </c>
      <c r="K1150" s="3">
        <v>0</v>
      </c>
      <c r="L1150" s="3">
        <v>0</v>
      </c>
      <c r="M1150" s="3">
        <v>0</v>
      </c>
      <c r="N1150" s="3">
        <v>0</v>
      </c>
      <c r="O1150" s="3">
        <v>0</v>
      </c>
      <c r="P1150" s="18"/>
      <c r="Q1150" s="82">
        <f t="shared" si="23"/>
        <v>0</v>
      </c>
      <c r="R1150" s="14">
        <v>0</v>
      </c>
      <c r="S1150" s="15">
        <v>0</v>
      </c>
      <c r="T1150" s="16">
        <v>0</v>
      </c>
    </row>
    <row r="1151" spans="1:20" ht="16" hidden="1">
      <c r="A1151" s="80" t="s">
        <v>924</v>
      </c>
      <c r="B1151" s="81" t="s">
        <v>66</v>
      </c>
      <c r="C1151" s="18"/>
      <c r="D1151" s="21">
        <v>41139.1</v>
      </c>
      <c r="E1151" s="21">
        <v>41139.1</v>
      </c>
      <c r="F1151" s="21">
        <v>0</v>
      </c>
      <c r="G1151" s="21">
        <v>0</v>
      </c>
      <c r="H1151" s="21">
        <v>0</v>
      </c>
      <c r="I1151" s="21">
        <v>0</v>
      </c>
      <c r="J1151" s="3">
        <v>0</v>
      </c>
      <c r="K1151" s="3">
        <v>0</v>
      </c>
      <c r="L1151" s="3">
        <v>0</v>
      </c>
      <c r="M1151" s="3">
        <v>0</v>
      </c>
      <c r="N1151" s="3">
        <v>0</v>
      </c>
      <c r="O1151" s="3">
        <v>0</v>
      </c>
      <c r="P1151" s="18"/>
      <c r="Q1151" s="82">
        <f t="shared" si="23"/>
        <v>0</v>
      </c>
      <c r="R1151" s="14">
        <v>9.999999999999995E-3</v>
      </c>
      <c r="S1151" s="15">
        <v>0.14285714285714277</v>
      </c>
      <c r="T1151" s="16">
        <v>1.2926423927748103E-9</v>
      </c>
    </row>
    <row r="1152" spans="1:20" ht="16" hidden="1">
      <c r="A1152" s="80" t="s">
        <v>924</v>
      </c>
      <c r="B1152" s="81" t="s">
        <v>78</v>
      </c>
      <c r="C1152" s="18"/>
      <c r="D1152" s="21">
        <v>0</v>
      </c>
      <c r="E1152" s="21">
        <v>0</v>
      </c>
      <c r="F1152" s="21">
        <v>0</v>
      </c>
      <c r="G1152" s="21">
        <v>0</v>
      </c>
      <c r="H1152" s="21">
        <v>0</v>
      </c>
      <c r="I1152" s="21">
        <v>0</v>
      </c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>
        <v>0</v>
      </c>
      <c r="P1152" s="18"/>
      <c r="Q1152" s="82">
        <f t="shared" si="23"/>
        <v>0</v>
      </c>
      <c r="R1152" s="14">
        <v>0</v>
      </c>
      <c r="S1152" s="15">
        <v>0</v>
      </c>
      <c r="T1152" s="16">
        <v>1.2296260761270387E-7</v>
      </c>
    </row>
    <row r="1153" spans="1:20" ht="16" hidden="1">
      <c r="A1153" s="80" t="s">
        <v>924</v>
      </c>
      <c r="B1153" s="81" t="s">
        <v>60</v>
      </c>
      <c r="C1153" s="18"/>
      <c r="D1153" s="21">
        <v>0</v>
      </c>
      <c r="E1153" s="21">
        <v>0</v>
      </c>
      <c r="F1153" s="21">
        <v>0</v>
      </c>
      <c r="G1153" s="21">
        <v>0</v>
      </c>
      <c r="H1153" s="21">
        <v>48631.86</v>
      </c>
      <c r="I1153" s="21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18"/>
      <c r="Q1153" s="82">
        <f t="shared" si="23"/>
        <v>0</v>
      </c>
      <c r="R1153" s="14">
        <v>0</v>
      </c>
      <c r="S1153" s="15">
        <v>0</v>
      </c>
      <c r="T1153" s="16">
        <v>0</v>
      </c>
    </row>
    <row r="1154" spans="1:20" ht="16" hidden="1">
      <c r="A1154" s="80" t="s">
        <v>925</v>
      </c>
      <c r="B1154" s="81" t="s">
        <v>145</v>
      </c>
      <c r="C1154" s="18"/>
      <c r="D1154" s="21">
        <v>0</v>
      </c>
      <c r="E1154" s="21">
        <v>0</v>
      </c>
      <c r="F1154" s="21">
        <v>0</v>
      </c>
      <c r="G1154" s="21">
        <v>0</v>
      </c>
      <c r="H1154" s="21">
        <v>0</v>
      </c>
      <c r="I1154" s="21">
        <v>0</v>
      </c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>
        <v>0</v>
      </c>
      <c r="P1154" s="18"/>
      <c r="Q1154" s="82">
        <f t="shared" si="23"/>
        <v>0</v>
      </c>
      <c r="R1154" s="14">
        <v>0</v>
      </c>
      <c r="S1154" s="15">
        <v>0</v>
      </c>
      <c r="T1154" s="16">
        <v>0</v>
      </c>
    </row>
    <row r="1155" spans="1:20" ht="16" hidden="1">
      <c r="A1155" s="80" t="s">
        <v>926</v>
      </c>
      <c r="B1155" s="81" t="s">
        <v>62</v>
      </c>
      <c r="C1155" s="18"/>
      <c r="D1155" s="21">
        <v>0</v>
      </c>
      <c r="E1155" s="21">
        <v>0</v>
      </c>
      <c r="F1155" s="21">
        <v>0</v>
      </c>
      <c r="G1155" s="21">
        <v>0</v>
      </c>
      <c r="H1155" s="21">
        <v>0</v>
      </c>
      <c r="I1155" s="21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18"/>
      <c r="Q1155" s="82">
        <f t="shared" si="23"/>
        <v>0</v>
      </c>
      <c r="R1155" s="14">
        <v>21.735347999999249</v>
      </c>
      <c r="S1155" s="15">
        <v>5.2218112897778196E-3</v>
      </c>
      <c r="T1155" s="16">
        <v>6.7607633773032961E-5</v>
      </c>
    </row>
    <row r="1156" spans="1:20" ht="16" hidden="1">
      <c r="A1156" s="80" t="s">
        <v>929</v>
      </c>
      <c r="B1156" s="81" t="s">
        <v>66</v>
      </c>
      <c r="C1156" s="18"/>
      <c r="D1156" s="21">
        <v>57229.9</v>
      </c>
      <c r="E1156" s="21">
        <v>57229.9</v>
      </c>
      <c r="F1156" s="21">
        <v>0</v>
      </c>
      <c r="G1156" s="21">
        <v>28614.95</v>
      </c>
      <c r="H1156" s="21">
        <v>0</v>
      </c>
      <c r="I1156" s="21">
        <v>0</v>
      </c>
      <c r="J1156" s="3">
        <v>0</v>
      </c>
      <c r="K1156" s="3">
        <v>0</v>
      </c>
      <c r="L1156" s="3">
        <v>0</v>
      </c>
      <c r="M1156" s="3">
        <v>0</v>
      </c>
      <c r="N1156" s="3">
        <v>0</v>
      </c>
      <c r="O1156" s="3">
        <v>0</v>
      </c>
      <c r="P1156" s="18"/>
      <c r="Q1156" s="82">
        <f t="shared" si="23"/>
        <v>0</v>
      </c>
      <c r="R1156" s="14">
        <v>0</v>
      </c>
      <c r="S1156" s="15">
        <v>0</v>
      </c>
      <c r="T1156" s="16">
        <v>3.2316059819370259E-10</v>
      </c>
    </row>
    <row r="1157" spans="1:20" ht="16" hidden="1">
      <c r="A1157" s="80" t="s">
        <v>931</v>
      </c>
      <c r="B1157" s="81" t="s">
        <v>78</v>
      </c>
      <c r="C1157" s="18"/>
      <c r="D1157" s="21">
        <v>0</v>
      </c>
      <c r="E1157" s="21">
        <v>0</v>
      </c>
      <c r="F1157" s="21">
        <v>0</v>
      </c>
      <c r="G1157" s="21">
        <v>0</v>
      </c>
      <c r="H1157" s="21">
        <v>0</v>
      </c>
      <c r="I1157" s="21">
        <v>0</v>
      </c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>
        <v>0</v>
      </c>
      <c r="P1157" s="18"/>
      <c r="Q1157" s="82">
        <f t="shared" si="23"/>
        <v>0</v>
      </c>
      <c r="R1157" s="14">
        <v>60555.439999999973</v>
      </c>
      <c r="S1157" s="15">
        <v>0.48909030832859279</v>
      </c>
      <c r="T1157" s="16">
        <v>2.9790209115237425E-3</v>
      </c>
    </row>
    <row r="1158" spans="1:20" ht="16" hidden="1">
      <c r="A1158" s="80" t="s">
        <v>933</v>
      </c>
      <c r="B1158" s="81" t="s">
        <v>78</v>
      </c>
      <c r="C1158" s="18"/>
      <c r="D1158" s="21">
        <v>0</v>
      </c>
      <c r="E1158" s="21">
        <v>0</v>
      </c>
      <c r="F1158" s="21">
        <v>0</v>
      </c>
      <c r="G1158" s="21">
        <v>0</v>
      </c>
      <c r="H1158" s="21">
        <v>0</v>
      </c>
      <c r="I1158" s="21">
        <v>0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18"/>
      <c r="Q1158" s="82">
        <f t="shared" si="23"/>
        <v>0</v>
      </c>
      <c r="R1158" s="14">
        <v>0</v>
      </c>
      <c r="S1158" s="15">
        <v>0</v>
      </c>
      <c r="T1158" s="16">
        <v>2.0154201550888636E-3</v>
      </c>
    </row>
    <row r="1159" spans="1:20" ht="16" hidden="1">
      <c r="A1159" s="80" t="s">
        <v>936</v>
      </c>
      <c r="B1159" s="81" t="s">
        <v>62</v>
      </c>
      <c r="C1159" s="18"/>
      <c r="D1159" s="21">
        <v>0</v>
      </c>
      <c r="E1159" s="21">
        <v>0</v>
      </c>
      <c r="F1159" s="21">
        <v>0</v>
      </c>
      <c r="G1159" s="21">
        <v>0</v>
      </c>
      <c r="H1159" s="21">
        <v>0</v>
      </c>
      <c r="I1159" s="21">
        <v>0</v>
      </c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>
        <v>0</v>
      </c>
      <c r="P1159" s="18"/>
      <c r="Q1159" s="82">
        <f t="shared" si="23"/>
        <v>0</v>
      </c>
      <c r="R1159" s="14">
        <v>0</v>
      </c>
      <c r="S1159" s="15">
        <v>0</v>
      </c>
      <c r="T1159" s="16">
        <v>1.3024722918506661E-3</v>
      </c>
    </row>
    <row r="1160" spans="1:20" ht="16" hidden="1">
      <c r="A1160" s="80" t="s">
        <v>936</v>
      </c>
      <c r="B1160" s="81" t="s">
        <v>78</v>
      </c>
      <c r="C1160" s="18"/>
      <c r="D1160" s="21">
        <v>0</v>
      </c>
      <c r="E1160" s="21">
        <v>0</v>
      </c>
      <c r="F1160" s="21">
        <v>0</v>
      </c>
      <c r="G1160" s="21">
        <v>0</v>
      </c>
      <c r="H1160" s="21">
        <v>0</v>
      </c>
      <c r="I1160" s="21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18"/>
      <c r="Q1160" s="82">
        <f t="shared" si="23"/>
        <v>0</v>
      </c>
      <c r="R1160" s="14">
        <v>0</v>
      </c>
      <c r="S1160" s="15">
        <v>0</v>
      </c>
      <c r="T1160" s="16">
        <v>3.7163468792275796E-9</v>
      </c>
    </row>
    <row r="1161" spans="1:20" ht="16" hidden="1">
      <c r="A1161" s="80" t="s">
        <v>937</v>
      </c>
      <c r="B1161" s="81" t="s">
        <v>66</v>
      </c>
      <c r="C1161" s="18"/>
      <c r="D1161" s="21">
        <v>0</v>
      </c>
      <c r="E1161" s="21">
        <v>0</v>
      </c>
      <c r="F1161" s="21">
        <v>0</v>
      </c>
      <c r="G1161" s="21">
        <v>0</v>
      </c>
      <c r="H1161" s="21">
        <v>0</v>
      </c>
      <c r="I1161" s="21">
        <v>0</v>
      </c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>
        <v>0</v>
      </c>
      <c r="P1161" s="18"/>
      <c r="Q1161" s="82">
        <f t="shared" si="23"/>
        <v>0</v>
      </c>
      <c r="R1161" s="14">
        <v>251485.81999999998</v>
      </c>
      <c r="S1161" s="15">
        <v>0</v>
      </c>
      <c r="T1161" s="16">
        <v>4.0635154014216903E-3</v>
      </c>
    </row>
    <row r="1162" spans="1:20" ht="16">
      <c r="A1162" s="80" t="s">
        <v>937</v>
      </c>
      <c r="B1162" s="81" t="s">
        <v>67</v>
      </c>
      <c r="C1162" s="18"/>
      <c r="D1162" s="21">
        <v>0</v>
      </c>
      <c r="E1162" s="21">
        <v>0</v>
      </c>
      <c r="F1162" s="21">
        <v>0</v>
      </c>
      <c r="G1162" s="21">
        <v>0</v>
      </c>
      <c r="H1162" s="21">
        <v>0</v>
      </c>
      <c r="I1162" s="21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18"/>
      <c r="Q1162" s="82">
        <f t="shared" si="23"/>
        <v>0</v>
      </c>
      <c r="R1162" s="14">
        <v>0</v>
      </c>
      <c r="S1162" s="15">
        <v>0</v>
      </c>
      <c r="T1162" s="16">
        <v>0</v>
      </c>
    </row>
    <row r="1163" spans="1:20" ht="16" hidden="1">
      <c r="A1163" s="80" t="s">
        <v>940</v>
      </c>
      <c r="B1163" s="81" t="s">
        <v>62</v>
      </c>
      <c r="C1163" s="18"/>
      <c r="D1163" s="21">
        <v>0</v>
      </c>
      <c r="E1163" s="21">
        <v>0</v>
      </c>
      <c r="F1163" s="21">
        <v>0</v>
      </c>
      <c r="G1163" s="21">
        <v>0</v>
      </c>
      <c r="H1163" s="21">
        <v>0</v>
      </c>
      <c r="I1163" s="21">
        <v>0</v>
      </c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>
        <v>0</v>
      </c>
      <c r="P1163" s="18"/>
      <c r="Q1163" s="82">
        <f t="shared" si="23"/>
        <v>0</v>
      </c>
      <c r="R1163" s="14">
        <v>0</v>
      </c>
      <c r="S1163" s="15">
        <v>0</v>
      </c>
      <c r="T1163" s="16">
        <v>0</v>
      </c>
    </row>
    <row r="1164" spans="1:20" ht="16" hidden="1">
      <c r="A1164" s="80" t="s">
        <v>941</v>
      </c>
      <c r="B1164" s="81" t="s">
        <v>62</v>
      </c>
      <c r="C1164" s="18"/>
      <c r="D1164" s="21">
        <v>0</v>
      </c>
      <c r="E1164" s="21">
        <v>0</v>
      </c>
      <c r="F1164" s="21">
        <v>0</v>
      </c>
      <c r="G1164" s="21">
        <v>0</v>
      </c>
      <c r="H1164" s="21">
        <v>0</v>
      </c>
      <c r="I1164" s="21">
        <v>0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0</v>
      </c>
      <c r="P1164" s="18"/>
      <c r="Q1164" s="82">
        <f t="shared" si="23"/>
        <v>0</v>
      </c>
      <c r="R1164" s="14">
        <v>0</v>
      </c>
      <c r="S1164" s="15">
        <v>0</v>
      </c>
      <c r="T1164" s="16">
        <v>0</v>
      </c>
    </row>
    <row r="1165" spans="1:20" ht="16" hidden="1">
      <c r="A1165" s="80" t="s">
        <v>942</v>
      </c>
      <c r="B1165" s="81" t="s">
        <v>76</v>
      </c>
      <c r="C1165" s="18"/>
      <c r="D1165" s="21">
        <v>0</v>
      </c>
      <c r="E1165" s="21">
        <v>0</v>
      </c>
      <c r="F1165" s="21">
        <v>0</v>
      </c>
      <c r="G1165" s="21">
        <v>0</v>
      </c>
      <c r="H1165" s="21">
        <v>0</v>
      </c>
      <c r="I1165" s="21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18"/>
      <c r="Q1165" s="82">
        <f t="shared" si="23"/>
        <v>0</v>
      </c>
      <c r="R1165" s="14">
        <v>0</v>
      </c>
      <c r="S1165" s="15">
        <v>0</v>
      </c>
      <c r="T1165" s="16">
        <v>0</v>
      </c>
    </row>
    <row r="1166" spans="1:20" ht="16" hidden="1">
      <c r="A1166" s="80" t="s">
        <v>944</v>
      </c>
      <c r="B1166" s="81" t="s">
        <v>66</v>
      </c>
      <c r="C1166" s="18"/>
      <c r="D1166" s="21">
        <v>0</v>
      </c>
      <c r="E1166" s="21">
        <v>0</v>
      </c>
      <c r="F1166" s="21">
        <v>0</v>
      </c>
      <c r="G1166" s="21">
        <v>0</v>
      </c>
      <c r="H1166" s="21">
        <v>0</v>
      </c>
      <c r="I1166" s="21">
        <v>0</v>
      </c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>
        <v>0</v>
      </c>
      <c r="P1166" s="18"/>
      <c r="Q1166" s="82">
        <f t="shared" si="23"/>
        <v>0</v>
      </c>
      <c r="R1166" s="14">
        <v>47139.91</v>
      </c>
      <c r="S1166" s="15">
        <v>0</v>
      </c>
      <c r="T1166" s="16">
        <v>7.6168807571986522E-4</v>
      </c>
    </row>
    <row r="1167" spans="1:20" ht="16" hidden="1">
      <c r="A1167" s="80" t="s">
        <v>947</v>
      </c>
      <c r="B1167" s="81" t="s">
        <v>78</v>
      </c>
      <c r="C1167" s="18"/>
      <c r="D1167" s="21">
        <v>0.01</v>
      </c>
      <c r="E1167" s="21">
        <v>0.01</v>
      </c>
      <c r="F1167" s="21">
        <v>0.01</v>
      </c>
      <c r="G1167" s="21">
        <v>0.01</v>
      </c>
      <c r="H1167" s="21">
        <v>0</v>
      </c>
      <c r="I1167" s="21">
        <v>0</v>
      </c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>
        <v>0</v>
      </c>
      <c r="P1167" s="18"/>
      <c r="Q1167" s="82">
        <f t="shared" ref="Q1167:Q1210" si="24">IFERROR(I1167/$I$4," ")</f>
        <v>0</v>
      </c>
      <c r="R1167" s="14">
        <v>344864.56000000006</v>
      </c>
      <c r="S1167" s="15">
        <v>3.6859330703001798</v>
      </c>
      <c r="T1167" s="16">
        <v>7.0841151249908313E-3</v>
      </c>
    </row>
    <row r="1168" spans="1:20" ht="16" hidden="1">
      <c r="A1168" s="80" t="s">
        <v>950</v>
      </c>
      <c r="B1168" s="81" t="s">
        <v>89</v>
      </c>
      <c r="C1168" s="18"/>
      <c r="D1168" s="21">
        <v>0</v>
      </c>
      <c r="E1168" s="21">
        <v>0</v>
      </c>
      <c r="F1168" s="21">
        <v>0</v>
      </c>
      <c r="G1168" s="21">
        <v>0</v>
      </c>
      <c r="H1168" s="21">
        <v>0</v>
      </c>
      <c r="I1168" s="21">
        <v>0</v>
      </c>
      <c r="J1168" s="3">
        <v>0</v>
      </c>
      <c r="K1168" s="3">
        <v>0</v>
      </c>
      <c r="L1168" s="3">
        <v>0</v>
      </c>
      <c r="M1168" s="3">
        <v>0</v>
      </c>
      <c r="N1168" s="3">
        <v>0</v>
      </c>
      <c r="O1168" s="3">
        <v>0</v>
      </c>
      <c r="P1168" s="18"/>
      <c r="Q1168" s="82">
        <f t="shared" si="24"/>
        <v>0</v>
      </c>
      <c r="R1168" s="14">
        <v>-70301</v>
      </c>
      <c r="S1168" s="15">
        <v>-0.99997610332920461</v>
      </c>
      <c r="T1168" s="16">
        <v>2.7145490248271018E-8</v>
      </c>
    </row>
    <row r="1169" spans="1:20" ht="16" hidden="1">
      <c r="A1169" s="80" t="s">
        <v>954</v>
      </c>
      <c r="B1169" s="81" t="s">
        <v>89</v>
      </c>
      <c r="C1169" s="18"/>
      <c r="D1169" s="21">
        <v>0</v>
      </c>
      <c r="E1169" s="21">
        <v>0</v>
      </c>
      <c r="F1169" s="21">
        <v>0</v>
      </c>
      <c r="G1169" s="21">
        <v>0</v>
      </c>
      <c r="H1169" s="21">
        <v>0</v>
      </c>
      <c r="I1169" s="21">
        <v>0</v>
      </c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>
        <v>0</v>
      </c>
      <c r="P1169" s="18"/>
      <c r="Q1169" s="82">
        <f t="shared" si="24"/>
        <v>0</v>
      </c>
      <c r="R1169" s="14">
        <v>0</v>
      </c>
      <c r="S1169" s="15">
        <v>0</v>
      </c>
      <c r="T1169" s="16">
        <v>2.1005438882590677E-9</v>
      </c>
    </row>
    <row r="1170" spans="1:20" ht="16" hidden="1">
      <c r="A1170" s="80" t="s">
        <v>955</v>
      </c>
      <c r="B1170" s="81" t="s">
        <v>85</v>
      </c>
      <c r="C1170" s="18"/>
      <c r="D1170" s="21">
        <v>0</v>
      </c>
      <c r="E1170" s="21">
        <v>0</v>
      </c>
      <c r="F1170" s="21">
        <v>0</v>
      </c>
      <c r="G1170" s="21">
        <v>0</v>
      </c>
      <c r="H1170" s="21">
        <v>0</v>
      </c>
      <c r="I1170" s="21">
        <v>0</v>
      </c>
      <c r="J1170" s="3">
        <v>0</v>
      </c>
      <c r="K1170" s="3">
        <v>0</v>
      </c>
      <c r="L1170" s="3">
        <v>0</v>
      </c>
      <c r="M1170" s="3">
        <v>0</v>
      </c>
      <c r="N1170" s="3">
        <v>0</v>
      </c>
      <c r="O1170" s="3">
        <v>0</v>
      </c>
      <c r="P1170" s="18"/>
      <c r="Q1170" s="82">
        <f t="shared" si="24"/>
        <v>0</v>
      </c>
      <c r="R1170" s="14">
        <v>0</v>
      </c>
      <c r="S1170" s="15">
        <v>0</v>
      </c>
      <c r="T1170" s="16">
        <v>0</v>
      </c>
    </row>
    <row r="1171" spans="1:20" ht="16" hidden="1">
      <c r="A1171" s="80" t="s">
        <v>958</v>
      </c>
      <c r="B1171" s="81" t="s">
        <v>85</v>
      </c>
      <c r="C1171" s="18"/>
      <c r="D1171" s="21">
        <v>0</v>
      </c>
      <c r="E1171" s="21">
        <v>0</v>
      </c>
      <c r="F1171" s="21">
        <v>0</v>
      </c>
      <c r="G1171" s="21">
        <v>0</v>
      </c>
      <c r="H1171" s="21">
        <v>0</v>
      </c>
      <c r="I1171" s="21">
        <v>0</v>
      </c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18"/>
      <c r="Q1171" s="82">
        <f t="shared" si="24"/>
        <v>0</v>
      </c>
      <c r="R1171" s="14">
        <v>0</v>
      </c>
      <c r="S1171" s="15">
        <v>0</v>
      </c>
      <c r="T1171" s="16">
        <v>0</v>
      </c>
    </row>
    <row r="1172" spans="1:20" ht="16" hidden="1">
      <c r="A1172" s="80" t="s">
        <v>959</v>
      </c>
      <c r="B1172" s="81" t="s">
        <v>76</v>
      </c>
      <c r="C1172" s="18"/>
      <c r="D1172" s="21">
        <v>0</v>
      </c>
      <c r="E1172" s="21">
        <v>0</v>
      </c>
      <c r="F1172" s="21">
        <v>0</v>
      </c>
      <c r="G1172" s="21">
        <v>0</v>
      </c>
      <c r="H1172" s="21">
        <v>0</v>
      </c>
      <c r="I1172" s="21">
        <v>0</v>
      </c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>
        <v>0</v>
      </c>
      <c r="P1172" s="18"/>
      <c r="Q1172" s="82">
        <f t="shared" si="24"/>
        <v>0</v>
      </c>
      <c r="R1172" s="14">
        <v>0</v>
      </c>
      <c r="S1172" s="15">
        <v>0</v>
      </c>
      <c r="T1172" s="16">
        <v>0</v>
      </c>
    </row>
    <row r="1173" spans="1:20" ht="16" hidden="1">
      <c r="A1173" s="80" t="s">
        <v>960</v>
      </c>
      <c r="B1173" s="81" t="s">
        <v>85</v>
      </c>
      <c r="C1173" s="18"/>
      <c r="D1173" s="21">
        <v>0</v>
      </c>
      <c r="E1173" s="21">
        <v>0</v>
      </c>
      <c r="F1173" s="21">
        <v>0</v>
      </c>
      <c r="G1173" s="21">
        <v>0</v>
      </c>
      <c r="H1173" s="21">
        <v>0</v>
      </c>
      <c r="I1173" s="21">
        <v>0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18"/>
      <c r="Q1173" s="82">
        <f t="shared" si="24"/>
        <v>0</v>
      </c>
      <c r="R1173" s="14">
        <v>0</v>
      </c>
      <c r="S1173" s="15">
        <v>0</v>
      </c>
      <c r="T1173" s="16">
        <v>0</v>
      </c>
    </row>
    <row r="1174" spans="1:20" ht="16" hidden="1">
      <c r="A1174" s="80" t="s">
        <v>963</v>
      </c>
      <c r="B1174" s="81" t="s">
        <v>78</v>
      </c>
      <c r="C1174" s="18"/>
      <c r="D1174" s="21">
        <v>0</v>
      </c>
      <c r="E1174" s="21">
        <v>0</v>
      </c>
      <c r="F1174" s="21">
        <v>0</v>
      </c>
      <c r="G1174" s="21">
        <v>0</v>
      </c>
      <c r="H1174" s="21">
        <v>0</v>
      </c>
      <c r="I1174" s="21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18"/>
      <c r="Q1174" s="82">
        <f t="shared" si="24"/>
        <v>0</v>
      </c>
      <c r="R1174" s="14">
        <v>0</v>
      </c>
      <c r="S1174" s="15">
        <v>0</v>
      </c>
      <c r="T1174" s="16">
        <v>0</v>
      </c>
    </row>
    <row r="1175" spans="1:20" ht="16" hidden="1">
      <c r="A1175" s="80" t="s">
        <v>965</v>
      </c>
      <c r="B1175" s="81" t="s">
        <v>66</v>
      </c>
      <c r="C1175" s="18"/>
      <c r="D1175" s="21">
        <v>0</v>
      </c>
      <c r="E1175" s="21">
        <v>0</v>
      </c>
      <c r="F1175" s="21">
        <v>0</v>
      </c>
      <c r="G1175" s="21">
        <v>0</v>
      </c>
      <c r="H1175" s="21">
        <v>0</v>
      </c>
      <c r="I1175" s="21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18"/>
      <c r="Q1175" s="82">
        <f t="shared" si="24"/>
        <v>0</v>
      </c>
      <c r="R1175" s="14">
        <v>0</v>
      </c>
      <c r="S1175" s="15">
        <v>0</v>
      </c>
      <c r="T1175" s="16">
        <v>4.8474089729055388E-10</v>
      </c>
    </row>
    <row r="1176" spans="1:20" ht="16" hidden="1">
      <c r="A1176" s="80" t="s">
        <v>967</v>
      </c>
      <c r="B1176" s="81" t="s">
        <v>78</v>
      </c>
      <c r="C1176" s="18"/>
      <c r="D1176" s="21">
        <v>0</v>
      </c>
      <c r="E1176" s="21">
        <v>0</v>
      </c>
      <c r="F1176" s="21">
        <v>0</v>
      </c>
      <c r="G1176" s="21">
        <v>0</v>
      </c>
      <c r="H1176" s="21">
        <v>0</v>
      </c>
      <c r="I1176" s="21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18"/>
      <c r="Q1176" s="82">
        <f t="shared" si="24"/>
        <v>0</v>
      </c>
      <c r="R1176" s="14">
        <v>-0.01</v>
      </c>
      <c r="S1176" s="15">
        <v>-0.5</v>
      </c>
      <c r="T1176" s="16">
        <v>1.6158029909685129E-10</v>
      </c>
    </row>
    <row r="1177" spans="1:20" ht="16" hidden="1">
      <c r="A1177" s="80" t="s">
        <v>969</v>
      </c>
      <c r="B1177" s="81" t="s">
        <v>78</v>
      </c>
      <c r="C1177" s="18"/>
      <c r="D1177" s="21">
        <v>0</v>
      </c>
      <c r="E1177" s="21">
        <v>0</v>
      </c>
      <c r="F1177" s="21">
        <v>0</v>
      </c>
      <c r="G1177" s="21">
        <v>0</v>
      </c>
      <c r="H1177" s="21">
        <v>0</v>
      </c>
      <c r="I1177" s="21">
        <v>0</v>
      </c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>
        <v>0</v>
      </c>
      <c r="P1177" s="18"/>
      <c r="Q1177" s="82">
        <f t="shared" si="24"/>
        <v>0</v>
      </c>
      <c r="R1177" s="14">
        <v>0</v>
      </c>
      <c r="S1177" s="15">
        <v>0</v>
      </c>
      <c r="T1177" s="16">
        <v>0</v>
      </c>
    </row>
    <row r="1178" spans="1:20" ht="16" hidden="1">
      <c r="A1178" s="80" t="s">
        <v>970</v>
      </c>
      <c r="B1178" s="81" t="s">
        <v>60</v>
      </c>
      <c r="C1178" s="18"/>
      <c r="D1178" s="21">
        <v>0</v>
      </c>
      <c r="E1178" s="21">
        <v>0</v>
      </c>
      <c r="F1178" s="21">
        <v>0</v>
      </c>
      <c r="G1178" s="21">
        <v>0</v>
      </c>
      <c r="H1178" s="21">
        <v>0</v>
      </c>
      <c r="I1178" s="21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18"/>
      <c r="Q1178" s="82">
        <f t="shared" si="24"/>
        <v>0</v>
      </c>
      <c r="R1178" s="14">
        <v>1965</v>
      </c>
      <c r="S1178" s="15">
        <v>16375</v>
      </c>
      <c r="T1178" s="16">
        <v>3.1752467736120442E-5</v>
      </c>
    </row>
    <row r="1179" spans="1:20" ht="16" hidden="1">
      <c r="A1179" s="80" t="s">
        <v>971</v>
      </c>
      <c r="B1179" s="81" t="s">
        <v>85</v>
      </c>
      <c r="C1179" s="18"/>
      <c r="D1179" s="21">
        <v>0</v>
      </c>
      <c r="E1179" s="21">
        <v>0</v>
      </c>
      <c r="F1179" s="21">
        <v>0</v>
      </c>
      <c r="G1179" s="21">
        <v>0</v>
      </c>
      <c r="H1179" s="21">
        <v>0</v>
      </c>
      <c r="I1179" s="21">
        <v>0</v>
      </c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>
        <v>0</v>
      </c>
      <c r="P1179" s="18"/>
      <c r="Q1179" s="82">
        <f t="shared" si="24"/>
        <v>0</v>
      </c>
      <c r="R1179" s="14">
        <v>0</v>
      </c>
      <c r="S1179" s="15">
        <v>0</v>
      </c>
      <c r="T1179" s="16">
        <v>0</v>
      </c>
    </row>
    <row r="1180" spans="1:20" ht="16" hidden="1">
      <c r="A1180" s="80" t="s">
        <v>972</v>
      </c>
      <c r="B1180" s="81" t="s">
        <v>66</v>
      </c>
      <c r="C1180" s="18"/>
      <c r="D1180" s="21">
        <v>0</v>
      </c>
      <c r="E1180" s="21">
        <v>0</v>
      </c>
      <c r="F1180" s="21">
        <v>0</v>
      </c>
      <c r="G1180" s="21">
        <v>0</v>
      </c>
      <c r="H1180" s="21">
        <v>0</v>
      </c>
      <c r="I1180" s="21">
        <v>0</v>
      </c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>
        <v>0</v>
      </c>
      <c r="P1180" s="18"/>
      <c r="Q1180" s="82">
        <f t="shared" si="24"/>
        <v>0</v>
      </c>
      <c r="R1180" s="14">
        <v>0</v>
      </c>
      <c r="S1180" s="15">
        <v>0</v>
      </c>
      <c r="T1180" s="16">
        <v>0</v>
      </c>
    </row>
    <row r="1181" spans="1:20" ht="16" hidden="1">
      <c r="A1181" s="80" t="s">
        <v>978</v>
      </c>
      <c r="B1181" s="81" t="s">
        <v>85</v>
      </c>
      <c r="C1181" s="18"/>
      <c r="D1181" s="21">
        <v>0</v>
      </c>
      <c r="E1181" s="21">
        <v>0</v>
      </c>
      <c r="F1181" s="21">
        <v>0</v>
      </c>
      <c r="G1181" s="21">
        <v>0</v>
      </c>
      <c r="H1181" s="21">
        <v>0</v>
      </c>
      <c r="I1181" s="21">
        <v>0</v>
      </c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18"/>
      <c r="Q1181" s="82">
        <f t="shared" si="24"/>
        <v>0</v>
      </c>
      <c r="R1181" s="14">
        <v>0</v>
      </c>
      <c r="S1181" s="15">
        <v>0</v>
      </c>
      <c r="T1181" s="16">
        <v>1.1763045774250774E-7</v>
      </c>
    </row>
    <row r="1182" spans="1:20" ht="16" hidden="1">
      <c r="A1182" s="80" t="s">
        <v>979</v>
      </c>
      <c r="B1182" s="81" t="s">
        <v>78</v>
      </c>
      <c r="C1182" s="18"/>
      <c r="D1182" s="21">
        <v>0</v>
      </c>
      <c r="E1182" s="21">
        <v>0</v>
      </c>
      <c r="F1182" s="21">
        <v>0</v>
      </c>
      <c r="G1182" s="21">
        <v>0</v>
      </c>
      <c r="H1182" s="21">
        <v>0</v>
      </c>
      <c r="I1182" s="21">
        <v>0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0</v>
      </c>
      <c r="P1182" s="18"/>
      <c r="Q1182" s="82">
        <f t="shared" si="24"/>
        <v>0</v>
      </c>
      <c r="R1182" s="14">
        <v>0</v>
      </c>
      <c r="S1182" s="15">
        <v>0</v>
      </c>
      <c r="T1182" s="16">
        <v>6.6457977018534939E-7</v>
      </c>
    </row>
    <row r="1183" spans="1:20" ht="16" hidden="1">
      <c r="A1183" s="80" t="s">
        <v>982</v>
      </c>
      <c r="B1183" s="81" t="s">
        <v>78</v>
      </c>
      <c r="C1183" s="18"/>
      <c r="D1183" s="21">
        <v>0</v>
      </c>
      <c r="E1183" s="21">
        <v>0</v>
      </c>
      <c r="F1183" s="21">
        <v>0</v>
      </c>
      <c r="G1183" s="21">
        <v>0</v>
      </c>
      <c r="H1183" s="21">
        <v>0</v>
      </c>
      <c r="I1183" s="21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18"/>
      <c r="Q1183" s="82">
        <f t="shared" si="24"/>
        <v>0</v>
      </c>
      <c r="R1183" s="14">
        <v>0</v>
      </c>
      <c r="S1183" s="15">
        <v>0</v>
      </c>
      <c r="T1183" s="16">
        <v>3.1138624179851517E-9</v>
      </c>
    </row>
    <row r="1184" spans="1:20" ht="16" hidden="1">
      <c r="A1184" s="80" t="s">
        <v>984</v>
      </c>
      <c r="B1184" s="81" t="s">
        <v>62</v>
      </c>
      <c r="C1184" s="18"/>
      <c r="D1184" s="21">
        <v>0</v>
      </c>
      <c r="E1184" s="21">
        <v>0</v>
      </c>
      <c r="F1184" s="21">
        <v>0</v>
      </c>
      <c r="G1184" s="21">
        <v>0</v>
      </c>
      <c r="H1184" s="21">
        <v>0</v>
      </c>
      <c r="I1184" s="21">
        <v>0</v>
      </c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>
        <v>0</v>
      </c>
      <c r="P1184" s="18"/>
      <c r="Q1184" s="82">
        <f t="shared" si="24"/>
        <v>0</v>
      </c>
      <c r="R1184" s="14">
        <v>0</v>
      </c>
      <c r="S1184" s="15">
        <v>0</v>
      </c>
      <c r="T1184" s="16">
        <v>0</v>
      </c>
    </row>
    <row r="1185" spans="1:20" ht="16" hidden="1">
      <c r="A1185" s="80" t="s">
        <v>988</v>
      </c>
      <c r="B1185" s="81" t="s">
        <v>78</v>
      </c>
      <c r="C1185" s="18"/>
      <c r="D1185" s="21">
        <v>81200</v>
      </c>
      <c r="E1185" s="21">
        <v>81200</v>
      </c>
      <c r="F1185" s="21">
        <v>0</v>
      </c>
      <c r="G1185" s="21">
        <v>0</v>
      </c>
      <c r="H1185" s="21">
        <v>0</v>
      </c>
      <c r="I1185" s="21">
        <v>0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18"/>
      <c r="Q1185" s="82">
        <f t="shared" si="24"/>
        <v>0</v>
      </c>
      <c r="R1185" s="14">
        <v>0</v>
      </c>
      <c r="S1185" s="15">
        <v>0</v>
      </c>
      <c r="T1185" s="16">
        <v>0</v>
      </c>
    </row>
    <row r="1186" spans="1:20" ht="16" hidden="1">
      <c r="A1186" s="80" t="s">
        <v>989</v>
      </c>
      <c r="B1186" s="81" t="s">
        <v>85</v>
      </c>
      <c r="C1186" s="18"/>
      <c r="D1186" s="21">
        <v>0</v>
      </c>
      <c r="E1186" s="21">
        <v>0</v>
      </c>
      <c r="F1186" s="21">
        <v>0</v>
      </c>
      <c r="G1186" s="21">
        <v>0</v>
      </c>
      <c r="H1186" s="21">
        <v>0</v>
      </c>
      <c r="I1186" s="21">
        <v>0</v>
      </c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>
        <v>0</v>
      </c>
      <c r="P1186" s="18"/>
      <c r="Q1186" s="82">
        <f t="shared" si="24"/>
        <v>0</v>
      </c>
      <c r="R1186" s="14">
        <v>203154.81999999992</v>
      </c>
      <c r="S1186" s="15">
        <v>-137266.77027027021</v>
      </c>
      <c r="T1186" s="16">
        <v>3.2825577439724312E-3</v>
      </c>
    </row>
    <row r="1187" spans="1:20" ht="16" hidden="1">
      <c r="A1187" s="80" t="s">
        <v>991</v>
      </c>
      <c r="B1187" s="81" t="s">
        <v>78</v>
      </c>
      <c r="C1187" s="18"/>
      <c r="D1187" s="21">
        <v>0</v>
      </c>
      <c r="E1187" s="21">
        <v>0</v>
      </c>
      <c r="F1187" s="21">
        <v>0</v>
      </c>
      <c r="G1187" s="21">
        <v>0</v>
      </c>
      <c r="H1187" s="21">
        <v>0</v>
      </c>
      <c r="I1187" s="21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18"/>
      <c r="Q1187" s="82">
        <f t="shared" si="24"/>
        <v>0</v>
      </c>
      <c r="R1187" s="14">
        <v>-9.9999999999999811E-3</v>
      </c>
      <c r="S1187" s="15">
        <v>4.5454545454545359E-2</v>
      </c>
      <c r="T1187" s="16">
        <v>-3.7163468792275805E-9</v>
      </c>
    </row>
    <row r="1188" spans="1:20" ht="16" hidden="1">
      <c r="A1188" s="80" t="s">
        <v>993</v>
      </c>
      <c r="B1188" s="81" t="s">
        <v>83</v>
      </c>
      <c r="C1188" s="18"/>
      <c r="D1188" s="21">
        <v>0</v>
      </c>
      <c r="E1188" s="21">
        <v>0</v>
      </c>
      <c r="F1188" s="21">
        <v>0</v>
      </c>
      <c r="G1188" s="21">
        <v>0</v>
      </c>
      <c r="H1188" s="21">
        <v>0</v>
      </c>
      <c r="I1188" s="21">
        <v>0</v>
      </c>
      <c r="J1188" s="3">
        <v>0</v>
      </c>
      <c r="K1188" s="3">
        <v>0</v>
      </c>
      <c r="L1188" s="3">
        <v>0</v>
      </c>
      <c r="M1188" s="3">
        <v>0</v>
      </c>
      <c r="N1188" s="3">
        <v>0</v>
      </c>
      <c r="O1188" s="3">
        <v>0</v>
      </c>
      <c r="P1188" s="18"/>
      <c r="Q1188" s="82">
        <f t="shared" si="24"/>
        <v>0</v>
      </c>
      <c r="R1188" s="14">
        <v>0</v>
      </c>
      <c r="S1188" s="15">
        <v>0</v>
      </c>
      <c r="T1188" s="16">
        <v>1.2215397900587354E-3</v>
      </c>
    </row>
    <row r="1189" spans="1:20" ht="16" hidden="1">
      <c r="A1189" s="80" t="s">
        <v>995</v>
      </c>
      <c r="B1189" s="81" t="s">
        <v>60</v>
      </c>
      <c r="C1189" s="18"/>
      <c r="D1189" s="21">
        <v>0</v>
      </c>
      <c r="E1189" s="21">
        <v>0</v>
      </c>
      <c r="F1189" s="21">
        <v>0</v>
      </c>
      <c r="G1189" s="21">
        <v>0</v>
      </c>
      <c r="H1189" s="21">
        <v>0</v>
      </c>
      <c r="I1189" s="21">
        <v>0</v>
      </c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>
        <v>0</v>
      </c>
      <c r="P1189" s="18"/>
      <c r="Q1189" s="82">
        <f t="shared" si="24"/>
        <v>0</v>
      </c>
      <c r="R1189" s="14">
        <v>-10162.030000000004</v>
      </c>
      <c r="S1189" s="15">
        <v>-0.99879303854511992</v>
      </c>
      <c r="T1189" s="16">
        <v>1.9842060729093332E-7</v>
      </c>
    </row>
    <row r="1190" spans="1:20" ht="16" hidden="1">
      <c r="A1190" s="80" t="s">
        <v>998</v>
      </c>
      <c r="B1190" s="81" t="s">
        <v>85</v>
      </c>
      <c r="C1190" s="18"/>
      <c r="D1190" s="21">
        <v>0</v>
      </c>
      <c r="E1190" s="21">
        <v>0</v>
      </c>
      <c r="F1190" s="21">
        <v>0</v>
      </c>
      <c r="G1190" s="21">
        <v>0</v>
      </c>
      <c r="H1190" s="21">
        <v>0</v>
      </c>
      <c r="I1190" s="21">
        <v>0</v>
      </c>
      <c r="J1190" s="3">
        <v>0</v>
      </c>
      <c r="K1190" s="3">
        <v>0</v>
      </c>
      <c r="L1190" s="3">
        <v>0</v>
      </c>
      <c r="M1190" s="3">
        <v>0</v>
      </c>
      <c r="N1190" s="3">
        <v>0</v>
      </c>
      <c r="O1190" s="3">
        <v>0</v>
      </c>
      <c r="P1190" s="18"/>
      <c r="Q1190" s="82">
        <f t="shared" si="24"/>
        <v>0</v>
      </c>
      <c r="R1190" s="14">
        <v>0</v>
      </c>
      <c r="S1190" s="15">
        <v>0</v>
      </c>
      <c r="T1190" s="16">
        <v>2.4237044864527685E-9</v>
      </c>
    </row>
    <row r="1191" spans="1:20" ht="16" hidden="1">
      <c r="A1191" s="80" t="s">
        <v>999</v>
      </c>
      <c r="B1191" s="81" t="s">
        <v>78</v>
      </c>
      <c r="C1191" s="18"/>
      <c r="D1191" s="21">
        <v>0</v>
      </c>
      <c r="E1191" s="21">
        <v>0</v>
      </c>
      <c r="F1191" s="21">
        <v>0</v>
      </c>
      <c r="G1191" s="21">
        <v>0</v>
      </c>
      <c r="H1191" s="21">
        <v>0</v>
      </c>
      <c r="I1191" s="21">
        <v>0</v>
      </c>
      <c r="J1191" s="3">
        <v>0</v>
      </c>
      <c r="K1191" s="3">
        <v>0</v>
      </c>
      <c r="L1191" s="3">
        <v>0</v>
      </c>
      <c r="M1191" s="3">
        <v>0</v>
      </c>
      <c r="N1191" s="3">
        <v>0</v>
      </c>
      <c r="O1191" s="3">
        <v>0</v>
      </c>
      <c r="P1191" s="18"/>
      <c r="Q1191" s="82">
        <f t="shared" si="24"/>
        <v>0</v>
      </c>
      <c r="R1191" s="14">
        <v>-2767.5400000000013</v>
      </c>
      <c r="S1191" s="15">
        <v>-0.99962074557807401</v>
      </c>
      <c r="T1191" s="16">
        <v>1.6965931405169388E-8</v>
      </c>
    </row>
    <row r="1192" spans="1:20" ht="16" hidden="1">
      <c r="A1192" s="80" t="s">
        <v>1005</v>
      </c>
      <c r="B1192" s="81" t="s">
        <v>78</v>
      </c>
      <c r="C1192" s="18"/>
      <c r="D1192" s="21">
        <v>0</v>
      </c>
      <c r="E1192" s="21">
        <v>0</v>
      </c>
      <c r="F1192" s="21">
        <v>0</v>
      </c>
      <c r="G1192" s="21">
        <v>0</v>
      </c>
      <c r="H1192" s="21">
        <v>0</v>
      </c>
      <c r="I1192" s="21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18"/>
      <c r="Q1192" s="82">
        <f t="shared" si="24"/>
        <v>0</v>
      </c>
      <c r="R1192" s="14">
        <v>0</v>
      </c>
      <c r="S1192" s="15">
        <v>0</v>
      </c>
      <c r="T1192" s="16">
        <v>0</v>
      </c>
    </row>
    <row r="1193" spans="1:20" ht="16">
      <c r="A1193" s="80" t="s">
        <v>1006</v>
      </c>
      <c r="B1193" s="81" t="s">
        <v>67</v>
      </c>
      <c r="C1193" s="18"/>
      <c r="D1193" s="21">
        <v>0</v>
      </c>
      <c r="E1193" s="21">
        <v>154666.64000000001</v>
      </c>
      <c r="F1193" s="21">
        <v>0</v>
      </c>
      <c r="G1193" s="21">
        <v>0</v>
      </c>
      <c r="H1193" s="21">
        <v>0</v>
      </c>
      <c r="I1193" s="21">
        <v>0</v>
      </c>
      <c r="J1193" s="3">
        <v>0</v>
      </c>
      <c r="K1193" s="3">
        <v>0</v>
      </c>
      <c r="L1193" s="3">
        <v>0</v>
      </c>
      <c r="M1193" s="3">
        <v>0</v>
      </c>
      <c r="N1193" s="3">
        <v>0</v>
      </c>
      <c r="O1193" s="3">
        <v>0</v>
      </c>
      <c r="P1193" s="18"/>
      <c r="Q1193" s="82">
        <f t="shared" si="24"/>
        <v>0</v>
      </c>
      <c r="R1193" s="14">
        <v>0</v>
      </c>
      <c r="S1193" s="15">
        <v>0</v>
      </c>
      <c r="T1193" s="16">
        <v>0</v>
      </c>
    </row>
    <row r="1194" spans="1:20" ht="16" hidden="1">
      <c r="A1194" s="80" t="s">
        <v>1006</v>
      </c>
      <c r="B1194" s="81" t="s">
        <v>62</v>
      </c>
      <c r="C1194" s="18"/>
      <c r="D1194" s="21">
        <v>0</v>
      </c>
      <c r="E1194" s="21">
        <v>0</v>
      </c>
      <c r="F1194" s="21">
        <v>0</v>
      </c>
      <c r="G1194" s="21">
        <v>0</v>
      </c>
      <c r="H1194" s="21">
        <v>0</v>
      </c>
      <c r="I1194" s="21">
        <v>0</v>
      </c>
      <c r="J1194" s="3">
        <v>0</v>
      </c>
      <c r="K1194" s="3">
        <v>0</v>
      </c>
      <c r="L1194" s="3">
        <v>0</v>
      </c>
      <c r="M1194" s="3">
        <v>0</v>
      </c>
      <c r="N1194" s="3">
        <v>0</v>
      </c>
      <c r="O1194" s="3">
        <v>0</v>
      </c>
      <c r="P1194" s="18"/>
      <c r="Q1194" s="82">
        <f t="shared" si="24"/>
        <v>0</v>
      </c>
      <c r="R1194" s="14">
        <v>0</v>
      </c>
      <c r="S1194" s="15">
        <v>0</v>
      </c>
      <c r="T1194" s="16">
        <v>1.0778197693225555E-4</v>
      </c>
    </row>
    <row r="1195" spans="1:20" ht="16" hidden="1">
      <c r="A1195" s="80" t="s">
        <v>1007</v>
      </c>
      <c r="B1195" s="81" t="s">
        <v>78</v>
      </c>
      <c r="C1195" s="18"/>
      <c r="D1195" s="21">
        <v>0</v>
      </c>
      <c r="E1195" s="21">
        <v>0</v>
      </c>
      <c r="F1195" s="21">
        <v>0</v>
      </c>
      <c r="G1195" s="21">
        <v>0</v>
      </c>
      <c r="H1195" s="21">
        <v>0</v>
      </c>
      <c r="I1195" s="21">
        <v>0</v>
      </c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>
        <v>0</v>
      </c>
      <c r="P1195" s="18"/>
      <c r="Q1195" s="82">
        <f t="shared" si="24"/>
        <v>0</v>
      </c>
      <c r="R1195" s="14">
        <v>0</v>
      </c>
      <c r="S1195" s="15">
        <v>0</v>
      </c>
      <c r="T1195" s="16">
        <v>3.2316059819370259E-10</v>
      </c>
    </row>
    <row r="1196" spans="1:20" ht="16" hidden="1">
      <c r="A1196" s="80" t="s">
        <v>1012</v>
      </c>
      <c r="B1196" s="81" t="s">
        <v>145</v>
      </c>
      <c r="C1196" s="18"/>
      <c r="D1196" s="21">
        <v>0</v>
      </c>
      <c r="E1196" s="21">
        <v>0</v>
      </c>
      <c r="F1196" s="21">
        <v>0</v>
      </c>
      <c r="G1196" s="21">
        <v>0</v>
      </c>
      <c r="H1196" s="21">
        <v>0</v>
      </c>
      <c r="I1196" s="21">
        <v>0</v>
      </c>
      <c r="J1196" s="3">
        <v>0</v>
      </c>
      <c r="K1196" s="3">
        <v>0</v>
      </c>
      <c r="L1196" s="3">
        <v>0</v>
      </c>
      <c r="M1196" s="3">
        <v>0</v>
      </c>
      <c r="N1196" s="3">
        <v>0</v>
      </c>
      <c r="O1196" s="3">
        <v>0</v>
      </c>
      <c r="P1196" s="18"/>
      <c r="Q1196" s="82">
        <f t="shared" si="24"/>
        <v>0</v>
      </c>
      <c r="R1196" s="14">
        <v>469.57000000000016</v>
      </c>
      <c r="S1196" s="15">
        <v>0.19230800733896869</v>
      </c>
      <c r="T1196" s="16">
        <v>4.7041357216963609E-5</v>
      </c>
    </row>
    <row r="1197" spans="1:20" ht="16" hidden="1">
      <c r="A1197" s="80" t="s">
        <v>1013</v>
      </c>
      <c r="B1197" s="81" t="s">
        <v>83</v>
      </c>
      <c r="C1197" s="18"/>
      <c r="D1197" s="21">
        <v>0</v>
      </c>
      <c r="E1197" s="21">
        <v>0</v>
      </c>
      <c r="F1197" s="21">
        <v>0</v>
      </c>
      <c r="G1197" s="21">
        <v>0</v>
      </c>
      <c r="H1197" s="21">
        <v>0</v>
      </c>
      <c r="I1197" s="21">
        <v>0</v>
      </c>
      <c r="J1197" s="3">
        <v>0</v>
      </c>
      <c r="K1197" s="3">
        <v>0</v>
      </c>
      <c r="L1197" s="3">
        <v>0</v>
      </c>
      <c r="M1197" s="3">
        <v>0</v>
      </c>
      <c r="N1197" s="3">
        <v>0</v>
      </c>
      <c r="O1197" s="3">
        <v>0</v>
      </c>
      <c r="P1197" s="18"/>
      <c r="Q1197" s="82">
        <f t="shared" si="24"/>
        <v>0</v>
      </c>
      <c r="R1197" s="14">
        <v>68620.08</v>
      </c>
      <c r="S1197" s="15">
        <v>59155.241379310348</v>
      </c>
      <c r="T1197" s="16">
        <v>1.1087840483596817E-3</v>
      </c>
    </row>
    <row r="1198" spans="1:20" ht="16" hidden="1">
      <c r="A1198" s="80" t="s">
        <v>1014</v>
      </c>
      <c r="B1198" s="81" t="s">
        <v>66</v>
      </c>
      <c r="C1198" s="18"/>
      <c r="D1198" s="21">
        <v>0</v>
      </c>
      <c r="E1198" s="21">
        <v>0</v>
      </c>
      <c r="F1198" s="21">
        <v>0</v>
      </c>
      <c r="G1198" s="21">
        <v>0</v>
      </c>
      <c r="H1198" s="21">
        <v>0</v>
      </c>
      <c r="I1198" s="21">
        <v>0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>
        <v>0</v>
      </c>
      <c r="P1198" s="18"/>
      <c r="Q1198" s="82">
        <f t="shared" si="24"/>
        <v>0</v>
      </c>
      <c r="R1198" s="14">
        <v>0</v>
      </c>
      <c r="S1198" s="15">
        <v>0</v>
      </c>
      <c r="T1198" s="16">
        <v>-6.4632119638740517E-10</v>
      </c>
    </row>
    <row r="1199" spans="1:20" ht="16" hidden="1">
      <c r="A1199" s="80" t="s">
        <v>1014</v>
      </c>
      <c r="B1199" s="81" t="s">
        <v>89</v>
      </c>
      <c r="C1199" s="18"/>
      <c r="D1199" s="21">
        <v>0</v>
      </c>
      <c r="E1199" s="21">
        <v>0</v>
      </c>
      <c r="F1199" s="21">
        <v>0</v>
      </c>
      <c r="G1199" s="21">
        <v>0</v>
      </c>
      <c r="H1199" s="21">
        <v>0</v>
      </c>
      <c r="I1199" s="21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18"/>
      <c r="Q1199" s="82">
        <f t="shared" si="24"/>
        <v>0</v>
      </c>
      <c r="R1199" s="14">
        <v>0</v>
      </c>
      <c r="S1199" s="15">
        <v>0</v>
      </c>
      <c r="T1199" s="16">
        <v>-3.2316059819370259E-10</v>
      </c>
    </row>
    <row r="1200" spans="1:20" ht="16" hidden="1">
      <c r="A1200" s="80" t="s">
        <v>1015</v>
      </c>
      <c r="B1200" s="81" t="s">
        <v>89</v>
      </c>
      <c r="C1200" s="18"/>
      <c r="D1200" s="21">
        <v>0</v>
      </c>
      <c r="E1200" s="21">
        <v>0</v>
      </c>
      <c r="F1200" s="21">
        <v>0</v>
      </c>
      <c r="G1200" s="21">
        <v>0</v>
      </c>
      <c r="H1200" s="21">
        <v>0</v>
      </c>
      <c r="I1200" s="21">
        <v>0</v>
      </c>
      <c r="J1200" s="3">
        <v>0</v>
      </c>
      <c r="K1200" s="3">
        <v>0</v>
      </c>
      <c r="L1200" s="3">
        <v>0</v>
      </c>
      <c r="M1200" s="3">
        <v>0</v>
      </c>
      <c r="N1200" s="3">
        <v>0</v>
      </c>
      <c r="O1200" s="3">
        <v>0</v>
      </c>
      <c r="P1200" s="18"/>
      <c r="Q1200" s="82">
        <f t="shared" si="24"/>
        <v>0</v>
      </c>
      <c r="R1200" s="14">
        <v>374314.8599999994</v>
      </c>
      <c r="S1200" s="15">
        <v>8.5967623466780649E-2</v>
      </c>
      <c r="T1200" s="16">
        <v>7.6402475952043608E-2</v>
      </c>
    </row>
    <row r="1201" spans="1:20" ht="16" hidden="1">
      <c r="A1201" s="80" t="s">
        <v>1018</v>
      </c>
      <c r="B1201" s="81" t="s">
        <v>85</v>
      </c>
      <c r="C1201" s="18"/>
      <c r="D1201" s="21">
        <v>0</v>
      </c>
      <c r="E1201" s="21">
        <v>0</v>
      </c>
      <c r="F1201" s="21">
        <v>0</v>
      </c>
      <c r="G1201" s="21">
        <v>0</v>
      </c>
      <c r="H1201" s="21">
        <v>0</v>
      </c>
      <c r="I1201" s="21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18"/>
      <c r="Q1201" s="82">
        <f t="shared" si="24"/>
        <v>0</v>
      </c>
      <c r="R1201" s="14">
        <v>0</v>
      </c>
      <c r="S1201" s="15">
        <v>0</v>
      </c>
      <c r="T1201" s="16">
        <v>9.5947351085504864E-3</v>
      </c>
    </row>
    <row r="1202" spans="1:20" ht="16" hidden="1">
      <c r="A1202" s="80" t="s">
        <v>1020</v>
      </c>
      <c r="B1202" s="81" t="s">
        <v>78</v>
      </c>
      <c r="C1202" s="18"/>
      <c r="D1202" s="21">
        <v>0</v>
      </c>
      <c r="E1202" s="21">
        <v>0</v>
      </c>
      <c r="F1202" s="21">
        <v>0</v>
      </c>
      <c r="G1202" s="21">
        <v>0</v>
      </c>
      <c r="H1202" s="21">
        <v>0</v>
      </c>
      <c r="I1202" s="21">
        <v>0</v>
      </c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>
        <v>0</v>
      </c>
      <c r="P1202" s="18"/>
      <c r="Q1202" s="82">
        <f t="shared" si="24"/>
        <v>0</v>
      </c>
      <c r="R1202" s="14">
        <v>0</v>
      </c>
      <c r="S1202" s="15">
        <v>0</v>
      </c>
      <c r="T1202" s="16">
        <v>3.9910333876922253E-8</v>
      </c>
    </row>
    <row r="1203" spans="1:20" ht="16" hidden="1">
      <c r="A1203" s="80" t="s">
        <v>1021</v>
      </c>
      <c r="B1203" s="81" t="s">
        <v>78</v>
      </c>
      <c r="C1203" s="18"/>
      <c r="D1203" s="21">
        <v>0</v>
      </c>
      <c r="E1203" s="21">
        <v>0</v>
      </c>
      <c r="F1203" s="21">
        <v>0</v>
      </c>
      <c r="G1203" s="21">
        <v>0</v>
      </c>
      <c r="H1203" s="21">
        <v>0</v>
      </c>
      <c r="I1203" s="21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18"/>
      <c r="Q1203" s="82">
        <f t="shared" si="24"/>
        <v>0</v>
      </c>
      <c r="R1203" s="14">
        <v>0</v>
      </c>
      <c r="S1203" s="15">
        <v>0</v>
      </c>
      <c r="T1203" s="16">
        <v>0</v>
      </c>
    </row>
    <row r="1204" spans="1:20" ht="16" hidden="1">
      <c r="A1204" s="80" t="s">
        <v>1025</v>
      </c>
      <c r="B1204" s="81" t="s">
        <v>62</v>
      </c>
      <c r="C1204" s="18"/>
      <c r="D1204" s="21">
        <v>0</v>
      </c>
      <c r="E1204" s="21">
        <v>0</v>
      </c>
      <c r="F1204" s="21">
        <v>0</v>
      </c>
      <c r="G1204" s="21">
        <v>0</v>
      </c>
      <c r="H1204" s="21">
        <v>0</v>
      </c>
      <c r="I1204" s="21">
        <v>0</v>
      </c>
      <c r="J1204" s="3">
        <v>0</v>
      </c>
      <c r="K1204" s="3">
        <v>0</v>
      </c>
      <c r="L1204" s="3">
        <v>0</v>
      </c>
      <c r="M1204" s="3">
        <v>0</v>
      </c>
      <c r="N1204" s="3">
        <v>0</v>
      </c>
      <c r="O1204" s="3">
        <v>0</v>
      </c>
      <c r="P1204" s="18"/>
      <c r="Q1204" s="82">
        <f t="shared" si="24"/>
        <v>0</v>
      </c>
      <c r="R1204" s="14">
        <v>0</v>
      </c>
      <c r="S1204" s="15">
        <v>0</v>
      </c>
      <c r="T1204" s="16">
        <v>1.9066475293428451E-8</v>
      </c>
    </row>
    <row r="1205" spans="1:20" ht="16" hidden="1">
      <c r="A1205" s="80" t="s">
        <v>1026</v>
      </c>
      <c r="B1205" s="81" t="s">
        <v>60</v>
      </c>
      <c r="C1205" s="18"/>
      <c r="D1205" s="21">
        <v>0</v>
      </c>
      <c r="E1205" s="21">
        <v>0</v>
      </c>
      <c r="F1205" s="21">
        <v>0</v>
      </c>
      <c r="G1205" s="21">
        <v>0</v>
      </c>
      <c r="H1205" s="21">
        <v>0</v>
      </c>
      <c r="I1205" s="21">
        <v>0</v>
      </c>
      <c r="J1205" s="3">
        <v>0</v>
      </c>
      <c r="K1205" s="3">
        <v>0</v>
      </c>
      <c r="L1205" s="3">
        <v>0</v>
      </c>
      <c r="M1205" s="3">
        <v>0</v>
      </c>
      <c r="N1205" s="3">
        <v>0</v>
      </c>
      <c r="O1205" s="3">
        <v>0</v>
      </c>
      <c r="P1205" s="18"/>
      <c r="Q1205" s="82">
        <f t="shared" si="24"/>
        <v>0</v>
      </c>
      <c r="R1205" s="14">
        <v>0</v>
      </c>
      <c r="S1205" s="15">
        <v>0</v>
      </c>
      <c r="T1205" s="16">
        <v>0</v>
      </c>
    </row>
    <row r="1206" spans="1:20" ht="16" hidden="1">
      <c r="A1206" s="80" t="s">
        <v>1029</v>
      </c>
      <c r="B1206" s="81" t="s">
        <v>78</v>
      </c>
      <c r="C1206" s="18"/>
      <c r="D1206" s="21">
        <v>0</v>
      </c>
      <c r="E1206" s="21">
        <v>0</v>
      </c>
      <c r="F1206" s="21">
        <v>0</v>
      </c>
      <c r="G1206" s="21">
        <v>0</v>
      </c>
      <c r="H1206" s="21">
        <v>0</v>
      </c>
      <c r="I1206" s="21">
        <v>0</v>
      </c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>
        <v>0</v>
      </c>
      <c r="P1206" s="18"/>
      <c r="Q1206" s="82">
        <f t="shared" si="24"/>
        <v>0</v>
      </c>
      <c r="R1206" s="14">
        <v>9180</v>
      </c>
      <c r="S1206" s="15">
        <v>0</v>
      </c>
      <c r="T1206" s="16">
        <v>1.4833071457090948E-4</v>
      </c>
    </row>
    <row r="1207" spans="1:20" ht="16" hidden="1">
      <c r="A1207" s="80" t="s">
        <v>1030</v>
      </c>
      <c r="B1207" s="81" t="s">
        <v>62</v>
      </c>
      <c r="C1207" s="18"/>
      <c r="D1207" s="21">
        <v>0</v>
      </c>
      <c r="E1207" s="21">
        <v>0</v>
      </c>
      <c r="F1207" s="21">
        <v>0</v>
      </c>
      <c r="G1207" s="21">
        <v>0</v>
      </c>
      <c r="H1207" s="21">
        <v>0</v>
      </c>
      <c r="I1207" s="21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18"/>
      <c r="Q1207" s="82">
        <f t="shared" si="24"/>
        <v>0</v>
      </c>
      <c r="R1207" s="14">
        <v>0</v>
      </c>
      <c r="S1207" s="15">
        <v>0</v>
      </c>
      <c r="T1207" s="16">
        <v>0</v>
      </c>
    </row>
    <row r="1208" spans="1:20" ht="16" hidden="1">
      <c r="A1208" s="80" t="s">
        <v>1040</v>
      </c>
      <c r="B1208" s="81" t="s">
        <v>89</v>
      </c>
      <c r="C1208" s="18"/>
      <c r="D1208" s="21">
        <v>0</v>
      </c>
      <c r="E1208" s="21">
        <v>0</v>
      </c>
      <c r="F1208" s="21">
        <v>0</v>
      </c>
      <c r="G1208" s="21">
        <v>0</v>
      </c>
      <c r="H1208" s="21">
        <v>0</v>
      </c>
      <c r="I1208" s="21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18"/>
      <c r="Q1208" s="82">
        <f t="shared" si="24"/>
        <v>0</v>
      </c>
      <c r="R1208" s="14">
        <v>0</v>
      </c>
      <c r="S1208" s="15">
        <v>0</v>
      </c>
      <c r="T1208" s="16">
        <v>0</v>
      </c>
    </row>
    <row r="1209" spans="1:20" ht="16" hidden="1">
      <c r="A1209" s="80" t="s">
        <v>1042</v>
      </c>
      <c r="B1209" s="81" t="s">
        <v>62</v>
      </c>
      <c r="C1209" s="18"/>
      <c r="D1209" s="21">
        <v>0</v>
      </c>
      <c r="E1209" s="21">
        <v>0</v>
      </c>
      <c r="F1209" s="21">
        <v>0</v>
      </c>
      <c r="G1209" s="21">
        <v>0</v>
      </c>
      <c r="H1209" s="21">
        <v>0</v>
      </c>
      <c r="I1209" s="21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18"/>
      <c r="Q1209" s="82">
        <f t="shared" si="24"/>
        <v>0</v>
      </c>
      <c r="R1209" s="14">
        <v>-22999.649999999998</v>
      </c>
      <c r="S1209" s="15">
        <v>-0.65502815809544523</v>
      </c>
      <c r="T1209" s="16">
        <v>1.9571914627033315E-4</v>
      </c>
    </row>
    <row r="1210" spans="1:20" ht="16" hidden="1">
      <c r="A1210" s="80" t="s">
        <v>1044</v>
      </c>
      <c r="B1210" s="81" t="s">
        <v>62</v>
      </c>
      <c r="C1210" s="18"/>
      <c r="D1210" s="21">
        <v>0</v>
      </c>
      <c r="E1210" s="21">
        <v>0</v>
      </c>
      <c r="F1210" s="21">
        <v>0</v>
      </c>
      <c r="G1210" s="21">
        <v>0</v>
      </c>
      <c r="H1210" s="21">
        <v>0</v>
      </c>
      <c r="I1210" s="21">
        <v>0</v>
      </c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>
        <v>0</v>
      </c>
      <c r="P1210" s="18"/>
      <c r="Q1210" s="82">
        <f t="shared" si="24"/>
        <v>0</v>
      </c>
      <c r="R1210" s="14">
        <v>0</v>
      </c>
      <c r="S1210" s="15">
        <v>0</v>
      </c>
      <c r="T1210" s="16">
        <v>0</v>
      </c>
    </row>
    <row r="1211" spans="1:20" customFormat="1" ht="16" hidden="1">
      <c r="A1211" s="11" t="s">
        <v>1045</v>
      </c>
      <c r="B1211" s="12" t="s">
        <v>69</v>
      </c>
      <c r="C1211" s="1"/>
      <c r="D1211" s="3">
        <v>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  <c r="L1211" s="3">
        <v>0</v>
      </c>
      <c r="M1211" s="3">
        <v>0</v>
      </c>
      <c r="N1211" s="3">
        <v>0</v>
      </c>
      <c r="O1211" s="3">
        <v>0</v>
      </c>
      <c r="P1211" s="1"/>
      <c r="Q1211" s="1"/>
      <c r="R1211" s="14">
        <v>0</v>
      </c>
      <c r="S1211" s="15">
        <v>0</v>
      </c>
      <c r="T1211" s="16">
        <v>4.4854206288388628E-5</v>
      </c>
    </row>
    <row r="1212" spans="1:20" ht="16">
      <c r="A1212" s="80" t="s">
        <v>1047</v>
      </c>
      <c r="B1212" s="81" t="s">
        <v>67</v>
      </c>
      <c r="C1212" s="18"/>
      <c r="D1212" s="21">
        <v>0</v>
      </c>
      <c r="E1212" s="21">
        <v>0</v>
      </c>
      <c r="F1212" s="21">
        <v>0</v>
      </c>
      <c r="G1212" s="21">
        <v>0</v>
      </c>
      <c r="H1212" s="21">
        <v>0</v>
      </c>
      <c r="I1212" s="21">
        <v>0</v>
      </c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>
        <v>0</v>
      </c>
      <c r="P1212" s="18"/>
      <c r="Q1212" s="82">
        <f t="shared" ref="Q1212:Q1213" si="25">IFERROR(I1212/$I$4," ")</f>
        <v>0</v>
      </c>
      <c r="R1212" s="14">
        <v>279336.85000000009</v>
      </c>
      <c r="S1212" s="15">
        <v>0.23764244500166651</v>
      </c>
      <c r="T1212" s="16">
        <v>2.35064920198014E-2</v>
      </c>
    </row>
    <row r="1213" spans="1:20" ht="16" hidden="1">
      <c r="A1213" s="80" t="s">
        <v>1058</v>
      </c>
      <c r="B1213" s="81" t="s">
        <v>66</v>
      </c>
      <c r="C1213" s="18"/>
      <c r="D1213" s="21">
        <v>0</v>
      </c>
      <c r="E1213" s="21">
        <v>0</v>
      </c>
      <c r="F1213" s="21">
        <v>0</v>
      </c>
      <c r="G1213" s="21">
        <v>0</v>
      </c>
      <c r="H1213" s="21">
        <v>0</v>
      </c>
      <c r="I1213" s="21">
        <v>0</v>
      </c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>
        <v>0</v>
      </c>
      <c r="P1213" s="18"/>
      <c r="Q1213" s="82">
        <f t="shared" si="25"/>
        <v>0</v>
      </c>
      <c r="R1213" s="14">
        <v>334612.53000000026</v>
      </c>
      <c r="S1213" s="15">
        <v>0.15265911382731984</v>
      </c>
      <c r="T1213" s="16">
        <v>4.0823361130801913E-2</v>
      </c>
    </row>
    <row r="1214" spans="1:20" customFormat="1" ht="16" hidden="1">
      <c r="A1214" s="11" t="s">
        <v>1060</v>
      </c>
      <c r="B1214" s="12" t="s">
        <v>69</v>
      </c>
      <c r="C1214" s="1"/>
      <c r="D1214" s="3">
        <v>0</v>
      </c>
      <c r="E1214" s="3">
        <v>0</v>
      </c>
      <c r="F1214" s="3">
        <v>0</v>
      </c>
      <c r="G1214" s="3">
        <v>0</v>
      </c>
      <c r="H1214" s="3">
        <v>0</v>
      </c>
      <c r="I1214" s="3">
        <v>0</v>
      </c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>
        <v>0</v>
      </c>
      <c r="P1214" s="1"/>
      <c r="Q1214" s="1"/>
      <c r="R1214" s="14">
        <v>0</v>
      </c>
      <c r="S1214" s="15">
        <v>0</v>
      </c>
      <c r="T1214" s="16">
        <v>7.4374768584690261E-3</v>
      </c>
    </row>
    <row r="1215" spans="1:20" ht="16" hidden="1">
      <c r="A1215" s="80" t="s">
        <v>1063</v>
      </c>
      <c r="B1215" s="81" t="s">
        <v>62</v>
      </c>
      <c r="C1215" s="18"/>
      <c r="D1215" s="21">
        <v>0</v>
      </c>
      <c r="E1215" s="21">
        <v>0</v>
      </c>
      <c r="F1215" s="21">
        <v>0</v>
      </c>
      <c r="G1215" s="21">
        <v>0</v>
      </c>
      <c r="H1215" s="21">
        <v>0</v>
      </c>
      <c r="I1215" s="21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18"/>
      <c r="Q1215" s="82">
        <f t="shared" ref="Q1215:Q1224" si="26">IFERROR(I1215/$I$4," ")</f>
        <v>0</v>
      </c>
      <c r="R1215" s="14">
        <v>0</v>
      </c>
      <c r="S1215" s="15">
        <v>0</v>
      </c>
      <c r="T1215" s="16">
        <v>1.6158029909685129E-10</v>
      </c>
    </row>
    <row r="1216" spans="1:20" ht="16">
      <c r="A1216" s="80" t="s">
        <v>1066</v>
      </c>
      <c r="B1216" s="81" t="s">
        <v>67</v>
      </c>
      <c r="C1216" s="18"/>
      <c r="D1216" s="21">
        <v>0</v>
      </c>
      <c r="E1216" s="21">
        <v>0</v>
      </c>
      <c r="F1216" s="21">
        <v>0</v>
      </c>
      <c r="G1216" s="21">
        <v>0</v>
      </c>
      <c r="H1216" s="21">
        <v>0</v>
      </c>
      <c r="I1216" s="21">
        <v>0</v>
      </c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>
        <v>0</v>
      </c>
      <c r="P1216" s="18"/>
      <c r="Q1216" s="82">
        <f t="shared" si="26"/>
        <v>0</v>
      </c>
      <c r="R1216" s="14">
        <v>56781.599999999919</v>
      </c>
      <c r="S1216" s="15">
        <v>0.1138776549236467</v>
      </c>
      <c r="T1216" s="16">
        <v>8.9741848388069367E-3</v>
      </c>
    </row>
    <row r="1217" spans="1:20" ht="16" hidden="1">
      <c r="A1217" s="80" t="s">
        <v>1068</v>
      </c>
      <c r="B1217" s="81" t="s">
        <v>62</v>
      </c>
      <c r="C1217" s="18"/>
      <c r="D1217" s="21">
        <v>0</v>
      </c>
      <c r="E1217" s="21">
        <v>0</v>
      </c>
      <c r="F1217" s="21">
        <v>0</v>
      </c>
      <c r="G1217" s="21">
        <v>0</v>
      </c>
      <c r="H1217" s="21">
        <v>0</v>
      </c>
      <c r="I1217" s="21">
        <v>0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18"/>
      <c r="Q1217" s="82">
        <f t="shared" si="26"/>
        <v>0</v>
      </c>
      <c r="R1217" s="14">
        <v>8000</v>
      </c>
      <c r="S1217" s="15">
        <v>38095.238095238099</v>
      </c>
      <c r="T1217" s="16">
        <v>1.2926763246376207E-4</v>
      </c>
    </row>
    <row r="1218" spans="1:20" ht="16">
      <c r="A1218" s="80" t="s">
        <v>1069</v>
      </c>
      <c r="B1218" s="81" t="s">
        <v>67</v>
      </c>
      <c r="C1218" s="18"/>
      <c r="D1218" s="21">
        <v>0</v>
      </c>
      <c r="E1218" s="21">
        <v>0</v>
      </c>
      <c r="F1218" s="21">
        <v>0</v>
      </c>
      <c r="G1218" s="21">
        <v>0</v>
      </c>
      <c r="H1218" s="21">
        <v>0</v>
      </c>
      <c r="I1218" s="21">
        <v>0</v>
      </c>
      <c r="J1218" s="3">
        <v>0</v>
      </c>
      <c r="K1218" s="3">
        <v>0</v>
      </c>
      <c r="L1218" s="3">
        <v>0</v>
      </c>
      <c r="M1218" s="3">
        <v>0</v>
      </c>
      <c r="N1218" s="3">
        <v>0</v>
      </c>
      <c r="O1218" s="3">
        <v>0</v>
      </c>
      <c r="P1218" s="18"/>
      <c r="Q1218" s="82">
        <f t="shared" si="26"/>
        <v>0</v>
      </c>
      <c r="R1218" s="14">
        <v>-1.0000000000000009E-2</v>
      </c>
      <c r="S1218" s="15">
        <v>-5.2631578947368474E-2</v>
      </c>
      <c r="T1218" s="16">
        <v>2.9084453837433231E-9</v>
      </c>
    </row>
    <row r="1219" spans="1:20" ht="16" hidden="1">
      <c r="A1219" s="80" t="s">
        <v>1071</v>
      </c>
      <c r="B1219" s="81" t="s">
        <v>463</v>
      </c>
      <c r="C1219" s="18"/>
      <c r="D1219" s="21">
        <v>14634</v>
      </c>
      <c r="E1219" s="21">
        <v>0</v>
      </c>
      <c r="F1219" s="21">
        <v>0</v>
      </c>
      <c r="G1219" s="21">
        <v>0</v>
      </c>
      <c r="H1219" s="21">
        <v>0</v>
      </c>
      <c r="I1219" s="21">
        <v>0</v>
      </c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>
        <v>0</v>
      </c>
      <c r="P1219" s="18"/>
      <c r="Q1219" s="82">
        <f t="shared" si="26"/>
        <v>0</v>
      </c>
      <c r="R1219" s="14">
        <v>-3092.0399999999991</v>
      </c>
      <c r="S1219" s="15">
        <v>-0.41555376661286375</v>
      </c>
      <c r="T1219" s="16">
        <v>7.026690940914507E-5</v>
      </c>
    </row>
    <row r="1220" spans="1:20" ht="16">
      <c r="A1220" s="80" t="s">
        <v>1073</v>
      </c>
      <c r="B1220" s="81" t="s">
        <v>67</v>
      </c>
      <c r="C1220" s="18"/>
      <c r="D1220" s="21">
        <v>0</v>
      </c>
      <c r="E1220" s="21">
        <v>0</v>
      </c>
      <c r="F1220" s="21">
        <v>0</v>
      </c>
      <c r="G1220" s="21">
        <v>0</v>
      </c>
      <c r="H1220" s="21">
        <v>0</v>
      </c>
      <c r="I1220" s="21">
        <v>0</v>
      </c>
      <c r="J1220" s="3">
        <v>0</v>
      </c>
      <c r="K1220" s="3">
        <v>0</v>
      </c>
      <c r="L1220" s="3">
        <v>0</v>
      </c>
      <c r="M1220" s="3">
        <v>0</v>
      </c>
      <c r="N1220" s="3">
        <v>0</v>
      </c>
      <c r="O1220" s="3">
        <v>0</v>
      </c>
      <c r="P1220" s="18"/>
      <c r="Q1220" s="82">
        <f t="shared" si="26"/>
        <v>0</v>
      </c>
      <c r="R1220" s="14">
        <v>0.01</v>
      </c>
      <c r="S1220" s="15">
        <v>-0.999999999999999</v>
      </c>
      <c r="T1220" s="16">
        <v>-1.6817828285919723E-25</v>
      </c>
    </row>
    <row r="1221" spans="1:20" ht="16" hidden="1">
      <c r="A1221" s="80" t="s">
        <v>1075</v>
      </c>
      <c r="B1221" s="81" t="s">
        <v>62</v>
      </c>
      <c r="C1221" s="18"/>
      <c r="D1221" s="21">
        <v>0</v>
      </c>
      <c r="E1221" s="21">
        <v>0</v>
      </c>
      <c r="F1221" s="21">
        <v>0</v>
      </c>
      <c r="G1221" s="21">
        <v>0</v>
      </c>
      <c r="H1221" s="21">
        <v>0</v>
      </c>
      <c r="I1221" s="21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18"/>
      <c r="Q1221" s="82">
        <f t="shared" si="26"/>
        <v>0</v>
      </c>
      <c r="R1221" s="14">
        <v>0</v>
      </c>
      <c r="S1221" s="15">
        <v>0</v>
      </c>
      <c r="T1221" s="16">
        <v>1.6158029909685129E-10</v>
      </c>
    </row>
    <row r="1222" spans="1:20" ht="16" hidden="1">
      <c r="A1222" s="80" t="s">
        <v>1076</v>
      </c>
      <c r="B1222" s="81" t="s">
        <v>62</v>
      </c>
      <c r="C1222" s="18"/>
      <c r="D1222" s="21">
        <v>0</v>
      </c>
      <c r="E1222" s="21">
        <v>0</v>
      </c>
      <c r="F1222" s="21">
        <v>0</v>
      </c>
      <c r="G1222" s="21">
        <v>0</v>
      </c>
      <c r="H1222" s="21">
        <v>0</v>
      </c>
      <c r="I1222" s="21">
        <v>0</v>
      </c>
      <c r="J1222" s="3">
        <v>0</v>
      </c>
      <c r="K1222" s="3">
        <v>0</v>
      </c>
      <c r="L1222" s="3">
        <v>0</v>
      </c>
      <c r="M1222" s="3">
        <v>0</v>
      </c>
      <c r="N1222" s="3">
        <v>0</v>
      </c>
      <c r="O1222" s="3">
        <v>0</v>
      </c>
      <c r="P1222" s="18"/>
      <c r="Q1222" s="82">
        <f t="shared" si="26"/>
        <v>0</v>
      </c>
      <c r="R1222" s="14">
        <v>0</v>
      </c>
      <c r="S1222" s="15">
        <v>0</v>
      </c>
      <c r="T1222" s="16">
        <v>1.5716592532552531E-5</v>
      </c>
    </row>
    <row r="1223" spans="1:20" ht="16" hidden="1">
      <c r="A1223" s="80" t="s">
        <v>1077</v>
      </c>
      <c r="B1223" s="81" t="s">
        <v>76</v>
      </c>
      <c r="C1223" s="18"/>
      <c r="D1223" s="21">
        <v>0</v>
      </c>
      <c r="E1223" s="21">
        <v>0</v>
      </c>
      <c r="F1223" s="21">
        <v>0</v>
      </c>
      <c r="G1223" s="21">
        <v>0</v>
      </c>
      <c r="H1223" s="21">
        <v>0</v>
      </c>
      <c r="I1223" s="21">
        <v>0</v>
      </c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>
        <v>0</v>
      </c>
      <c r="P1223" s="18"/>
      <c r="Q1223" s="82">
        <f t="shared" si="26"/>
        <v>0</v>
      </c>
      <c r="R1223" s="14">
        <v>0</v>
      </c>
      <c r="S1223" s="15">
        <v>0</v>
      </c>
      <c r="T1223" s="16">
        <v>0</v>
      </c>
    </row>
    <row r="1224" spans="1:20" ht="16" hidden="1">
      <c r="A1224" s="80" t="s">
        <v>1082</v>
      </c>
      <c r="B1224" s="81" t="s">
        <v>76</v>
      </c>
      <c r="C1224" s="18"/>
      <c r="D1224" s="21">
        <v>3760</v>
      </c>
      <c r="E1224" s="21">
        <v>3990.4</v>
      </c>
      <c r="F1224" s="21">
        <v>0</v>
      </c>
      <c r="G1224" s="21">
        <v>0</v>
      </c>
      <c r="H1224" s="21">
        <v>0</v>
      </c>
      <c r="I1224" s="21">
        <v>0</v>
      </c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>
        <v>0</v>
      </c>
      <c r="P1224" s="18"/>
      <c r="Q1224" s="82">
        <f t="shared" si="26"/>
        <v>0</v>
      </c>
      <c r="R1224" s="14">
        <v>0</v>
      </c>
      <c r="S1224" s="15">
        <v>0</v>
      </c>
      <c r="T1224" s="16">
        <v>3.3795957620768409E-4</v>
      </c>
    </row>
    <row r="1225" spans="1:20" customFormat="1" ht="16" hidden="1">
      <c r="A1225" s="11" t="s">
        <v>1083</v>
      </c>
      <c r="B1225" s="12" t="s">
        <v>69</v>
      </c>
      <c r="C1225" s="1"/>
      <c r="D1225" s="3">
        <v>0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>
        <v>0</v>
      </c>
      <c r="P1225" s="1"/>
      <c r="Q1225" s="1"/>
      <c r="R1225" s="14">
        <v>0</v>
      </c>
      <c r="S1225" s="15">
        <v>0</v>
      </c>
      <c r="T1225" s="16">
        <v>0</v>
      </c>
    </row>
    <row r="1226" spans="1:20" ht="16" hidden="1">
      <c r="A1226" s="80" t="s">
        <v>1084</v>
      </c>
      <c r="B1226" s="81" t="s">
        <v>62</v>
      </c>
      <c r="C1226" s="18"/>
      <c r="D1226" s="21">
        <v>0</v>
      </c>
      <c r="E1226" s="21">
        <v>0</v>
      </c>
      <c r="F1226" s="21">
        <v>0</v>
      </c>
      <c r="G1226" s="21">
        <v>0</v>
      </c>
      <c r="H1226" s="21">
        <v>0</v>
      </c>
      <c r="I1226" s="21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18"/>
      <c r="Q1226" s="82">
        <f t="shared" ref="Q1226:Q1250" si="27">IFERROR(I1226/$I$4," ")</f>
        <v>0</v>
      </c>
      <c r="R1226" s="14">
        <v>0</v>
      </c>
      <c r="S1226" s="15">
        <v>0</v>
      </c>
      <c r="T1226" s="16">
        <v>-2.8615870970052366E-7</v>
      </c>
    </row>
    <row r="1227" spans="1:20" ht="16">
      <c r="A1227" s="80" t="s">
        <v>1085</v>
      </c>
      <c r="B1227" s="81" t="s">
        <v>67</v>
      </c>
      <c r="C1227" s="18"/>
      <c r="D1227" s="21">
        <v>0</v>
      </c>
      <c r="E1227" s="21">
        <v>0</v>
      </c>
      <c r="F1227" s="21">
        <v>0</v>
      </c>
      <c r="G1227" s="21">
        <v>0</v>
      </c>
      <c r="H1227" s="21">
        <v>0</v>
      </c>
      <c r="I1227" s="21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18"/>
      <c r="Q1227" s="82">
        <f t="shared" si="27"/>
        <v>0</v>
      </c>
      <c r="R1227" s="14">
        <v>1596.5300000000007</v>
      </c>
      <c r="S1227" s="15">
        <v>0.11805545285413016</v>
      </c>
      <c r="T1227" s="16">
        <v>2.4431086645713106E-4</v>
      </c>
    </row>
    <row r="1228" spans="1:20" ht="16" hidden="1">
      <c r="A1228" s="80" t="s">
        <v>1086</v>
      </c>
      <c r="B1228" s="81" t="s">
        <v>85</v>
      </c>
      <c r="C1228" s="18"/>
      <c r="D1228" s="21">
        <v>0</v>
      </c>
      <c r="E1228" s="21">
        <v>0</v>
      </c>
      <c r="F1228" s="21">
        <v>0</v>
      </c>
      <c r="G1228" s="21">
        <v>0</v>
      </c>
      <c r="H1228" s="21">
        <v>0</v>
      </c>
      <c r="I1228" s="21">
        <v>0</v>
      </c>
      <c r="J1228" s="3">
        <v>0</v>
      </c>
      <c r="K1228" s="3">
        <v>0</v>
      </c>
      <c r="L1228" s="3">
        <v>0</v>
      </c>
      <c r="M1228" s="3">
        <v>0</v>
      </c>
      <c r="N1228" s="3">
        <v>0</v>
      </c>
      <c r="O1228" s="3">
        <v>0</v>
      </c>
      <c r="P1228" s="18"/>
      <c r="Q1228" s="82">
        <f t="shared" si="27"/>
        <v>0</v>
      </c>
      <c r="R1228" s="14">
        <v>18910</v>
      </c>
      <c r="S1228" s="15">
        <v>5.2801577424089426E-2</v>
      </c>
      <c r="T1228" s="16">
        <v>6.0922759491645884E-3</v>
      </c>
    </row>
    <row r="1229" spans="1:20" ht="16" hidden="1">
      <c r="A1229" s="80" t="s">
        <v>1087</v>
      </c>
      <c r="B1229" s="81" t="s">
        <v>62</v>
      </c>
      <c r="C1229" s="18"/>
      <c r="D1229" s="21">
        <v>0</v>
      </c>
      <c r="E1229" s="21">
        <v>0</v>
      </c>
      <c r="F1229" s="21">
        <v>0</v>
      </c>
      <c r="G1229" s="21">
        <v>0</v>
      </c>
      <c r="H1229" s="21">
        <v>0</v>
      </c>
      <c r="I1229" s="21">
        <v>0</v>
      </c>
      <c r="J1229" s="3">
        <v>0</v>
      </c>
      <c r="K1229" s="3">
        <v>0</v>
      </c>
      <c r="L1229" s="3">
        <v>0</v>
      </c>
      <c r="M1229" s="3">
        <v>0</v>
      </c>
      <c r="N1229" s="3">
        <v>0</v>
      </c>
      <c r="O1229" s="3">
        <v>0</v>
      </c>
      <c r="P1229" s="18"/>
      <c r="Q1229" s="82">
        <f t="shared" si="27"/>
        <v>0</v>
      </c>
      <c r="R1229" s="14">
        <v>0</v>
      </c>
      <c r="S1229" s="15">
        <v>0</v>
      </c>
      <c r="T1229" s="16">
        <v>0</v>
      </c>
    </row>
    <row r="1230" spans="1:20" ht="16" hidden="1">
      <c r="A1230" s="80" t="s">
        <v>1091</v>
      </c>
      <c r="B1230" s="81" t="s">
        <v>62</v>
      </c>
      <c r="C1230" s="18"/>
      <c r="D1230" s="21">
        <v>0</v>
      </c>
      <c r="E1230" s="21">
        <v>0</v>
      </c>
      <c r="F1230" s="21">
        <v>0</v>
      </c>
      <c r="G1230" s="21">
        <v>0</v>
      </c>
      <c r="H1230" s="21">
        <v>0</v>
      </c>
      <c r="I1230" s="21">
        <v>0</v>
      </c>
      <c r="J1230" s="3">
        <v>0</v>
      </c>
      <c r="K1230" s="3">
        <v>0</v>
      </c>
      <c r="L1230" s="3">
        <v>0</v>
      </c>
      <c r="M1230" s="3">
        <v>0</v>
      </c>
      <c r="N1230" s="3">
        <v>0</v>
      </c>
      <c r="O1230" s="3">
        <v>0</v>
      </c>
      <c r="P1230" s="18"/>
      <c r="Q1230" s="82">
        <f t="shared" si="27"/>
        <v>0</v>
      </c>
      <c r="R1230" s="14">
        <v>0</v>
      </c>
      <c r="S1230" s="15">
        <v>0</v>
      </c>
      <c r="T1230" s="16">
        <v>-1.6158029909684442E-10</v>
      </c>
    </row>
    <row r="1231" spans="1:20" ht="16" hidden="1">
      <c r="A1231" s="80" t="s">
        <v>1092</v>
      </c>
      <c r="B1231" s="81" t="s">
        <v>83</v>
      </c>
      <c r="C1231" s="18"/>
      <c r="D1231" s="21">
        <v>0</v>
      </c>
      <c r="E1231" s="21">
        <v>0</v>
      </c>
      <c r="F1231" s="21">
        <v>0</v>
      </c>
      <c r="G1231" s="21">
        <v>0</v>
      </c>
      <c r="H1231" s="21">
        <v>0</v>
      </c>
      <c r="I1231" s="21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18"/>
      <c r="Q1231" s="82">
        <f t="shared" si="27"/>
        <v>0</v>
      </c>
      <c r="R1231" s="14">
        <v>0</v>
      </c>
      <c r="S1231" s="15">
        <v>0</v>
      </c>
      <c r="T1231" s="16">
        <v>5.1361692870018211E-3</v>
      </c>
    </row>
    <row r="1232" spans="1:20" ht="16" hidden="1">
      <c r="A1232" s="80" t="s">
        <v>1093</v>
      </c>
      <c r="B1232" s="81" t="s">
        <v>83</v>
      </c>
      <c r="C1232" s="18"/>
      <c r="D1232" s="21">
        <v>0</v>
      </c>
      <c r="E1232" s="21">
        <v>0</v>
      </c>
      <c r="F1232" s="21">
        <v>0</v>
      </c>
      <c r="G1232" s="21">
        <v>0</v>
      </c>
      <c r="H1232" s="21">
        <v>0</v>
      </c>
      <c r="I1232" s="21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18"/>
      <c r="Q1232" s="82">
        <f t="shared" si="27"/>
        <v>0</v>
      </c>
      <c r="R1232" s="14">
        <v>0</v>
      </c>
      <c r="S1232" s="15">
        <v>0</v>
      </c>
      <c r="T1232" s="16">
        <v>0</v>
      </c>
    </row>
    <row r="1233" spans="1:20" ht="16" hidden="1">
      <c r="A1233" s="80" t="s">
        <v>1098</v>
      </c>
      <c r="B1233" s="81" t="s">
        <v>85</v>
      </c>
      <c r="C1233" s="18"/>
      <c r="D1233" s="21">
        <v>0</v>
      </c>
      <c r="E1233" s="21">
        <v>0</v>
      </c>
      <c r="F1233" s="21">
        <v>0</v>
      </c>
      <c r="G1233" s="21">
        <v>0</v>
      </c>
      <c r="H1233" s="21">
        <v>0</v>
      </c>
      <c r="I1233" s="21">
        <v>0</v>
      </c>
      <c r="J1233" s="3">
        <v>0</v>
      </c>
      <c r="K1233" s="3">
        <v>0</v>
      </c>
      <c r="L1233" s="3">
        <v>0</v>
      </c>
      <c r="M1233" s="3">
        <v>0</v>
      </c>
      <c r="N1233" s="3">
        <v>0</v>
      </c>
      <c r="O1233" s="3">
        <v>0</v>
      </c>
      <c r="P1233" s="18"/>
      <c r="Q1233" s="82">
        <f t="shared" si="27"/>
        <v>0</v>
      </c>
      <c r="R1233" s="14">
        <v>-5386.9900000000016</v>
      </c>
      <c r="S1233" s="15">
        <v>-0.35836409513729561</v>
      </c>
      <c r="T1233" s="16">
        <v>1.5584710692429684E-4</v>
      </c>
    </row>
    <row r="1234" spans="1:20" ht="16">
      <c r="A1234" s="80" t="s">
        <v>1100</v>
      </c>
      <c r="B1234" s="81" t="s">
        <v>67</v>
      </c>
      <c r="C1234" s="18"/>
      <c r="D1234" s="21">
        <v>45241.7</v>
      </c>
      <c r="E1234" s="21">
        <v>0</v>
      </c>
      <c r="F1234" s="21">
        <v>0</v>
      </c>
      <c r="G1234" s="21">
        <v>45241.7</v>
      </c>
      <c r="H1234" s="21">
        <v>0</v>
      </c>
      <c r="I1234" s="21">
        <v>0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>
        <v>0</v>
      </c>
      <c r="P1234" s="18"/>
      <c r="Q1234" s="82">
        <f t="shared" si="27"/>
        <v>0</v>
      </c>
      <c r="R1234" s="14">
        <v>6763.14</v>
      </c>
      <c r="S1234" s="15">
        <v>0</v>
      </c>
      <c r="T1234" s="16">
        <v>1.092790184033879E-4</v>
      </c>
    </row>
    <row r="1235" spans="1:20" ht="16">
      <c r="A1235" s="80" t="s">
        <v>1101</v>
      </c>
      <c r="B1235" s="81" t="s">
        <v>67</v>
      </c>
      <c r="C1235" s="18"/>
      <c r="D1235" s="21">
        <v>1684.08</v>
      </c>
      <c r="E1235" s="21">
        <v>0</v>
      </c>
      <c r="F1235" s="21">
        <v>0</v>
      </c>
      <c r="G1235" s="21">
        <v>0</v>
      </c>
      <c r="H1235" s="21">
        <v>0</v>
      </c>
      <c r="I1235" s="21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18"/>
      <c r="Q1235" s="82">
        <f t="shared" si="27"/>
        <v>0</v>
      </c>
      <c r="R1235" s="14">
        <v>0</v>
      </c>
      <c r="S1235" s="15">
        <v>0</v>
      </c>
      <c r="T1235" s="16">
        <v>2.6813604313926082E-5</v>
      </c>
    </row>
    <row r="1236" spans="1:20" ht="16" hidden="1">
      <c r="A1236" s="80" t="s">
        <v>1103</v>
      </c>
      <c r="B1236" s="81" t="s">
        <v>76</v>
      </c>
      <c r="C1236" s="18"/>
      <c r="D1236" s="21">
        <v>0</v>
      </c>
      <c r="E1236" s="21">
        <v>0</v>
      </c>
      <c r="F1236" s="21">
        <v>0</v>
      </c>
      <c r="G1236" s="21">
        <v>0</v>
      </c>
      <c r="H1236" s="21">
        <v>0</v>
      </c>
      <c r="I1236" s="21">
        <v>0</v>
      </c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>
        <v>0</v>
      </c>
      <c r="P1236" s="18"/>
      <c r="Q1236" s="82">
        <f t="shared" si="27"/>
        <v>0</v>
      </c>
      <c r="R1236" s="14">
        <v>0</v>
      </c>
      <c r="S1236" s="15">
        <v>0</v>
      </c>
      <c r="T1236" s="16">
        <v>0</v>
      </c>
    </row>
    <row r="1237" spans="1:20" ht="16" hidden="1">
      <c r="A1237" s="80" t="s">
        <v>1107</v>
      </c>
      <c r="B1237" s="81" t="s">
        <v>76</v>
      </c>
      <c r="C1237" s="18"/>
      <c r="D1237" s="21">
        <v>0</v>
      </c>
      <c r="E1237" s="21">
        <v>0</v>
      </c>
      <c r="F1237" s="21">
        <v>0</v>
      </c>
      <c r="G1237" s="21">
        <v>0</v>
      </c>
      <c r="H1237" s="21">
        <v>0</v>
      </c>
      <c r="I1237" s="21">
        <v>0</v>
      </c>
      <c r="J1237" s="3">
        <v>0</v>
      </c>
      <c r="K1237" s="3">
        <v>0</v>
      </c>
      <c r="L1237" s="3">
        <v>0</v>
      </c>
      <c r="M1237" s="3">
        <v>0</v>
      </c>
      <c r="N1237" s="3">
        <v>0</v>
      </c>
      <c r="O1237" s="3">
        <v>0</v>
      </c>
      <c r="P1237" s="18"/>
      <c r="Q1237" s="82">
        <f t="shared" si="27"/>
        <v>0</v>
      </c>
      <c r="R1237" s="14">
        <v>0</v>
      </c>
      <c r="S1237" s="15">
        <v>0</v>
      </c>
      <c r="T1237" s="16">
        <v>0</v>
      </c>
    </row>
    <row r="1238" spans="1:20" ht="16">
      <c r="A1238" s="80" t="s">
        <v>1109</v>
      </c>
      <c r="B1238" s="81" t="s">
        <v>67</v>
      </c>
      <c r="C1238" s="18"/>
      <c r="D1238" s="21">
        <v>0</v>
      </c>
      <c r="E1238" s="21">
        <v>0</v>
      </c>
      <c r="F1238" s="21">
        <v>0</v>
      </c>
      <c r="G1238" s="21">
        <v>0</v>
      </c>
      <c r="H1238" s="21">
        <v>0</v>
      </c>
      <c r="I1238" s="21">
        <v>0</v>
      </c>
      <c r="J1238" s="3">
        <v>0</v>
      </c>
      <c r="K1238" s="3">
        <v>0</v>
      </c>
      <c r="L1238" s="3">
        <v>0</v>
      </c>
      <c r="M1238" s="3">
        <v>0</v>
      </c>
      <c r="N1238" s="3">
        <v>0</v>
      </c>
      <c r="O1238" s="3">
        <v>0</v>
      </c>
      <c r="P1238" s="18"/>
      <c r="Q1238" s="82">
        <f t="shared" si="27"/>
        <v>0</v>
      </c>
      <c r="R1238" s="14">
        <v>44374.279999999984</v>
      </c>
      <c r="S1238" s="15">
        <v>1.1490831009666176</v>
      </c>
      <c r="T1238" s="16">
        <v>1.3409775234466421E-3</v>
      </c>
    </row>
    <row r="1239" spans="1:20" ht="16">
      <c r="A1239" s="80" t="s">
        <v>1111</v>
      </c>
      <c r="B1239" s="81" t="s">
        <v>67</v>
      </c>
      <c r="C1239" s="18"/>
      <c r="D1239" s="21">
        <v>92159.34</v>
      </c>
      <c r="E1239" s="21">
        <v>0</v>
      </c>
      <c r="F1239" s="21">
        <v>0</v>
      </c>
      <c r="G1239" s="21">
        <v>0</v>
      </c>
      <c r="H1239" s="21">
        <v>0</v>
      </c>
      <c r="I1239" s="21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18"/>
      <c r="Q1239" s="82">
        <f t="shared" si="27"/>
        <v>0</v>
      </c>
      <c r="R1239" s="14">
        <v>93.91</v>
      </c>
      <c r="S1239" s="15">
        <v>0</v>
      </c>
      <c r="T1239" s="16">
        <v>1.5174005888185306E-6</v>
      </c>
    </row>
    <row r="1240" spans="1:20" ht="16">
      <c r="A1240" s="80" t="s">
        <v>1112</v>
      </c>
      <c r="B1240" s="81" t="s">
        <v>67</v>
      </c>
      <c r="C1240" s="18"/>
      <c r="D1240" s="21">
        <v>0</v>
      </c>
      <c r="E1240" s="21">
        <v>0</v>
      </c>
      <c r="F1240" s="21">
        <v>0</v>
      </c>
      <c r="G1240" s="21">
        <v>0</v>
      </c>
      <c r="H1240" s="21">
        <v>0</v>
      </c>
      <c r="I1240" s="21">
        <v>0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>
        <v>0</v>
      </c>
      <c r="P1240" s="18"/>
      <c r="Q1240" s="82">
        <f t="shared" si="27"/>
        <v>0</v>
      </c>
      <c r="R1240" s="14">
        <v>0</v>
      </c>
      <c r="S1240" s="15">
        <v>0</v>
      </c>
      <c r="T1240" s="16">
        <v>0</v>
      </c>
    </row>
    <row r="1241" spans="1:20" ht="16" hidden="1">
      <c r="A1241" s="80" t="s">
        <v>1112</v>
      </c>
      <c r="B1241" s="81" t="s">
        <v>62</v>
      </c>
      <c r="C1241" s="18"/>
      <c r="D1241" s="21">
        <v>0</v>
      </c>
      <c r="E1241" s="21">
        <v>0</v>
      </c>
      <c r="F1241" s="21">
        <v>0</v>
      </c>
      <c r="G1241" s="21">
        <v>0</v>
      </c>
      <c r="H1241" s="21">
        <v>0</v>
      </c>
      <c r="I1241" s="21">
        <v>0</v>
      </c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>
        <v>0</v>
      </c>
      <c r="P1241" s="18"/>
      <c r="Q1241" s="82">
        <f t="shared" si="27"/>
        <v>0</v>
      </c>
      <c r="R1241" s="14">
        <v>0</v>
      </c>
      <c r="S1241" s="15">
        <v>0</v>
      </c>
      <c r="T1241" s="16">
        <v>1.6158029909685129E-10</v>
      </c>
    </row>
    <row r="1242" spans="1:20" ht="16">
      <c r="A1242" s="80" t="s">
        <v>1113</v>
      </c>
      <c r="B1242" s="81" t="s">
        <v>67</v>
      </c>
      <c r="C1242" s="18"/>
      <c r="D1242" s="21">
        <v>0</v>
      </c>
      <c r="E1242" s="21">
        <v>0</v>
      </c>
      <c r="F1242" s="21">
        <v>0</v>
      </c>
      <c r="G1242" s="21">
        <v>0</v>
      </c>
      <c r="H1242" s="21">
        <v>0</v>
      </c>
      <c r="I1242" s="21">
        <v>0</v>
      </c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>
        <v>0</v>
      </c>
      <c r="P1242" s="18"/>
      <c r="Q1242" s="82">
        <f t="shared" si="27"/>
        <v>0</v>
      </c>
      <c r="R1242" s="14">
        <v>0</v>
      </c>
      <c r="S1242" s="15">
        <v>0</v>
      </c>
      <c r="T1242" s="16">
        <v>0</v>
      </c>
    </row>
    <row r="1243" spans="1:20" ht="16" hidden="1">
      <c r="A1243" s="80" t="s">
        <v>1113</v>
      </c>
      <c r="B1243" s="81" t="s">
        <v>62</v>
      </c>
      <c r="C1243" s="18"/>
      <c r="D1243" s="21">
        <v>0</v>
      </c>
      <c r="E1243" s="21">
        <v>0</v>
      </c>
      <c r="F1243" s="21">
        <v>0</v>
      </c>
      <c r="G1243" s="21">
        <v>0</v>
      </c>
      <c r="H1243" s="21">
        <v>0</v>
      </c>
      <c r="I1243" s="21">
        <v>0</v>
      </c>
      <c r="J1243" s="3">
        <v>0</v>
      </c>
      <c r="K1243" s="3">
        <v>0</v>
      </c>
      <c r="L1243" s="3">
        <v>0</v>
      </c>
      <c r="M1243" s="3">
        <v>0</v>
      </c>
      <c r="N1243" s="3">
        <v>0</v>
      </c>
      <c r="O1243" s="3">
        <v>0</v>
      </c>
      <c r="P1243" s="18"/>
      <c r="Q1243" s="82">
        <f t="shared" si="27"/>
        <v>0</v>
      </c>
      <c r="R1243" s="14">
        <v>0</v>
      </c>
      <c r="S1243" s="15">
        <v>0</v>
      </c>
      <c r="T1243" s="16">
        <v>3.4416603707629336E-8</v>
      </c>
    </row>
    <row r="1244" spans="1:20" ht="16" hidden="1">
      <c r="A1244" s="80" t="s">
        <v>1121</v>
      </c>
      <c r="B1244" s="81" t="s">
        <v>60</v>
      </c>
      <c r="C1244" s="18"/>
      <c r="D1244" s="21">
        <v>0</v>
      </c>
      <c r="E1244" s="21">
        <v>0</v>
      </c>
      <c r="F1244" s="21">
        <v>0</v>
      </c>
      <c r="G1244" s="21">
        <v>0</v>
      </c>
      <c r="H1244" s="21">
        <v>0</v>
      </c>
      <c r="I1244" s="21">
        <v>0</v>
      </c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>
        <v>0</v>
      </c>
      <c r="P1244" s="18"/>
      <c r="Q1244" s="82">
        <f t="shared" si="27"/>
        <v>0</v>
      </c>
      <c r="R1244" s="14">
        <v>0</v>
      </c>
      <c r="S1244" s="15">
        <v>0</v>
      </c>
      <c r="T1244" s="16">
        <v>0</v>
      </c>
    </row>
    <row r="1245" spans="1:20" ht="16" hidden="1">
      <c r="A1245" s="80" t="s">
        <v>1123</v>
      </c>
      <c r="B1245" s="81" t="s">
        <v>62</v>
      </c>
      <c r="C1245" s="18"/>
      <c r="D1245" s="21">
        <v>0</v>
      </c>
      <c r="E1245" s="21">
        <v>0</v>
      </c>
      <c r="F1245" s="21">
        <v>0</v>
      </c>
      <c r="G1245" s="21">
        <v>0</v>
      </c>
      <c r="H1245" s="21">
        <v>0</v>
      </c>
      <c r="I1245" s="21">
        <v>0</v>
      </c>
      <c r="J1245" s="3">
        <v>0</v>
      </c>
      <c r="K1245" s="3">
        <v>0</v>
      </c>
      <c r="L1245" s="3">
        <v>0</v>
      </c>
      <c r="M1245" s="3">
        <v>0</v>
      </c>
      <c r="N1245" s="3">
        <v>0</v>
      </c>
      <c r="O1245" s="3">
        <v>0</v>
      </c>
      <c r="P1245" s="18"/>
      <c r="Q1245" s="82">
        <f t="shared" si="27"/>
        <v>0</v>
      </c>
      <c r="R1245" s="14">
        <v>0</v>
      </c>
      <c r="S1245" s="15">
        <v>0</v>
      </c>
      <c r="T1245" s="16">
        <v>0</v>
      </c>
    </row>
    <row r="1246" spans="1:20" ht="16" hidden="1">
      <c r="A1246" s="80" t="s">
        <v>1124</v>
      </c>
      <c r="B1246" s="81" t="s">
        <v>78</v>
      </c>
      <c r="C1246" s="18"/>
      <c r="D1246" s="21">
        <v>0</v>
      </c>
      <c r="E1246" s="21">
        <v>0</v>
      </c>
      <c r="F1246" s="21">
        <v>0</v>
      </c>
      <c r="G1246" s="21">
        <v>0</v>
      </c>
      <c r="H1246" s="21">
        <v>0</v>
      </c>
      <c r="I1246" s="21">
        <v>0</v>
      </c>
      <c r="J1246" s="3">
        <v>0</v>
      </c>
      <c r="K1246" s="3">
        <v>0</v>
      </c>
      <c r="L1246" s="3">
        <v>0</v>
      </c>
      <c r="M1246" s="3">
        <v>0</v>
      </c>
      <c r="N1246" s="3">
        <v>0</v>
      </c>
      <c r="O1246" s="3">
        <v>0</v>
      </c>
      <c r="P1246" s="18"/>
      <c r="Q1246" s="82">
        <f t="shared" si="27"/>
        <v>0</v>
      </c>
      <c r="R1246" s="14">
        <v>0</v>
      </c>
      <c r="S1246" s="15">
        <v>0</v>
      </c>
      <c r="T1246" s="16">
        <v>0</v>
      </c>
    </row>
    <row r="1247" spans="1:20" ht="16" hidden="1">
      <c r="A1247" s="80" t="s">
        <v>1125</v>
      </c>
      <c r="B1247" s="81" t="s">
        <v>89</v>
      </c>
      <c r="C1247" s="18"/>
      <c r="D1247" s="21">
        <v>0</v>
      </c>
      <c r="E1247" s="21">
        <v>0</v>
      </c>
      <c r="F1247" s="21">
        <v>0</v>
      </c>
      <c r="G1247" s="21">
        <v>0</v>
      </c>
      <c r="H1247" s="21">
        <v>0</v>
      </c>
      <c r="I1247" s="21">
        <v>0</v>
      </c>
      <c r="J1247" s="3">
        <v>0</v>
      </c>
      <c r="K1247" s="3">
        <v>0</v>
      </c>
      <c r="L1247" s="3">
        <v>0</v>
      </c>
      <c r="M1247" s="3">
        <v>0</v>
      </c>
      <c r="N1247" s="3">
        <v>0</v>
      </c>
      <c r="O1247" s="3">
        <v>0</v>
      </c>
      <c r="P1247" s="18"/>
      <c r="Q1247" s="82">
        <f t="shared" si="27"/>
        <v>0</v>
      </c>
      <c r="R1247" s="14">
        <v>0</v>
      </c>
      <c r="S1247" s="15">
        <v>0</v>
      </c>
      <c r="T1247" s="16">
        <v>4.798934883176484E-8</v>
      </c>
    </row>
    <row r="1248" spans="1:20" ht="16" hidden="1">
      <c r="A1248" s="80" t="s">
        <v>1127</v>
      </c>
      <c r="B1248" s="81" t="s">
        <v>76</v>
      </c>
      <c r="C1248" s="18"/>
      <c r="D1248" s="21">
        <v>0</v>
      </c>
      <c r="E1248" s="21">
        <v>0</v>
      </c>
      <c r="F1248" s="21">
        <v>0</v>
      </c>
      <c r="G1248" s="21">
        <v>0</v>
      </c>
      <c r="H1248" s="21">
        <v>0</v>
      </c>
      <c r="I1248" s="21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18"/>
      <c r="Q1248" s="82">
        <f t="shared" si="27"/>
        <v>0</v>
      </c>
      <c r="R1248" s="14">
        <v>0</v>
      </c>
      <c r="S1248" s="15">
        <v>0</v>
      </c>
      <c r="T1248" s="16">
        <v>1.9518900130899642E-6</v>
      </c>
    </row>
    <row r="1249" spans="1:20" ht="16" hidden="1">
      <c r="A1249" s="80" t="s">
        <v>1128</v>
      </c>
      <c r="B1249" s="81" t="s">
        <v>78</v>
      </c>
      <c r="C1249" s="18"/>
      <c r="D1249" s="21">
        <v>0</v>
      </c>
      <c r="E1249" s="21">
        <v>0</v>
      </c>
      <c r="F1249" s="21">
        <v>0</v>
      </c>
      <c r="G1249" s="21">
        <v>0</v>
      </c>
      <c r="H1249" s="21">
        <v>0</v>
      </c>
      <c r="I1249" s="21">
        <v>0</v>
      </c>
      <c r="J1249" s="3">
        <v>0</v>
      </c>
      <c r="K1249" s="3">
        <v>0</v>
      </c>
      <c r="L1249" s="3">
        <v>0</v>
      </c>
      <c r="M1249" s="3">
        <v>0</v>
      </c>
      <c r="N1249" s="3">
        <v>0</v>
      </c>
      <c r="O1249" s="3">
        <v>0</v>
      </c>
      <c r="P1249" s="18"/>
      <c r="Q1249" s="82">
        <f t="shared" si="27"/>
        <v>0</v>
      </c>
      <c r="R1249" s="14">
        <v>-2403.8499999999985</v>
      </c>
      <c r="S1249" s="15">
        <v>-7.4074085486951907E-2</v>
      </c>
      <c r="T1249" s="16">
        <v>4.8551842168980801E-4</v>
      </c>
    </row>
    <row r="1250" spans="1:20" ht="16" hidden="1">
      <c r="A1250" s="80" t="s">
        <v>1129</v>
      </c>
      <c r="B1250" s="81" t="s">
        <v>78</v>
      </c>
      <c r="C1250" s="18"/>
      <c r="D1250" s="21">
        <v>0</v>
      </c>
      <c r="E1250" s="21">
        <v>0</v>
      </c>
      <c r="F1250" s="21">
        <v>0</v>
      </c>
      <c r="G1250" s="21">
        <v>0</v>
      </c>
      <c r="H1250" s="21">
        <v>0</v>
      </c>
      <c r="I1250" s="21">
        <v>0</v>
      </c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>
        <v>0</v>
      </c>
      <c r="P1250" s="18"/>
      <c r="Q1250" s="82">
        <f t="shared" si="27"/>
        <v>0</v>
      </c>
      <c r="R1250" s="14">
        <v>0</v>
      </c>
      <c r="S1250" s="15">
        <v>0</v>
      </c>
      <c r="T1250" s="16">
        <v>-1.6158029909685129E-10</v>
      </c>
    </row>
    <row r="1251" spans="1:20" customFormat="1" ht="16" hidden="1">
      <c r="A1251" s="11" t="s">
        <v>1130</v>
      </c>
      <c r="B1251" s="12" t="s">
        <v>69</v>
      </c>
      <c r="C1251" s="1"/>
      <c r="D1251" s="3">
        <v>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>
        <v>0</v>
      </c>
      <c r="P1251" s="1"/>
      <c r="Q1251" s="1"/>
      <c r="R1251" s="14">
        <v>0</v>
      </c>
      <c r="S1251" s="15">
        <v>0</v>
      </c>
      <c r="T1251" s="16">
        <v>0</v>
      </c>
    </row>
    <row r="1252" spans="1:20" ht="16" hidden="1">
      <c r="A1252" s="80" t="s">
        <v>1133</v>
      </c>
      <c r="B1252" s="81" t="s">
        <v>62</v>
      </c>
      <c r="C1252" s="18"/>
      <c r="D1252" s="21">
        <v>0</v>
      </c>
      <c r="E1252" s="21">
        <v>0</v>
      </c>
      <c r="F1252" s="21">
        <v>0</v>
      </c>
      <c r="G1252" s="21">
        <v>0</v>
      </c>
      <c r="H1252" s="21">
        <v>0</v>
      </c>
      <c r="I1252" s="21">
        <v>0</v>
      </c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>
        <v>0</v>
      </c>
      <c r="P1252" s="18"/>
      <c r="Q1252" s="82">
        <f t="shared" ref="Q1252:Q1281" si="28">IFERROR(I1252/$I$4," ")</f>
        <v>0</v>
      </c>
      <c r="R1252" s="14">
        <v>0</v>
      </c>
      <c r="S1252" s="15">
        <v>0</v>
      </c>
      <c r="T1252" s="16">
        <v>0</v>
      </c>
    </row>
    <row r="1253" spans="1:20" ht="16" hidden="1">
      <c r="A1253" s="80" t="s">
        <v>1134</v>
      </c>
      <c r="B1253" s="81" t="s">
        <v>76</v>
      </c>
      <c r="C1253" s="18"/>
      <c r="D1253" s="21">
        <v>0</v>
      </c>
      <c r="E1253" s="21">
        <v>0</v>
      </c>
      <c r="F1253" s="21">
        <v>0</v>
      </c>
      <c r="G1253" s="21">
        <v>0</v>
      </c>
      <c r="H1253" s="21">
        <v>0</v>
      </c>
      <c r="I1253" s="21">
        <v>0</v>
      </c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>
        <v>0</v>
      </c>
      <c r="P1253" s="18"/>
      <c r="Q1253" s="82">
        <f t="shared" si="28"/>
        <v>0</v>
      </c>
      <c r="R1253" s="14">
        <v>0</v>
      </c>
      <c r="S1253" s="15">
        <v>0</v>
      </c>
      <c r="T1253" s="16">
        <v>0</v>
      </c>
    </row>
    <row r="1254" spans="1:20" ht="16" hidden="1">
      <c r="A1254" s="80" t="s">
        <v>1134</v>
      </c>
      <c r="B1254" s="81" t="s">
        <v>162</v>
      </c>
      <c r="C1254" s="18"/>
      <c r="D1254" s="21">
        <v>0</v>
      </c>
      <c r="E1254" s="21">
        <v>0</v>
      </c>
      <c r="F1254" s="21">
        <v>0</v>
      </c>
      <c r="G1254" s="21">
        <v>0</v>
      </c>
      <c r="H1254" s="21">
        <v>0</v>
      </c>
      <c r="I1254" s="21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18"/>
      <c r="Q1254" s="82">
        <f t="shared" si="28"/>
        <v>0</v>
      </c>
      <c r="R1254" s="14">
        <v>0</v>
      </c>
      <c r="S1254" s="15">
        <v>0</v>
      </c>
      <c r="T1254" s="16">
        <v>0</v>
      </c>
    </row>
    <row r="1255" spans="1:20" ht="16" hidden="1">
      <c r="A1255" s="80" t="s">
        <v>1136</v>
      </c>
      <c r="B1255" s="81" t="s">
        <v>85</v>
      </c>
      <c r="C1255" s="18"/>
      <c r="D1255" s="21">
        <v>0</v>
      </c>
      <c r="E1255" s="21">
        <v>0</v>
      </c>
      <c r="F1255" s="21">
        <v>0</v>
      </c>
      <c r="G1255" s="21">
        <v>0</v>
      </c>
      <c r="H1255" s="21">
        <v>0</v>
      </c>
      <c r="I1255" s="21">
        <v>0</v>
      </c>
      <c r="J1255" s="3">
        <v>0</v>
      </c>
      <c r="K1255" s="3">
        <v>0</v>
      </c>
      <c r="L1255" s="3">
        <v>0</v>
      </c>
      <c r="M1255" s="3">
        <v>0</v>
      </c>
      <c r="N1255" s="3">
        <v>0</v>
      </c>
      <c r="O1255" s="3">
        <v>0</v>
      </c>
      <c r="P1255" s="18"/>
      <c r="Q1255" s="82">
        <f t="shared" si="28"/>
        <v>0</v>
      </c>
      <c r="R1255" s="14">
        <v>0</v>
      </c>
      <c r="S1255" s="15">
        <v>0</v>
      </c>
      <c r="T1255" s="16">
        <v>0</v>
      </c>
    </row>
    <row r="1256" spans="1:20" ht="16" hidden="1">
      <c r="A1256" s="80" t="s">
        <v>1137</v>
      </c>
      <c r="B1256" s="81" t="s">
        <v>60</v>
      </c>
      <c r="C1256" s="18"/>
      <c r="D1256" s="21">
        <v>0</v>
      </c>
      <c r="E1256" s="21">
        <v>0</v>
      </c>
      <c r="F1256" s="21">
        <v>0</v>
      </c>
      <c r="G1256" s="21">
        <v>0</v>
      </c>
      <c r="H1256" s="21">
        <v>0</v>
      </c>
      <c r="I1256" s="21">
        <v>0</v>
      </c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>
        <v>0</v>
      </c>
      <c r="P1256" s="18"/>
      <c r="Q1256" s="82">
        <f t="shared" si="28"/>
        <v>0</v>
      </c>
      <c r="R1256" s="14">
        <v>0</v>
      </c>
      <c r="S1256" s="15">
        <v>0</v>
      </c>
      <c r="T1256" s="16">
        <v>0</v>
      </c>
    </row>
    <row r="1257" spans="1:20" ht="16" hidden="1">
      <c r="A1257" s="80" t="s">
        <v>1140</v>
      </c>
      <c r="B1257" s="81" t="s">
        <v>78</v>
      </c>
      <c r="C1257" s="18"/>
      <c r="D1257" s="21">
        <v>0.02</v>
      </c>
      <c r="E1257" s="21">
        <v>0.02</v>
      </c>
      <c r="F1257" s="21">
        <v>0.02</v>
      </c>
      <c r="G1257" s="21">
        <v>0.02</v>
      </c>
      <c r="H1257" s="21">
        <v>0</v>
      </c>
      <c r="I1257" s="21">
        <v>0</v>
      </c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>
        <v>0</v>
      </c>
      <c r="P1257" s="18"/>
      <c r="Q1257" s="82">
        <f t="shared" si="28"/>
        <v>0</v>
      </c>
      <c r="R1257" s="14">
        <v>-337.11000000000013</v>
      </c>
      <c r="S1257" s="15">
        <v>-0.13235415366132322</v>
      </c>
      <c r="T1257" s="16">
        <v>3.5707953458011364E-5</v>
      </c>
    </row>
    <row r="1258" spans="1:20" ht="16">
      <c r="A1258" s="80" t="s">
        <v>1145</v>
      </c>
      <c r="B1258" s="81" t="s">
        <v>67</v>
      </c>
      <c r="C1258" s="18"/>
      <c r="D1258" s="21">
        <v>0</v>
      </c>
      <c r="E1258" s="21">
        <v>0</v>
      </c>
      <c r="F1258" s="21">
        <v>0</v>
      </c>
      <c r="G1258" s="21">
        <v>0</v>
      </c>
      <c r="H1258" s="21">
        <v>15833.51</v>
      </c>
      <c r="I1258" s="21">
        <v>0</v>
      </c>
      <c r="J1258" s="3">
        <v>0</v>
      </c>
      <c r="K1258" s="3">
        <v>0</v>
      </c>
      <c r="L1258" s="3">
        <v>0</v>
      </c>
      <c r="M1258" s="3">
        <v>0</v>
      </c>
      <c r="N1258" s="3">
        <v>0</v>
      </c>
      <c r="O1258" s="3">
        <v>0</v>
      </c>
      <c r="P1258" s="18"/>
      <c r="Q1258" s="82">
        <f t="shared" si="28"/>
        <v>0</v>
      </c>
      <c r="R1258" s="14">
        <v>0</v>
      </c>
      <c r="S1258" s="15">
        <v>0</v>
      </c>
      <c r="T1258" s="16">
        <v>4.8474089729055388E-10</v>
      </c>
    </row>
    <row r="1259" spans="1:20" ht="16" hidden="1">
      <c r="A1259" s="80" t="s">
        <v>1147</v>
      </c>
      <c r="B1259" s="81" t="s">
        <v>62</v>
      </c>
      <c r="C1259" s="18"/>
      <c r="D1259" s="21">
        <v>0</v>
      </c>
      <c r="E1259" s="21">
        <v>0</v>
      </c>
      <c r="F1259" s="21">
        <v>23000</v>
      </c>
      <c r="G1259" s="21">
        <v>0</v>
      </c>
      <c r="H1259" s="21">
        <v>0</v>
      </c>
      <c r="I1259" s="21">
        <v>0</v>
      </c>
      <c r="J1259" s="3">
        <v>0</v>
      </c>
      <c r="K1259" s="3">
        <v>0</v>
      </c>
      <c r="L1259" s="3">
        <v>0</v>
      </c>
      <c r="M1259" s="3">
        <v>0</v>
      </c>
      <c r="N1259" s="3">
        <v>0</v>
      </c>
      <c r="O1259" s="3">
        <v>0</v>
      </c>
      <c r="P1259" s="18"/>
      <c r="Q1259" s="82">
        <f t="shared" si="28"/>
        <v>0</v>
      </c>
      <c r="R1259" s="14">
        <v>0</v>
      </c>
      <c r="S1259" s="15">
        <v>0</v>
      </c>
      <c r="T1259" s="16">
        <v>1.5673289012394577E-8</v>
      </c>
    </row>
    <row r="1260" spans="1:20" ht="16" hidden="1">
      <c r="A1260" s="80" t="s">
        <v>1149</v>
      </c>
      <c r="B1260" s="81" t="s">
        <v>78</v>
      </c>
      <c r="C1260" s="18"/>
      <c r="D1260" s="21">
        <v>0</v>
      </c>
      <c r="E1260" s="21">
        <v>0</v>
      </c>
      <c r="F1260" s="21">
        <v>0</v>
      </c>
      <c r="G1260" s="21">
        <v>0</v>
      </c>
      <c r="H1260" s="21">
        <v>0</v>
      </c>
      <c r="I1260" s="21">
        <v>0</v>
      </c>
      <c r="J1260" s="3">
        <v>0</v>
      </c>
      <c r="K1260" s="3">
        <v>0</v>
      </c>
      <c r="L1260" s="3">
        <v>0</v>
      </c>
      <c r="M1260" s="3">
        <v>0</v>
      </c>
      <c r="N1260" s="3">
        <v>0</v>
      </c>
      <c r="O1260" s="3">
        <v>0</v>
      </c>
      <c r="P1260" s="18"/>
      <c r="Q1260" s="82">
        <f t="shared" si="28"/>
        <v>0</v>
      </c>
      <c r="R1260" s="14">
        <v>0</v>
      </c>
      <c r="S1260" s="15">
        <v>0</v>
      </c>
      <c r="T1260" s="16">
        <v>0</v>
      </c>
    </row>
    <row r="1261" spans="1:20" ht="16" hidden="1">
      <c r="A1261" s="80" t="s">
        <v>1151</v>
      </c>
      <c r="B1261" s="81" t="s">
        <v>78</v>
      </c>
      <c r="C1261" s="18"/>
      <c r="D1261" s="21">
        <v>0</v>
      </c>
      <c r="E1261" s="21">
        <v>0</v>
      </c>
      <c r="F1261" s="21">
        <v>0</v>
      </c>
      <c r="G1261" s="21">
        <v>0</v>
      </c>
      <c r="H1261" s="21">
        <v>0</v>
      </c>
      <c r="I1261" s="21">
        <v>0</v>
      </c>
      <c r="J1261" s="3">
        <v>0</v>
      </c>
      <c r="K1261" s="3">
        <v>0</v>
      </c>
      <c r="L1261" s="3">
        <v>0</v>
      </c>
      <c r="M1261" s="3">
        <v>0</v>
      </c>
      <c r="N1261" s="3">
        <v>0</v>
      </c>
      <c r="O1261" s="3">
        <v>0</v>
      </c>
      <c r="P1261" s="18"/>
      <c r="Q1261" s="82">
        <f t="shared" si="28"/>
        <v>0</v>
      </c>
      <c r="R1261" s="14">
        <v>0</v>
      </c>
      <c r="S1261" s="15">
        <v>0</v>
      </c>
      <c r="T1261" s="16">
        <v>0</v>
      </c>
    </row>
    <row r="1262" spans="1:20" ht="16" hidden="1">
      <c r="A1262" s="80" t="s">
        <v>1153</v>
      </c>
      <c r="B1262" s="81" t="s">
        <v>60</v>
      </c>
      <c r="C1262" s="18"/>
      <c r="D1262" s="21">
        <v>0</v>
      </c>
      <c r="E1262" s="21">
        <v>0</v>
      </c>
      <c r="F1262" s="21">
        <v>0</v>
      </c>
      <c r="G1262" s="21">
        <v>0</v>
      </c>
      <c r="H1262" s="21">
        <v>0</v>
      </c>
      <c r="I1262" s="21">
        <v>0</v>
      </c>
      <c r="J1262" s="3">
        <v>0</v>
      </c>
      <c r="K1262" s="3">
        <v>0</v>
      </c>
      <c r="L1262" s="3">
        <v>0</v>
      </c>
      <c r="M1262" s="3">
        <v>0</v>
      </c>
      <c r="N1262" s="3">
        <v>0</v>
      </c>
      <c r="O1262" s="3">
        <v>0</v>
      </c>
      <c r="P1262" s="18"/>
      <c r="Q1262" s="82">
        <f t="shared" si="28"/>
        <v>0</v>
      </c>
      <c r="R1262" s="14">
        <v>0</v>
      </c>
      <c r="S1262" s="15">
        <v>0</v>
      </c>
      <c r="T1262" s="16">
        <v>0</v>
      </c>
    </row>
    <row r="1263" spans="1:20" ht="16" hidden="1">
      <c r="A1263" s="80" t="s">
        <v>1159</v>
      </c>
      <c r="B1263" s="81" t="s">
        <v>62</v>
      </c>
      <c r="C1263" s="18"/>
      <c r="D1263" s="21">
        <v>0</v>
      </c>
      <c r="E1263" s="21">
        <v>0</v>
      </c>
      <c r="F1263" s="21">
        <v>0</v>
      </c>
      <c r="G1263" s="21">
        <v>25000</v>
      </c>
      <c r="H1263" s="21">
        <v>0</v>
      </c>
      <c r="I1263" s="21">
        <v>0</v>
      </c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>
        <v>0</v>
      </c>
      <c r="P1263" s="18"/>
      <c r="Q1263" s="82">
        <f t="shared" si="28"/>
        <v>0</v>
      </c>
      <c r="R1263" s="14">
        <v>0</v>
      </c>
      <c r="S1263" s="15">
        <v>0</v>
      </c>
      <c r="T1263" s="16">
        <v>7.4647254369481202E-4</v>
      </c>
    </row>
    <row r="1264" spans="1:20" ht="16" hidden="1">
      <c r="A1264" s="80" t="s">
        <v>1161</v>
      </c>
      <c r="B1264" s="81" t="s">
        <v>60</v>
      </c>
      <c r="C1264" s="18"/>
      <c r="D1264" s="21">
        <v>0</v>
      </c>
      <c r="E1264" s="21">
        <v>0</v>
      </c>
      <c r="F1264" s="21">
        <v>0</v>
      </c>
      <c r="G1264" s="21">
        <v>0</v>
      </c>
      <c r="H1264" s="21">
        <v>0</v>
      </c>
      <c r="I1264" s="21">
        <v>0</v>
      </c>
      <c r="J1264" s="3">
        <v>0</v>
      </c>
      <c r="K1264" s="3">
        <v>0</v>
      </c>
      <c r="L1264" s="3">
        <v>0</v>
      </c>
      <c r="M1264" s="3">
        <v>0</v>
      </c>
      <c r="N1264" s="3">
        <v>0</v>
      </c>
      <c r="O1264" s="3">
        <v>0</v>
      </c>
      <c r="P1264" s="18"/>
      <c r="Q1264" s="82">
        <f t="shared" si="28"/>
        <v>0</v>
      </c>
      <c r="R1264" s="14">
        <v>-9.9999999999999985E-3</v>
      </c>
      <c r="S1264" s="15">
        <v>-0.24999999999999994</v>
      </c>
      <c r="T1264" s="16">
        <v>4.8474089729055398E-10</v>
      </c>
    </row>
    <row r="1265" spans="1:20" ht="16" hidden="1">
      <c r="A1265" s="80" t="s">
        <v>1167</v>
      </c>
      <c r="B1265" s="81" t="s">
        <v>62</v>
      </c>
      <c r="C1265" s="18"/>
      <c r="D1265" s="21">
        <v>0</v>
      </c>
      <c r="E1265" s="21">
        <v>0</v>
      </c>
      <c r="F1265" s="21">
        <v>0</v>
      </c>
      <c r="G1265" s="21">
        <v>0</v>
      </c>
      <c r="H1265" s="21">
        <v>0</v>
      </c>
      <c r="I1265" s="21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18"/>
      <c r="Q1265" s="82">
        <f t="shared" si="28"/>
        <v>0</v>
      </c>
      <c r="R1265" s="14">
        <v>0</v>
      </c>
      <c r="S1265" s="15">
        <v>0</v>
      </c>
      <c r="T1265" s="16">
        <v>1.9389635891622155E-9</v>
      </c>
    </row>
    <row r="1266" spans="1:20" ht="16" hidden="1">
      <c r="A1266" s="80" t="s">
        <v>1168</v>
      </c>
      <c r="B1266" s="81" t="s">
        <v>62</v>
      </c>
      <c r="C1266" s="18"/>
      <c r="D1266" s="21">
        <v>0</v>
      </c>
      <c r="E1266" s="21">
        <v>0</v>
      </c>
      <c r="F1266" s="21">
        <v>0</v>
      </c>
      <c r="G1266" s="21">
        <v>0</v>
      </c>
      <c r="H1266" s="21">
        <v>0</v>
      </c>
      <c r="I1266" s="21">
        <v>0</v>
      </c>
      <c r="J1266" s="3">
        <v>0</v>
      </c>
      <c r="K1266" s="3">
        <v>0</v>
      </c>
      <c r="L1266" s="3">
        <v>0</v>
      </c>
      <c r="M1266" s="3">
        <v>0</v>
      </c>
      <c r="N1266" s="3">
        <v>0</v>
      </c>
      <c r="O1266" s="3">
        <v>0</v>
      </c>
      <c r="P1266" s="18"/>
      <c r="Q1266" s="82">
        <f t="shared" si="28"/>
        <v>0</v>
      </c>
      <c r="R1266" s="14">
        <v>26634.339999999997</v>
      </c>
      <c r="S1266" s="15">
        <v>0.76108552029992682</v>
      </c>
      <c r="T1266" s="16">
        <v>9.9581195064013593E-4</v>
      </c>
    </row>
    <row r="1267" spans="1:20" ht="16" hidden="1">
      <c r="A1267" s="80" t="s">
        <v>1169</v>
      </c>
      <c r="B1267" s="81" t="s">
        <v>62</v>
      </c>
      <c r="C1267" s="18"/>
      <c r="D1267" s="21">
        <v>0</v>
      </c>
      <c r="E1267" s="21">
        <v>0</v>
      </c>
      <c r="F1267" s="21">
        <v>0</v>
      </c>
      <c r="G1267" s="21">
        <v>0</v>
      </c>
      <c r="H1267" s="21">
        <v>0</v>
      </c>
      <c r="I1267" s="21">
        <v>0</v>
      </c>
      <c r="J1267" s="3">
        <v>0</v>
      </c>
      <c r="K1267" s="3">
        <v>0</v>
      </c>
      <c r="L1267" s="3">
        <v>0</v>
      </c>
      <c r="M1267" s="3">
        <v>0</v>
      </c>
      <c r="N1267" s="3">
        <v>0</v>
      </c>
      <c r="O1267" s="3">
        <v>0</v>
      </c>
      <c r="P1267" s="18"/>
      <c r="Q1267" s="82">
        <f t="shared" si="28"/>
        <v>0</v>
      </c>
      <c r="R1267" s="14">
        <v>0</v>
      </c>
      <c r="S1267" s="15">
        <v>0</v>
      </c>
      <c r="T1267" s="16">
        <v>3.4739764305823029E-8</v>
      </c>
    </row>
    <row r="1268" spans="1:20" ht="16" hidden="1">
      <c r="A1268" s="80" t="s">
        <v>1172</v>
      </c>
      <c r="B1268" s="81" t="s">
        <v>78</v>
      </c>
      <c r="C1268" s="18"/>
      <c r="D1268" s="21">
        <v>0.01</v>
      </c>
      <c r="E1268" s="21">
        <v>0.01</v>
      </c>
      <c r="F1268" s="21">
        <v>0.01</v>
      </c>
      <c r="G1268" s="21">
        <v>0.01</v>
      </c>
      <c r="H1268" s="21">
        <v>0</v>
      </c>
      <c r="I1268" s="21">
        <v>0</v>
      </c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>
        <v>0</v>
      </c>
      <c r="P1268" s="18"/>
      <c r="Q1268" s="82">
        <f t="shared" si="28"/>
        <v>0</v>
      </c>
      <c r="R1268" s="14">
        <v>0</v>
      </c>
      <c r="S1268" s="15">
        <v>0</v>
      </c>
      <c r="T1268" s="16">
        <v>0</v>
      </c>
    </row>
    <row r="1269" spans="1:20" ht="16" hidden="1">
      <c r="A1269" s="80" t="s">
        <v>1173</v>
      </c>
      <c r="B1269" s="81" t="s">
        <v>60</v>
      </c>
      <c r="C1269" s="18"/>
      <c r="D1269" s="21">
        <v>0</v>
      </c>
      <c r="E1269" s="21">
        <v>0</v>
      </c>
      <c r="F1269" s="21">
        <v>0</v>
      </c>
      <c r="G1269" s="21">
        <v>0</v>
      </c>
      <c r="H1269" s="21">
        <v>0</v>
      </c>
      <c r="I1269" s="21">
        <v>0</v>
      </c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>
        <v>0</v>
      </c>
      <c r="P1269" s="18"/>
      <c r="Q1269" s="82">
        <f t="shared" si="28"/>
        <v>0</v>
      </c>
      <c r="R1269" s="14">
        <v>0</v>
      </c>
      <c r="S1269" s="15">
        <v>0</v>
      </c>
      <c r="T1269" s="16">
        <v>1.5524832265190371E-7</v>
      </c>
    </row>
    <row r="1270" spans="1:20" ht="16" hidden="1">
      <c r="A1270" s="80" t="s">
        <v>1176</v>
      </c>
      <c r="B1270" s="81" t="s">
        <v>62</v>
      </c>
      <c r="C1270" s="18"/>
      <c r="D1270" s="21">
        <v>0</v>
      </c>
      <c r="E1270" s="21">
        <v>0</v>
      </c>
      <c r="F1270" s="21">
        <v>0</v>
      </c>
      <c r="G1270" s="21">
        <v>0</v>
      </c>
      <c r="H1270" s="21">
        <v>0</v>
      </c>
      <c r="I1270" s="21">
        <v>0</v>
      </c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>
        <v>0</v>
      </c>
      <c r="P1270" s="18"/>
      <c r="Q1270" s="82">
        <f t="shared" si="28"/>
        <v>0</v>
      </c>
      <c r="R1270" s="14">
        <v>0</v>
      </c>
      <c r="S1270" s="15">
        <v>0</v>
      </c>
      <c r="T1270" s="16">
        <v>0</v>
      </c>
    </row>
    <row r="1271" spans="1:20" ht="16" hidden="1">
      <c r="A1271" s="80" t="s">
        <v>1179</v>
      </c>
      <c r="B1271" s="81" t="s">
        <v>78</v>
      </c>
      <c r="C1271" s="18"/>
      <c r="D1271" s="21">
        <v>0</v>
      </c>
      <c r="E1271" s="21">
        <v>0</v>
      </c>
      <c r="F1271" s="21">
        <v>0</v>
      </c>
      <c r="G1271" s="21">
        <v>0</v>
      </c>
      <c r="H1271" s="21">
        <v>0</v>
      </c>
      <c r="I1271" s="21">
        <v>0</v>
      </c>
      <c r="J1271" s="3">
        <v>0</v>
      </c>
      <c r="K1271" s="3">
        <v>0</v>
      </c>
      <c r="L1271" s="3">
        <v>0</v>
      </c>
      <c r="M1271" s="3">
        <v>0</v>
      </c>
      <c r="N1271" s="3">
        <v>0</v>
      </c>
      <c r="O1271" s="3">
        <v>0</v>
      </c>
      <c r="P1271" s="18"/>
      <c r="Q1271" s="82">
        <f t="shared" si="28"/>
        <v>0</v>
      </c>
      <c r="R1271" s="14">
        <v>0</v>
      </c>
      <c r="S1271" s="15">
        <v>0</v>
      </c>
      <c r="T1271" s="16">
        <v>0</v>
      </c>
    </row>
    <row r="1272" spans="1:20" ht="16" hidden="1">
      <c r="A1272" s="80" t="s">
        <v>1180</v>
      </c>
      <c r="B1272" s="81" t="s">
        <v>78</v>
      </c>
      <c r="C1272" s="18"/>
      <c r="D1272" s="21">
        <v>0</v>
      </c>
      <c r="E1272" s="21">
        <v>0</v>
      </c>
      <c r="F1272" s="21">
        <v>0</v>
      </c>
      <c r="G1272" s="21">
        <v>0</v>
      </c>
      <c r="H1272" s="21">
        <v>0</v>
      </c>
      <c r="I1272" s="21">
        <v>0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>
        <v>0</v>
      </c>
      <c r="P1272" s="18"/>
      <c r="Q1272" s="82">
        <f t="shared" si="28"/>
        <v>0</v>
      </c>
      <c r="R1272" s="14">
        <v>0</v>
      </c>
      <c r="S1272" s="15">
        <v>0</v>
      </c>
      <c r="T1272" s="16">
        <v>3.1339145331030697E-5</v>
      </c>
    </row>
    <row r="1273" spans="1:20" ht="16" hidden="1">
      <c r="A1273" s="80" t="s">
        <v>1182</v>
      </c>
      <c r="B1273" s="81" t="s">
        <v>60</v>
      </c>
      <c r="C1273" s="18"/>
      <c r="D1273" s="21">
        <v>0</v>
      </c>
      <c r="E1273" s="21">
        <v>0</v>
      </c>
      <c r="F1273" s="21">
        <v>0</v>
      </c>
      <c r="G1273" s="21">
        <v>0</v>
      </c>
      <c r="H1273" s="21">
        <v>0</v>
      </c>
      <c r="I1273" s="21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18"/>
      <c r="Q1273" s="82">
        <f t="shared" si="28"/>
        <v>0</v>
      </c>
      <c r="R1273" s="14">
        <v>-9.9999999983992893E-3</v>
      </c>
      <c r="S1273" s="15">
        <v>-3.103078687993285E-7</v>
      </c>
      <c r="T1273" s="16">
        <v>5.2070947977100857E-4</v>
      </c>
    </row>
    <row r="1274" spans="1:20" ht="16" hidden="1">
      <c r="A1274" s="80" t="s">
        <v>1184</v>
      </c>
      <c r="B1274" s="81" t="s">
        <v>66</v>
      </c>
      <c r="C1274" s="18"/>
      <c r="D1274" s="21">
        <v>0</v>
      </c>
      <c r="E1274" s="21">
        <v>0</v>
      </c>
      <c r="F1274" s="21">
        <v>0</v>
      </c>
      <c r="G1274" s="21">
        <v>0</v>
      </c>
      <c r="H1274" s="21">
        <v>0</v>
      </c>
      <c r="I1274" s="21">
        <v>0</v>
      </c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>
        <v>0</v>
      </c>
      <c r="P1274" s="18"/>
      <c r="Q1274" s="82">
        <f t="shared" si="28"/>
        <v>0</v>
      </c>
      <c r="R1274" s="14">
        <v>109.49301700000069</v>
      </c>
      <c r="S1274" s="15">
        <v>5.2162333320004131E-3</v>
      </c>
      <c r="T1274" s="16">
        <v>3.4093949518251051E-4</v>
      </c>
    </row>
    <row r="1275" spans="1:20" ht="16" hidden="1">
      <c r="A1275" s="80" t="s">
        <v>1186</v>
      </c>
      <c r="B1275" s="81" t="s">
        <v>78</v>
      </c>
      <c r="C1275" s="18"/>
      <c r="D1275" s="21">
        <v>0</v>
      </c>
      <c r="E1275" s="21">
        <v>0</v>
      </c>
      <c r="F1275" s="21">
        <v>0</v>
      </c>
      <c r="G1275" s="21">
        <v>0</v>
      </c>
      <c r="H1275" s="21">
        <v>0</v>
      </c>
      <c r="I1275" s="21">
        <v>0</v>
      </c>
      <c r="J1275" s="3">
        <v>0</v>
      </c>
      <c r="K1275" s="3">
        <v>0</v>
      </c>
      <c r="L1275" s="3">
        <v>0</v>
      </c>
      <c r="M1275" s="3">
        <v>0</v>
      </c>
      <c r="N1275" s="3">
        <v>0</v>
      </c>
      <c r="O1275" s="3">
        <v>0</v>
      </c>
      <c r="P1275" s="18"/>
      <c r="Q1275" s="82">
        <f t="shared" si="28"/>
        <v>0</v>
      </c>
      <c r="R1275" s="14">
        <v>0</v>
      </c>
      <c r="S1275" s="15">
        <v>0</v>
      </c>
      <c r="T1275" s="16">
        <v>0</v>
      </c>
    </row>
    <row r="1276" spans="1:20" ht="16" hidden="1">
      <c r="A1276" s="80" t="s">
        <v>1187</v>
      </c>
      <c r="B1276" s="81" t="s">
        <v>78</v>
      </c>
      <c r="C1276" s="18"/>
      <c r="D1276" s="21">
        <v>0</v>
      </c>
      <c r="E1276" s="21">
        <v>0</v>
      </c>
      <c r="F1276" s="21">
        <v>0</v>
      </c>
      <c r="G1276" s="21">
        <v>0</v>
      </c>
      <c r="H1276" s="21">
        <v>0</v>
      </c>
      <c r="I1276" s="21">
        <v>0</v>
      </c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>
        <v>0</v>
      </c>
      <c r="P1276" s="18"/>
      <c r="Q1276" s="82">
        <f t="shared" si="28"/>
        <v>0</v>
      </c>
      <c r="R1276" s="14">
        <v>0</v>
      </c>
      <c r="S1276" s="15">
        <v>0</v>
      </c>
      <c r="T1276" s="16">
        <v>5.6010194878932532E-3</v>
      </c>
    </row>
    <row r="1277" spans="1:20" ht="16" hidden="1">
      <c r="A1277" s="80" t="s">
        <v>1195</v>
      </c>
      <c r="B1277" s="81" t="s">
        <v>78</v>
      </c>
      <c r="C1277" s="18"/>
      <c r="D1277" s="21">
        <v>0</v>
      </c>
      <c r="E1277" s="21">
        <v>0</v>
      </c>
      <c r="F1277" s="21">
        <v>0</v>
      </c>
      <c r="G1277" s="21">
        <v>0</v>
      </c>
      <c r="H1277" s="21">
        <v>0</v>
      </c>
      <c r="I1277" s="21">
        <v>0</v>
      </c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>
        <v>0</v>
      </c>
      <c r="P1277" s="18"/>
      <c r="Q1277" s="82">
        <f t="shared" si="28"/>
        <v>0</v>
      </c>
      <c r="R1277" s="14">
        <v>0</v>
      </c>
      <c r="S1277" s="15">
        <v>0</v>
      </c>
      <c r="T1277" s="16">
        <v>1.8115489595684963E-3</v>
      </c>
    </row>
    <row r="1278" spans="1:20" ht="16" hidden="1">
      <c r="A1278" s="80" t="s">
        <v>1197</v>
      </c>
      <c r="B1278" s="81" t="s">
        <v>62</v>
      </c>
      <c r="C1278" s="18"/>
      <c r="D1278" s="21">
        <v>0</v>
      </c>
      <c r="E1278" s="21">
        <v>0</v>
      </c>
      <c r="F1278" s="21">
        <v>0</v>
      </c>
      <c r="G1278" s="21">
        <v>0</v>
      </c>
      <c r="H1278" s="21">
        <v>0</v>
      </c>
      <c r="I1278" s="21">
        <v>0</v>
      </c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>
        <v>0</v>
      </c>
      <c r="P1278" s="18"/>
      <c r="Q1278" s="82">
        <f t="shared" si="28"/>
        <v>0</v>
      </c>
      <c r="R1278" s="14">
        <v>3565.4299999999967</v>
      </c>
      <c r="S1278" s="15">
        <v>0.18357413054794242</v>
      </c>
      <c r="T1278" s="16">
        <v>3.7143626731546702E-4</v>
      </c>
    </row>
    <row r="1279" spans="1:20" ht="16" hidden="1">
      <c r="A1279" s="80" t="s">
        <v>1198</v>
      </c>
      <c r="B1279" s="81" t="s">
        <v>89</v>
      </c>
      <c r="C1279" s="18"/>
      <c r="D1279" s="21">
        <v>0</v>
      </c>
      <c r="E1279" s="21">
        <v>0</v>
      </c>
      <c r="F1279" s="21">
        <v>0</v>
      </c>
      <c r="G1279" s="21">
        <v>0</v>
      </c>
      <c r="H1279" s="21">
        <v>0</v>
      </c>
      <c r="I1279" s="21">
        <v>0</v>
      </c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>
        <v>0</v>
      </c>
      <c r="P1279" s="18"/>
      <c r="Q1279" s="82">
        <f t="shared" si="28"/>
        <v>0</v>
      </c>
      <c r="R1279" s="14">
        <v>0</v>
      </c>
      <c r="S1279" s="15">
        <v>0</v>
      </c>
      <c r="T1279" s="16">
        <v>4.8474089729055398E-10</v>
      </c>
    </row>
    <row r="1280" spans="1:20" ht="16" hidden="1">
      <c r="A1280" s="80" t="s">
        <v>1200</v>
      </c>
      <c r="B1280" s="81" t="s">
        <v>62</v>
      </c>
      <c r="C1280" s="18"/>
      <c r="D1280" s="21">
        <v>0</v>
      </c>
      <c r="E1280" s="21">
        <v>0</v>
      </c>
      <c r="F1280" s="21">
        <v>0</v>
      </c>
      <c r="G1280" s="21">
        <v>0</v>
      </c>
      <c r="H1280" s="21">
        <v>0</v>
      </c>
      <c r="I1280" s="21">
        <v>0</v>
      </c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>
        <v>0</v>
      </c>
      <c r="P1280" s="18"/>
      <c r="Q1280" s="82">
        <f t="shared" si="28"/>
        <v>0</v>
      </c>
      <c r="R1280" s="14">
        <v>0</v>
      </c>
      <c r="S1280" s="15">
        <v>0</v>
      </c>
      <c r="T1280" s="16">
        <v>0</v>
      </c>
    </row>
    <row r="1281" spans="1:20" ht="16" hidden="1">
      <c r="A1281" s="80" t="s">
        <v>1201</v>
      </c>
      <c r="B1281" s="81" t="s">
        <v>85</v>
      </c>
      <c r="C1281" s="18"/>
      <c r="D1281" s="21">
        <v>0</v>
      </c>
      <c r="E1281" s="21">
        <v>0</v>
      </c>
      <c r="F1281" s="21">
        <v>0</v>
      </c>
      <c r="G1281" s="21">
        <v>0</v>
      </c>
      <c r="H1281" s="21">
        <v>0</v>
      </c>
      <c r="I1281" s="21">
        <v>0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0</v>
      </c>
      <c r="P1281" s="18"/>
      <c r="Q1281" s="82">
        <f t="shared" si="28"/>
        <v>0</v>
      </c>
      <c r="R1281" s="14">
        <v>0</v>
      </c>
      <c r="S1281" s="15">
        <v>0</v>
      </c>
      <c r="T1281" s="16">
        <v>2.7307070547367868E-8</v>
      </c>
    </row>
    <row r="1282" spans="1:20" customFormat="1" ht="16" hidden="1">
      <c r="A1282" s="11" t="s">
        <v>1203</v>
      </c>
      <c r="B1282" s="12" t="s">
        <v>69</v>
      </c>
      <c r="C1282" s="1"/>
      <c r="D1282" s="3">
        <v>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>
        <v>0</v>
      </c>
      <c r="P1282" s="1"/>
      <c r="Q1282" s="1"/>
      <c r="R1282" s="14">
        <v>0</v>
      </c>
      <c r="S1282" s="15">
        <v>0</v>
      </c>
      <c r="T1282" s="16">
        <v>0</v>
      </c>
    </row>
    <row r="1283" spans="1:20" ht="16" hidden="1">
      <c r="A1283" s="80" t="s">
        <v>1207</v>
      </c>
      <c r="B1283" s="81" t="s">
        <v>66</v>
      </c>
      <c r="C1283" s="18"/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>
        <v>0</v>
      </c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>
        <v>0</v>
      </c>
      <c r="P1283" s="18"/>
      <c r="Q1283" s="82">
        <f t="shared" ref="Q1283:Q1346" si="29">IFERROR(I1283/$I$4," ")</f>
        <v>0</v>
      </c>
      <c r="R1283" s="14">
        <v>0</v>
      </c>
      <c r="S1283" s="15">
        <v>0</v>
      </c>
      <c r="T1283" s="16">
        <v>1.5447076593658985E-7</v>
      </c>
    </row>
    <row r="1284" spans="1:20" ht="16">
      <c r="A1284" s="80" t="s">
        <v>1207</v>
      </c>
      <c r="B1284" s="81" t="s">
        <v>67</v>
      </c>
      <c r="C1284" s="18"/>
      <c r="D1284" s="21">
        <v>0</v>
      </c>
      <c r="E1284" s="21">
        <v>0</v>
      </c>
      <c r="F1284" s="21">
        <v>0</v>
      </c>
      <c r="G1284" s="21">
        <v>391.81</v>
      </c>
      <c r="H1284" s="21">
        <v>0</v>
      </c>
      <c r="I1284" s="21">
        <v>0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</v>
      </c>
      <c r="P1284" s="18"/>
      <c r="Q1284" s="82">
        <f t="shared" si="29"/>
        <v>0</v>
      </c>
      <c r="R1284" s="14">
        <v>0</v>
      </c>
      <c r="S1284" s="15">
        <v>0</v>
      </c>
      <c r="T1284" s="16">
        <v>0</v>
      </c>
    </row>
    <row r="1285" spans="1:20" ht="16" hidden="1">
      <c r="A1285" s="80" t="s">
        <v>1207</v>
      </c>
      <c r="B1285" s="81" t="s">
        <v>76</v>
      </c>
      <c r="C1285" s="18"/>
      <c r="D1285" s="21">
        <v>0</v>
      </c>
      <c r="E1285" s="21">
        <v>0</v>
      </c>
      <c r="F1285" s="21">
        <v>0</v>
      </c>
      <c r="G1285" s="21">
        <v>0</v>
      </c>
      <c r="H1285" s="21">
        <v>0</v>
      </c>
      <c r="I1285" s="21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18"/>
      <c r="Q1285" s="82">
        <f t="shared" si="29"/>
        <v>0</v>
      </c>
      <c r="R1285" s="14">
        <v>0.90000000000009095</v>
      </c>
      <c r="S1285" s="15">
        <v>8.1424383888836804E-4</v>
      </c>
      <c r="T1285" s="16">
        <v>1.7874335846691886E-5</v>
      </c>
    </row>
    <row r="1286" spans="1:20" ht="16" hidden="1">
      <c r="A1286" s="80" t="s">
        <v>1209</v>
      </c>
      <c r="B1286" s="81" t="s">
        <v>78</v>
      </c>
      <c r="C1286" s="18"/>
      <c r="D1286" s="21">
        <v>0</v>
      </c>
      <c r="E1286" s="21">
        <v>0</v>
      </c>
      <c r="F1286" s="21">
        <v>0</v>
      </c>
      <c r="G1286" s="21">
        <v>0</v>
      </c>
      <c r="H1286" s="21">
        <v>0</v>
      </c>
      <c r="I1286" s="21">
        <v>0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>
        <v>0</v>
      </c>
      <c r="P1286" s="18"/>
      <c r="Q1286" s="82">
        <f t="shared" si="29"/>
        <v>0</v>
      </c>
      <c r="R1286" s="14">
        <v>0</v>
      </c>
      <c r="S1286" s="15">
        <v>0</v>
      </c>
      <c r="T1286" s="16">
        <v>0</v>
      </c>
    </row>
    <row r="1287" spans="1:20" ht="16" hidden="1">
      <c r="A1287" s="80" t="s">
        <v>1211</v>
      </c>
      <c r="B1287" s="81" t="s">
        <v>78</v>
      </c>
      <c r="C1287" s="18"/>
      <c r="D1287" s="21">
        <v>0</v>
      </c>
      <c r="E1287" s="21">
        <v>0</v>
      </c>
      <c r="F1287" s="21">
        <v>0</v>
      </c>
      <c r="G1287" s="21">
        <v>0</v>
      </c>
      <c r="H1287" s="21">
        <v>0</v>
      </c>
      <c r="I1287" s="21">
        <v>0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>
        <v>0</v>
      </c>
      <c r="P1287" s="18"/>
      <c r="Q1287" s="82">
        <f t="shared" si="29"/>
        <v>0</v>
      </c>
      <c r="R1287" s="14">
        <v>0</v>
      </c>
      <c r="S1287" s="15">
        <v>0</v>
      </c>
      <c r="T1287" s="16">
        <v>0</v>
      </c>
    </row>
    <row r="1288" spans="1:20" ht="16" hidden="1">
      <c r="A1288" s="80" t="s">
        <v>1220</v>
      </c>
      <c r="B1288" s="81" t="s">
        <v>62</v>
      </c>
      <c r="C1288" s="18"/>
      <c r="D1288" s="21">
        <v>0</v>
      </c>
      <c r="E1288" s="21">
        <v>0</v>
      </c>
      <c r="F1288" s="21">
        <v>0</v>
      </c>
      <c r="G1288" s="21">
        <v>0</v>
      </c>
      <c r="H1288" s="21">
        <v>0</v>
      </c>
      <c r="I1288" s="21">
        <v>0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</v>
      </c>
      <c r="P1288" s="18"/>
      <c r="Q1288" s="82">
        <f t="shared" si="29"/>
        <v>0</v>
      </c>
      <c r="R1288" s="14">
        <v>0</v>
      </c>
      <c r="S1288" s="15">
        <v>0</v>
      </c>
      <c r="T1288" s="16">
        <v>0</v>
      </c>
    </row>
    <row r="1289" spans="1:20" ht="16" hidden="1">
      <c r="A1289" s="80" t="s">
        <v>1221</v>
      </c>
      <c r="B1289" s="81" t="s">
        <v>78</v>
      </c>
      <c r="C1289" s="18"/>
      <c r="D1289" s="21">
        <v>0</v>
      </c>
      <c r="E1289" s="21">
        <v>0</v>
      </c>
      <c r="F1289" s="21">
        <v>0</v>
      </c>
      <c r="G1289" s="21">
        <v>0</v>
      </c>
      <c r="H1289" s="21">
        <v>0</v>
      </c>
      <c r="I1289" s="21">
        <v>0</v>
      </c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>
        <v>0</v>
      </c>
      <c r="P1289" s="18"/>
      <c r="Q1289" s="82">
        <f t="shared" si="29"/>
        <v>0</v>
      </c>
      <c r="R1289" s="14">
        <v>0</v>
      </c>
      <c r="S1289" s="15">
        <v>0</v>
      </c>
      <c r="T1289" s="16">
        <v>0</v>
      </c>
    </row>
    <row r="1290" spans="1:20" ht="16" hidden="1">
      <c r="A1290" s="80" t="s">
        <v>1223</v>
      </c>
      <c r="B1290" s="81" t="s">
        <v>66</v>
      </c>
      <c r="C1290" s="18"/>
      <c r="D1290" s="21">
        <v>0</v>
      </c>
      <c r="E1290" s="21">
        <v>0</v>
      </c>
      <c r="F1290" s="21">
        <v>0</v>
      </c>
      <c r="G1290" s="21">
        <v>0</v>
      </c>
      <c r="H1290" s="21">
        <v>0</v>
      </c>
      <c r="I1290" s="21">
        <v>0</v>
      </c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>
        <v>0</v>
      </c>
      <c r="P1290" s="18"/>
      <c r="Q1290" s="82">
        <f t="shared" si="29"/>
        <v>0</v>
      </c>
      <c r="R1290" s="14">
        <v>-9.9999999947613105E-3</v>
      </c>
      <c r="S1290" s="15">
        <v>-2.4098725719054905E-7</v>
      </c>
      <c r="T1290" s="16">
        <v>6.7049296281109806E-4</v>
      </c>
    </row>
    <row r="1291" spans="1:20" ht="16" hidden="1">
      <c r="A1291" s="80" t="s">
        <v>1225</v>
      </c>
      <c r="B1291" s="81" t="s">
        <v>66</v>
      </c>
      <c r="C1291" s="18"/>
      <c r="D1291" s="21">
        <v>0</v>
      </c>
      <c r="E1291" s="21">
        <v>0</v>
      </c>
      <c r="F1291" s="21">
        <v>0</v>
      </c>
      <c r="G1291" s="21">
        <v>0</v>
      </c>
      <c r="H1291" s="21">
        <v>0</v>
      </c>
      <c r="I1291" s="21">
        <v>0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>
        <v>0</v>
      </c>
      <c r="P1291" s="18"/>
      <c r="Q1291" s="82">
        <f t="shared" si="29"/>
        <v>0</v>
      </c>
      <c r="R1291" s="14">
        <v>-6573.34</v>
      </c>
      <c r="S1291" s="15">
        <v>-0.49300062325015581</v>
      </c>
      <c r="T1291" s="16">
        <v>1.0922812060917238E-4</v>
      </c>
    </row>
    <row r="1292" spans="1:20" ht="16" hidden="1">
      <c r="A1292" s="80" t="s">
        <v>1226</v>
      </c>
      <c r="B1292" s="81" t="s">
        <v>66</v>
      </c>
      <c r="C1292" s="18"/>
      <c r="D1292" s="21">
        <v>0</v>
      </c>
      <c r="E1292" s="21">
        <v>0</v>
      </c>
      <c r="F1292" s="21">
        <v>0</v>
      </c>
      <c r="G1292" s="21">
        <v>0</v>
      </c>
      <c r="H1292" s="21">
        <v>0</v>
      </c>
      <c r="I1292" s="21">
        <v>0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>
        <v>0</v>
      </c>
      <c r="P1292" s="18"/>
      <c r="Q1292" s="82">
        <f t="shared" si="29"/>
        <v>0</v>
      </c>
      <c r="R1292" s="14">
        <v>7999.9999999999927</v>
      </c>
      <c r="S1292" s="15">
        <v>0.22321416115281167</v>
      </c>
      <c r="T1292" s="16">
        <v>7.0836835440119417E-4</v>
      </c>
    </row>
    <row r="1293" spans="1:20" ht="16" hidden="1">
      <c r="A1293" s="80" t="s">
        <v>1229</v>
      </c>
      <c r="B1293" s="81" t="s">
        <v>78</v>
      </c>
      <c r="C1293" s="18"/>
      <c r="D1293" s="21">
        <v>0</v>
      </c>
      <c r="E1293" s="21">
        <v>0</v>
      </c>
      <c r="F1293" s="21">
        <v>0</v>
      </c>
      <c r="G1293" s="21">
        <v>0</v>
      </c>
      <c r="H1293" s="21">
        <v>0</v>
      </c>
      <c r="I1293" s="21">
        <v>0</v>
      </c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>
        <v>0</v>
      </c>
      <c r="P1293" s="18"/>
      <c r="Q1293" s="82">
        <f t="shared" si="29"/>
        <v>0</v>
      </c>
      <c r="R1293" s="14">
        <v>0</v>
      </c>
      <c r="S1293" s="15">
        <v>0</v>
      </c>
      <c r="T1293" s="16">
        <v>1.6158029909685129E-10</v>
      </c>
    </row>
    <row r="1294" spans="1:20" ht="16" hidden="1">
      <c r="A1294" s="80" t="s">
        <v>1230</v>
      </c>
      <c r="B1294" s="81" t="s">
        <v>78</v>
      </c>
      <c r="C1294" s="18"/>
      <c r="D1294" s="21">
        <v>0</v>
      </c>
      <c r="E1294" s="21">
        <v>0</v>
      </c>
      <c r="F1294" s="21">
        <v>0</v>
      </c>
      <c r="G1294" s="21">
        <v>0</v>
      </c>
      <c r="H1294" s="21">
        <v>0</v>
      </c>
      <c r="I1294" s="21">
        <v>0</v>
      </c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>
        <v>0</v>
      </c>
      <c r="P1294" s="18"/>
      <c r="Q1294" s="82">
        <f t="shared" si="29"/>
        <v>0</v>
      </c>
      <c r="R1294" s="14">
        <v>44486.449999999953</v>
      </c>
      <c r="S1294" s="15">
        <v>8.2562170387287109E-2</v>
      </c>
      <c r="T1294" s="16">
        <v>9.4251420424214232E-3</v>
      </c>
    </row>
    <row r="1295" spans="1:20" ht="16" hidden="1">
      <c r="A1295" s="80" t="s">
        <v>1232</v>
      </c>
      <c r="B1295" s="81" t="s">
        <v>78</v>
      </c>
      <c r="C1295" s="18"/>
      <c r="D1295" s="21">
        <v>-6.9499999999999993</v>
      </c>
      <c r="E1295" s="21">
        <v>72014.169999999969</v>
      </c>
      <c r="F1295" s="21">
        <v>-6.9399999999999995</v>
      </c>
      <c r="G1295" s="21">
        <v>-6.93</v>
      </c>
      <c r="H1295" s="21">
        <v>0</v>
      </c>
      <c r="I1295" s="21">
        <v>0</v>
      </c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>
        <v>0</v>
      </c>
      <c r="P1295" s="18"/>
      <c r="Q1295" s="82">
        <f t="shared" si="29"/>
        <v>0</v>
      </c>
      <c r="R1295" s="14">
        <v>0</v>
      </c>
      <c r="S1295" s="15">
        <v>0</v>
      </c>
      <c r="T1295" s="16">
        <v>2.2878800870319565E-5</v>
      </c>
    </row>
    <row r="1296" spans="1:20" ht="16" hidden="1">
      <c r="A1296" s="80" t="s">
        <v>120</v>
      </c>
      <c r="B1296" s="81" t="s">
        <v>85</v>
      </c>
      <c r="C1296" s="18"/>
      <c r="D1296" s="21">
        <v>14064.28</v>
      </c>
      <c r="E1296" s="21">
        <v>14064.28</v>
      </c>
      <c r="F1296" s="21">
        <v>0</v>
      </c>
      <c r="G1296" s="21">
        <v>-3.4694469519536142E-18</v>
      </c>
      <c r="H1296" s="21">
        <v>-3.4694469519536142E-18</v>
      </c>
      <c r="I1296" s="21">
        <v>-3.4694469519536142E-18</v>
      </c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>
        <v>0</v>
      </c>
      <c r="P1296" s="18"/>
      <c r="Q1296" s="82">
        <f t="shared" si="29"/>
        <v>-3.986247320975272E-25</v>
      </c>
      <c r="R1296" s="14">
        <v>0</v>
      </c>
      <c r="S1296" s="15">
        <v>0</v>
      </c>
      <c r="T1296" s="16">
        <v>-2.2621241873559179E-9</v>
      </c>
    </row>
    <row r="1297" spans="1:20" ht="16" hidden="1">
      <c r="A1297" s="80" t="s">
        <v>175</v>
      </c>
      <c r="B1297" s="81" t="s">
        <v>60</v>
      </c>
      <c r="C1297" s="18"/>
      <c r="D1297" s="21">
        <v>178.52000000000004</v>
      </c>
      <c r="E1297" s="21">
        <v>178.52000000000004</v>
      </c>
      <c r="F1297" s="21">
        <v>178.52000000000004</v>
      </c>
      <c r="G1297" s="21">
        <v>178.52000000000004</v>
      </c>
      <c r="H1297" s="21">
        <v>178.52000000000004</v>
      </c>
      <c r="I1297" s="21">
        <v>-3.4694469519536142E-18</v>
      </c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>
        <v>0</v>
      </c>
      <c r="P1297" s="18"/>
      <c r="Q1297" s="82">
        <f t="shared" si="29"/>
        <v>-3.986247320975272E-25</v>
      </c>
      <c r="R1297" s="14">
        <v>0</v>
      </c>
      <c r="S1297" s="15">
        <v>0</v>
      </c>
      <c r="T1297" s="16">
        <v>-5.3321498701960952E-9</v>
      </c>
    </row>
    <row r="1298" spans="1:20" ht="16" hidden="1">
      <c r="A1298" s="80" t="s">
        <v>220</v>
      </c>
      <c r="B1298" s="81" t="s">
        <v>78</v>
      </c>
      <c r="C1298" s="18"/>
      <c r="D1298" s="21">
        <v>0</v>
      </c>
      <c r="E1298" s="21">
        <v>0</v>
      </c>
      <c r="F1298" s="21">
        <v>0</v>
      </c>
      <c r="G1298" s="21">
        <v>0</v>
      </c>
      <c r="H1298" s="21">
        <v>-3.4694469519536142E-18</v>
      </c>
      <c r="I1298" s="21">
        <v>-3.4694469519536142E-18</v>
      </c>
      <c r="J1298" s="3">
        <v>0</v>
      </c>
      <c r="K1298" s="3">
        <v>0</v>
      </c>
      <c r="L1298" s="3">
        <v>0</v>
      </c>
      <c r="M1298" s="3">
        <v>0</v>
      </c>
      <c r="N1298" s="3">
        <v>0</v>
      </c>
      <c r="O1298" s="3">
        <v>0</v>
      </c>
      <c r="P1298" s="18"/>
      <c r="Q1298" s="82">
        <f t="shared" si="29"/>
        <v>-3.986247320975272E-25</v>
      </c>
      <c r="R1298" s="14">
        <v>-1.7763568394002505E-15</v>
      </c>
      <c r="S1298" s="15">
        <v>1.6917684184764293E-15</v>
      </c>
      <c r="T1298" s="16">
        <v>-1.6965931405169411E-8</v>
      </c>
    </row>
    <row r="1299" spans="1:20" ht="16" hidden="1">
      <c r="A1299" s="80" t="s">
        <v>376</v>
      </c>
      <c r="B1299" s="81" t="s">
        <v>66</v>
      </c>
      <c r="C1299" s="18"/>
      <c r="D1299" s="21">
        <v>-3.4694469519536142E-18</v>
      </c>
      <c r="E1299" s="21">
        <v>-3.4694469519536142E-18</v>
      </c>
      <c r="F1299" s="21">
        <v>-3.4694469519536142E-18</v>
      </c>
      <c r="G1299" s="21">
        <v>-3.4694469519536142E-18</v>
      </c>
      <c r="H1299" s="21">
        <v>-3.4694469519536142E-18</v>
      </c>
      <c r="I1299" s="21">
        <v>-3.4694469519536142E-18</v>
      </c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>
        <v>0</v>
      </c>
      <c r="P1299" s="18"/>
      <c r="Q1299" s="82">
        <f t="shared" si="29"/>
        <v>-3.986247320975272E-25</v>
      </c>
      <c r="R1299" s="14">
        <v>-1.0000000000218279E-2</v>
      </c>
      <c r="S1299" s="15">
        <v>-1.935793597985667E-6</v>
      </c>
      <c r="T1299" s="16">
        <v>8.3469635648348732E-5</v>
      </c>
    </row>
    <row r="1300" spans="1:20" ht="16" hidden="1">
      <c r="A1300" s="80" t="s">
        <v>616</v>
      </c>
      <c r="B1300" s="81" t="s">
        <v>366</v>
      </c>
      <c r="C1300" s="18"/>
      <c r="D1300" s="21">
        <v>-3.4694469519536142E-18</v>
      </c>
      <c r="E1300" s="21">
        <v>18962.680000000015</v>
      </c>
      <c r="F1300" s="21">
        <v>-3.4694469519536142E-18</v>
      </c>
      <c r="G1300" s="21">
        <v>22433.870000000014</v>
      </c>
      <c r="H1300" s="21">
        <v>-3.4694469519536142E-18</v>
      </c>
      <c r="I1300" s="21">
        <v>-3.4694469519536142E-18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</v>
      </c>
      <c r="P1300" s="18"/>
      <c r="Q1300" s="82">
        <f t="shared" si="29"/>
        <v>-3.986247320975272E-25</v>
      </c>
      <c r="R1300" s="14">
        <v>0</v>
      </c>
      <c r="S1300" s="15">
        <v>0</v>
      </c>
      <c r="T1300" s="16">
        <v>0</v>
      </c>
    </row>
    <row r="1301" spans="1:20" ht="16">
      <c r="A1301" s="80" t="s">
        <v>702</v>
      </c>
      <c r="B1301" s="81" t="s">
        <v>67</v>
      </c>
      <c r="C1301" s="18"/>
      <c r="D1301" s="21">
        <v>-3.4694469519536142E-18</v>
      </c>
      <c r="E1301" s="21">
        <v>-3.4694469519536142E-18</v>
      </c>
      <c r="F1301" s="21">
        <v>-3.4694469519536142E-18</v>
      </c>
      <c r="G1301" s="21">
        <v>-3.4694469519536142E-18</v>
      </c>
      <c r="H1301" s="21">
        <v>-3.4694469519536142E-18</v>
      </c>
      <c r="I1301" s="21">
        <v>-3.4694469519536142E-18</v>
      </c>
      <c r="J1301" s="3">
        <v>0</v>
      </c>
      <c r="K1301" s="3">
        <v>0</v>
      </c>
      <c r="L1301" s="3">
        <v>0</v>
      </c>
      <c r="M1301" s="3">
        <v>0</v>
      </c>
      <c r="N1301" s="3">
        <v>0</v>
      </c>
      <c r="O1301" s="3">
        <v>0</v>
      </c>
      <c r="P1301" s="18"/>
      <c r="Q1301" s="82">
        <f t="shared" si="29"/>
        <v>-3.986247320975272E-25</v>
      </c>
      <c r="R1301" s="14">
        <v>0</v>
      </c>
      <c r="S1301" s="15">
        <v>0</v>
      </c>
      <c r="T1301" s="16">
        <v>7.2272831874253026E-4</v>
      </c>
    </row>
    <row r="1302" spans="1:20" ht="16" hidden="1">
      <c r="A1302" s="80" t="s">
        <v>876</v>
      </c>
      <c r="B1302" s="81" t="s">
        <v>78</v>
      </c>
      <c r="C1302" s="18"/>
      <c r="D1302" s="21">
        <v>-3.4694469519536142E-18</v>
      </c>
      <c r="E1302" s="21">
        <v>-3.4694469519536142E-18</v>
      </c>
      <c r="F1302" s="21">
        <v>-3.4694469519536142E-18</v>
      </c>
      <c r="G1302" s="21">
        <v>-3.4694469519536142E-18</v>
      </c>
      <c r="H1302" s="21">
        <v>-3.4694469519536142E-18</v>
      </c>
      <c r="I1302" s="21">
        <v>-3.4694469519536142E-18</v>
      </c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>
        <v>0</v>
      </c>
      <c r="P1302" s="18"/>
      <c r="Q1302" s="82">
        <f t="shared" si="29"/>
        <v>-3.986247320975272E-25</v>
      </c>
      <c r="R1302" s="14">
        <v>0</v>
      </c>
      <c r="S1302" s="15">
        <v>0</v>
      </c>
      <c r="T1302" s="16">
        <v>0</v>
      </c>
    </row>
    <row r="1303" spans="1:20" ht="16" hidden="1">
      <c r="A1303" s="80" t="s">
        <v>934</v>
      </c>
      <c r="B1303" s="81" t="s">
        <v>76</v>
      </c>
      <c r="C1303" s="18"/>
      <c r="D1303" s="21">
        <v>-3.4694469519536142E-18</v>
      </c>
      <c r="E1303" s="21">
        <v>-3.4694469519536142E-18</v>
      </c>
      <c r="F1303" s="21">
        <v>-3.4694469519536142E-18</v>
      </c>
      <c r="G1303" s="21">
        <v>-3.4694469519536142E-18</v>
      </c>
      <c r="H1303" s="21">
        <v>-3.4694469519536142E-18</v>
      </c>
      <c r="I1303" s="21">
        <v>-3.4694469519536142E-18</v>
      </c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>
        <v>0</v>
      </c>
      <c r="P1303" s="18"/>
      <c r="Q1303" s="82">
        <f t="shared" si="29"/>
        <v>-3.986247320975272E-25</v>
      </c>
      <c r="R1303" s="14">
        <v>0</v>
      </c>
      <c r="S1303" s="15">
        <v>0</v>
      </c>
      <c r="T1303" s="16">
        <v>0</v>
      </c>
    </row>
    <row r="1304" spans="1:20" ht="16" hidden="1">
      <c r="A1304" s="80" t="s">
        <v>962</v>
      </c>
      <c r="B1304" s="81" t="s">
        <v>89</v>
      </c>
      <c r="C1304" s="18"/>
      <c r="D1304" s="21">
        <v>-3.4694469519536142E-18</v>
      </c>
      <c r="E1304" s="21">
        <v>-3.4694469519536142E-18</v>
      </c>
      <c r="F1304" s="21">
        <v>-3.4694469519536142E-18</v>
      </c>
      <c r="G1304" s="21">
        <v>-3.4694469519536142E-18</v>
      </c>
      <c r="H1304" s="21">
        <v>-3.4694469519536142E-18</v>
      </c>
      <c r="I1304" s="21">
        <v>-3.4694469519536142E-18</v>
      </c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>
        <v>0</v>
      </c>
      <c r="P1304" s="18"/>
      <c r="Q1304" s="82">
        <f t="shared" si="29"/>
        <v>-3.986247320975272E-25</v>
      </c>
      <c r="R1304" s="14">
        <v>0</v>
      </c>
      <c r="S1304" s="15">
        <v>0</v>
      </c>
      <c r="T1304" s="16">
        <v>0</v>
      </c>
    </row>
    <row r="1305" spans="1:20" ht="16" hidden="1">
      <c r="A1305" s="80" t="s">
        <v>980</v>
      </c>
      <c r="B1305" s="81" t="s">
        <v>62</v>
      </c>
      <c r="C1305" s="18"/>
      <c r="D1305" s="21">
        <v>-3.4694469519536142E-18</v>
      </c>
      <c r="E1305" s="21">
        <v>-3.4694469519536142E-18</v>
      </c>
      <c r="F1305" s="21">
        <v>-3.4694469519536142E-18</v>
      </c>
      <c r="G1305" s="21">
        <v>-3.4694469519536142E-18</v>
      </c>
      <c r="H1305" s="21">
        <v>-3.4694469519536142E-18</v>
      </c>
      <c r="I1305" s="21">
        <v>-3.4694469519536142E-18</v>
      </c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>
        <v>0</v>
      </c>
      <c r="P1305" s="18"/>
      <c r="Q1305" s="82">
        <f t="shared" si="29"/>
        <v>-3.986247320975272E-25</v>
      </c>
      <c r="R1305" s="14">
        <v>-0.03</v>
      </c>
      <c r="S1305" s="15">
        <v>-3</v>
      </c>
      <c r="T1305" s="16">
        <v>-3.2316059819370253E-10</v>
      </c>
    </row>
    <row r="1306" spans="1:20" ht="16">
      <c r="A1306" s="80" t="s">
        <v>1228</v>
      </c>
      <c r="B1306" s="81" t="s">
        <v>67</v>
      </c>
      <c r="C1306" s="18"/>
      <c r="D1306" s="21">
        <v>-3.4694469519536142E-18</v>
      </c>
      <c r="E1306" s="21">
        <v>-3.4694469519536142E-18</v>
      </c>
      <c r="F1306" s="21">
        <v>-3.4694469519536142E-18</v>
      </c>
      <c r="G1306" s="21">
        <v>-3.4694469519536142E-18</v>
      </c>
      <c r="H1306" s="21">
        <v>-3.4694469519536142E-18</v>
      </c>
      <c r="I1306" s="21">
        <v>-3.4694469519536142E-18</v>
      </c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>
        <v>0</v>
      </c>
      <c r="P1306" s="18"/>
      <c r="Q1306" s="82">
        <f t="shared" si="29"/>
        <v>-3.986247320975272E-25</v>
      </c>
      <c r="R1306" s="14">
        <v>0</v>
      </c>
      <c r="S1306" s="15">
        <v>0</v>
      </c>
      <c r="T1306" s="16">
        <v>1.2926423927748103E-9</v>
      </c>
    </row>
    <row r="1307" spans="1:20" ht="16" hidden="1">
      <c r="A1307" s="80" t="s">
        <v>1055</v>
      </c>
      <c r="B1307" s="81" t="s">
        <v>66</v>
      </c>
      <c r="C1307" s="18"/>
      <c r="D1307" s="21">
        <v>-5.0000000000000017E-2</v>
      </c>
      <c r="E1307" s="21">
        <v>-4.0000000000000015E-2</v>
      </c>
      <c r="F1307" s="21">
        <v>-3.0000000000000013E-2</v>
      </c>
      <c r="G1307" s="21">
        <v>-2.0000000000000011E-2</v>
      </c>
      <c r="H1307" s="21">
        <v>-1.0000000000000011E-2</v>
      </c>
      <c r="I1307" s="21">
        <v>-1.0408340855860843E-17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18"/>
      <c r="Q1307" s="82">
        <f t="shared" si="29"/>
        <v>-1.1958741962925816E-24</v>
      </c>
      <c r="R1307" s="14">
        <v>0</v>
      </c>
      <c r="S1307" s="15">
        <v>0</v>
      </c>
      <c r="T1307" s="16">
        <v>5.7806887014739982E-4</v>
      </c>
    </row>
    <row r="1308" spans="1:20" ht="16" hidden="1">
      <c r="A1308" s="80" t="s">
        <v>247</v>
      </c>
      <c r="B1308" s="81" t="s">
        <v>66</v>
      </c>
      <c r="C1308" s="18"/>
      <c r="D1308" s="21">
        <v>-1.7347234759768071E-17</v>
      </c>
      <c r="E1308" s="21">
        <v>-1.7347234759768071E-17</v>
      </c>
      <c r="F1308" s="21">
        <v>-1.7347234759768071E-17</v>
      </c>
      <c r="G1308" s="21">
        <v>-1.7347234759768071E-17</v>
      </c>
      <c r="H1308" s="21">
        <v>-1.7347234759768071E-17</v>
      </c>
      <c r="I1308" s="21">
        <v>-1.7347234759768071E-17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18"/>
      <c r="Q1308" s="82">
        <f t="shared" si="29"/>
        <v>-1.993123660487636E-24</v>
      </c>
      <c r="R1308" s="14">
        <v>0</v>
      </c>
      <c r="S1308" s="15">
        <v>0</v>
      </c>
      <c r="T1308" s="16">
        <v>0</v>
      </c>
    </row>
    <row r="1309" spans="1:20" ht="16" hidden="1">
      <c r="A1309" s="80" t="s">
        <v>197</v>
      </c>
      <c r="B1309" s="81" t="s">
        <v>85</v>
      </c>
      <c r="C1309" s="18"/>
      <c r="D1309" s="21">
        <v>0</v>
      </c>
      <c r="E1309" s="21">
        <v>0</v>
      </c>
      <c r="F1309" s="21">
        <v>0</v>
      </c>
      <c r="G1309" s="21">
        <v>0</v>
      </c>
      <c r="H1309" s="21">
        <v>-2.2204460492503131E-16</v>
      </c>
      <c r="I1309" s="21">
        <v>-2.2204460492503131E-16</v>
      </c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>
        <v>0</v>
      </c>
      <c r="P1309" s="18"/>
      <c r="Q1309" s="82">
        <f t="shared" si="29"/>
        <v>-2.5511982854241741E-23</v>
      </c>
      <c r="R1309" s="14">
        <v>0</v>
      </c>
      <c r="S1309" s="15">
        <v>0</v>
      </c>
      <c r="T1309" s="16">
        <v>0</v>
      </c>
    </row>
    <row r="1310" spans="1:20" ht="16" hidden="1">
      <c r="A1310" s="80" t="s">
        <v>231</v>
      </c>
      <c r="B1310" s="81" t="s">
        <v>85</v>
      </c>
      <c r="C1310" s="18"/>
      <c r="D1310" s="21">
        <v>3628.7999999999997</v>
      </c>
      <c r="E1310" s="21">
        <v>2.2204460492503131E-16</v>
      </c>
      <c r="F1310" s="21">
        <v>2.2204460492503131E-16</v>
      </c>
      <c r="G1310" s="21">
        <v>2.2204460492503131E-16</v>
      </c>
      <c r="H1310" s="21">
        <v>2.2204460492503131E-16</v>
      </c>
      <c r="I1310" s="21">
        <v>-2.2204460492503131E-16</v>
      </c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>
        <v>0</v>
      </c>
      <c r="P1310" s="18"/>
      <c r="Q1310" s="82">
        <f t="shared" si="29"/>
        <v>-2.5511982854241741E-23</v>
      </c>
      <c r="R1310" s="14">
        <v>0</v>
      </c>
      <c r="S1310" s="15">
        <v>0</v>
      </c>
      <c r="T1310" s="16">
        <v>0</v>
      </c>
    </row>
    <row r="1311" spans="1:20" ht="16" hidden="1">
      <c r="A1311" s="80" t="s">
        <v>1064</v>
      </c>
      <c r="B1311" s="81" t="s">
        <v>76</v>
      </c>
      <c r="C1311" s="18"/>
      <c r="D1311" s="21">
        <v>-9.9999999999995735E-3</v>
      </c>
      <c r="E1311" s="21">
        <v>-9.9999999999995735E-3</v>
      </c>
      <c r="F1311" s="21">
        <v>-9.9999999999980105E-3</v>
      </c>
      <c r="G1311" s="21">
        <v>-9.9999999999995735E-3</v>
      </c>
      <c r="H1311" s="21">
        <v>-9.9999999999995735E-3</v>
      </c>
      <c r="I1311" s="21">
        <v>-9.9999999999995735E-3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18"/>
      <c r="Q1311" s="82">
        <f t="shared" si="29"/>
        <v>-1.148957564758407E-9</v>
      </c>
      <c r="R1311" s="14">
        <v>0</v>
      </c>
      <c r="S1311" s="15">
        <v>0</v>
      </c>
      <c r="T1311" s="16">
        <v>0</v>
      </c>
    </row>
    <row r="1312" spans="1:20" ht="16" hidden="1">
      <c r="A1312" s="80" t="s">
        <v>853</v>
      </c>
      <c r="B1312" s="81" t="s">
        <v>76</v>
      </c>
      <c r="C1312" s="18"/>
      <c r="D1312" s="21">
        <v>191105.21000000002</v>
      </c>
      <c r="E1312" s="21">
        <v>288439.09000000003</v>
      </c>
      <c r="F1312" s="21">
        <v>385772.97000000003</v>
      </c>
      <c r="G1312" s="21">
        <v>-1.0000000000000011E-2</v>
      </c>
      <c r="H1312" s="21">
        <v>-1.0000000000000011E-2</v>
      </c>
      <c r="I1312" s="21">
        <v>-9.9999999999999759E-3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18"/>
      <c r="Q1312" s="82">
        <f t="shared" si="29"/>
        <v>-1.1489575647584531E-9</v>
      </c>
      <c r="R1312" s="14">
        <v>0</v>
      </c>
      <c r="S1312" s="15">
        <v>0</v>
      </c>
      <c r="T1312" s="16">
        <v>3.9425592979631701E-8</v>
      </c>
    </row>
    <row r="1313" spans="1:20" ht="16" hidden="1">
      <c r="A1313" s="80" t="s">
        <v>389</v>
      </c>
      <c r="B1313" s="81" t="s">
        <v>145</v>
      </c>
      <c r="C1313" s="18"/>
      <c r="D1313" s="21">
        <v>28715.61</v>
      </c>
      <c r="E1313" s="21">
        <v>9038.7999999999993</v>
      </c>
      <c r="F1313" s="21">
        <v>18887.38</v>
      </c>
      <c r="G1313" s="21">
        <v>26800.319999999996</v>
      </c>
      <c r="H1313" s="21">
        <v>-9.9999999999999967E-3</v>
      </c>
      <c r="I1313" s="21">
        <v>-9.9999999999999967E-3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0</v>
      </c>
      <c r="P1313" s="18"/>
      <c r="Q1313" s="82">
        <f t="shared" si="29"/>
        <v>-1.1489575647584555E-9</v>
      </c>
      <c r="R1313" s="14">
        <v>0</v>
      </c>
      <c r="S1313" s="15">
        <v>0</v>
      </c>
      <c r="T1313" s="16">
        <v>1.6158029909685124E-10</v>
      </c>
    </row>
    <row r="1314" spans="1:20" ht="16">
      <c r="A1314" s="80" t="s">
        <v>74</v>
      </c>
      <c r="B1314" s="81" t="s">
        <v>67</v>
      </c>
      <c r="C1314" s="18"/>
      <c r="D1314" s="21">
        <v>106604.77</v>
      </c>
      <c r="E1314" s="21">
        <v>106604.77</v>
      </c>
      <c r="F1314" s="21">
        <v>221870.28999999998</v>
      </c>
      <c r="G1314" s="21">
        <v>115265.51000000001</v>
      </c>
      <c r="H1314" s="21">
        <v>-0.01</v>
      </c>
      <c r="I1314" s="21">
        <v>-0.01</v>
      </c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>
        <v>0</v>
      </c>
      <c r="P1314" s="18"/>
      <c r="Q1314" s="82">
        <f t="shared" si="29"/>
        <v>-1.148957564758456E-9</v>
      </c>
      <c r="R1314" s="14">
        <v>0</v>
      </c>
      <c r="S1314" s="15">
        <v>0</v>
      </c>
      <c r="T1314" s="16">
        <v>0</v>
      </c>
    </row>
    <row r="1315" spans="1:20" ht="16" hidden="1">
      <c r="A1315" s="80" t="s">
        <v>150</v>
      </c>
      <c r="B1315" s="81" t="s">
        <v>76</v>
      </c>
      <c r="C1315" s="18"/>
      <c r="D1315" s="21">
        <v>-0.01</v>
      </c>
      <c r="E1315" s="21">
        <v>-0.01</v>
      </c>
      <c r="F1315" s="21">
        <v>-0.01</v>
      </c>
      <c r="G1315" s="21">
        <v>-0.01</v>
      </c>
      <c r="H1315" s="21">
        <v>-0.01</v>
      </c>
      <c r="I1315" s="21">
        <v>-0.01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0</v>
      </c>
      <c r="P1315" s="18"/>
      <c r="Q1315" s="82">
        <f t="shared" si="29"/>
        <v>-1.148957564758456E-9</v>
      </c>
      <c r="R1315" s="14">
        <v>0</v>
      </c>
      <c r="S1315" s="15">
        <v>0</v>
      </c>
      <c r="T1315" s="16">
        <v>0</v>
      </c>
    </row>
    <row r="1316" spans="1:20" ht="16" hidden="1">
      <c r="A1316" s="80" t="s">
        <v>243</v>
      </c>
      <c r="B1316" s="81" t="s">
        <v>162</v>
      </c>
      <c r="C1316" s="18"/>
      <c r="D1316" s="21">
        <v>-0.01</v>
      </c>
      <c r="E1316" s="21">
        <v>-0.01</v>
      </c>
      <c r="F1316" s="21">
        <v>-0.01</v>
      </c>
      <c r="G1316" s="21">
        <v>-0.01</v>
      </c>
      <c r="H1316" s="21">
        <v>-0.01</v>
      </c>
      <c r="I1316" s="21">
        <v>-0.01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18"/>
      <c r="Q1316" s="82">
        <f t="shared" si="29"/>
        <v>-1.148957564758456E-9</v>
      </c>
      <c r="R1316" s="14">
        <v>0</v>
      </c>
      <c r="S1316" s="15">
        <v>0</v>
      </c>
      <c r="T1316" s="16">
        <v>0</v>
      </c>
    </row>
    <row r="1317" spans="1:20" ht="16" hidden="1">
      <c r="A1317" s="80" t="s">
        <v>311</v>
      </c>
      <c r="B1317" s="81" t="s">
        <v>162</v>
      </c>
      <c r="C1317" s="18"/>
      <c r="D1317" s="21">
        <v>-0.01</v>
      </c>
      <c r="E1317" s="21">
        <v>-0.01</v>
      </c>
      <c r="F1317" s="21">
        <v>-0.01</v>
      </c>
      <c r="G1317" s="21">
        <v>-0.01</v>
      </c>
      <c r="H1317" s="21">
        <v>-0.01</v>
      </c>
      <c r="I1317" s="21">
        <v>-0.01</v>
      </c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>
        <v>0</v>
      </c>
      <c r="P1317" s="18"/>
      <c r="Q1317" s="82">
        <f t="shared" si="29"/>
        <v>-1.148957564758456E-9</v>
      </c>
      <c r="R1317" s="14">
        <v>-67.937605000000005</v>
      </c>
      <c r="S1317" s="15">
        <v>0.60550627639540944</v>
      </c>
      <c r="T1317" s="16">
        <v>-2.9106634934572055E-6</v>
      </c>
    </row>
    <row r="1318" spans="1:20" ht="16" hidden="1">
      <c r="A1318" s="80" t="s">
        <v>409</v>
      </c>
      <c r="B1318" s="81" t="s">
        <v>85</v>
      </c>
      <c r="C1318" s="18"/>
      <c r="D1318" s="21">
        <v>-0.01</v>
      </c>
      <c r="E1318" s="21">
        <v>-0.01</v>
      </c>
      <c r="F1318" s="21">
        <v>-0.01</v>
      </c>
      <c r="G1318" s="21">
        <v>-0.01</v>
      </c>
      <c r="H1318" s="21">
        <v>-0.01</v>
      </c>
      <c r="I1318" s="21">
        <v>-0.01</v>
      </c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>
        <v>0</v>
      </c>
      <c r="P1318" s="18"/>
      <c r="Q1318" s="82">
        <f t="shared" si="29"/>
        <v>-1.148957564758456E-9</v>
      </c>
      <c r="R1318" s="14">
        <v>0</v>
      </c>
      <c r="S1318" s="15">
        <v>0</v>
      </c>
      <c r="T1318" s="16">
        <v>0</v>
      </c>
    </row>
    <row r="1319" spans="1:20" ht="16" hidden="1">
      <c r="A1319" s="80" t="s">
        <v>525</v>
      </c>
      <c r="B1319" s="81" t="s">
        <v>76</v>
      </c>
      <c r="C1319" s="18"/>
      <c r="D1319" s="21">
        <v>-0.01</v>
      </c>
      <c r="E1319" s="21">
        <v>-0.01</v>
      </c>
      <c r="F1319" s="21">
        <v>-0.01</v>
      </c>
      <c r="G1319" s="21">
        <v>-0.01</v>
      </c>
      <c r="H1319" s="21">
        <v>-0.01</v>
      </c>
      <c r="I1319" s="21">
        <v>-0.01</v>
      </c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>
        <v>0</v>
      </c>
      <c r="P1319" s="18"/>
      <c r="Q1319" s="82">
        <f t="shared" si="29"/>
        <v>-1.148957564758456E-9</v>
      </c>
      <c r="R1319" s="14">
        <v>0</v>
      </c>
      <c r="S1319" s="15">
        <v>0</v>
      </c>
      <c r="T1319" s="16">
        <v>0</v>
      </c>
    </row>
    <row r="1320" spans="1:20" ht="16">
      <c r="A1320" s="80" t="s">
        <v>607</v>
      </c>
      <c r="B1320" s="81" t="s">
        <v>67</v>
      </c>
      <c r="C1320" s="18"/>
      <c r="D1320" s="21">
        <v>-0.01</v>
      </c>
      <c r="E1320" s="21">
        <v>-0.01</v>
      </c>
      <c r="F1320" s="21">
        <v>-0.01</v>
      </c>
      <c r="G1320" s="21">
        <v>-0.01</v>
      </c>
      <c r="H1320" s="21">
        <v>-0.01</v>
      </c>
      <c r="I1320" s="21">
        <v>-0.01</v>
      </c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>
        <v>0</v>
      </c>
      <c r="P1320" s="18"/>
      <c r="Q1320" s="82">
        <f t="shared" si="29"/>
        <v>-1.148957564758456E-9</v>
      </c>
      <c r="R1320" s="14">
        <v>0</v>
      </c>
      <c r="S1320" s="15">
        <v>0</v>
      </c>
      <c r="T1320" s="16">
        <v>1.7618715813520667E-5</v>
      </c>
    </row>
    <row r="1321" spans="1:20" ht="16" hidden="1">
      <c r="A1321" s="80" t="s">
        <v>616</v>
      </c>
      <c r="B1321" s="81" t="s">
        <v>78</v>
      </c>
      <c r="C1321" s="18"/>
      <c r="D1321" s="21">
        <v>-0.01</v>
      </c>
      <c r="E1321" s="21">
        <v>-0.01</v>
      </c>
      <c r="F1321" s="21">
        <v>-0.01</v>
      </c>
      <c r="G1321" s="21">
        <v>15600</v>
      </c>
      <c r="H1321" s="21">
        <v>-0.01</v>
      </c>
      <c r="I1321" s="21">
        <v>-0.01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0</v>
      </c>
      <c r="P1321" s="18"/>
      <c r="Q1321" s="82">
        <f t="shared" si="29"/>
        <v>-1.148957564758456E-9</v>
      </c>
      <c r="R1321" s="14">
        <v>0</v>
      </c>
      <c r="S1321" s="15">
        <v>0</v>
      </c>
      <c r="T1321" s="16">
        <v>3.2316059819370259E-10</v>
      </c>
    </row>
    <row r="1322" spans="1:20" ht="16" hidden="1">
      <c r="A1322" s="80" t="s">
        <v>622</v>
      </c>
      <c r="B1322" s="81" t="s">
        <v>76</v>
      </c>
      <c r="C1322" s="18"/>
      <c r="D1322" s="21">
        <v>-0.01</v>
      </c>
      <c r="E1322" s="21">
        <v>-0.01</v>
      </c>
      <c r="F1322" s="21">
        <v>-0.01</v>
      </c>
      <c r="G1322" s="21">
        <v>-0.01</v>
      </c>
      <c r="H1322" s="21">
        <v>-0.01</v>
      </c>
      <c r="I1322" s="21">
        <v>-0.01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18"/>
      <c r="Q1322" s="82">
        <f t="shared" si="29"/>
        <v>-1.148957564758456E-9</v>
      </c>
      <c r="R1322" s="14">
        <v>0</v>
      </c>
      <c r="S1322" s="15">
        <v>0</v>
      </c>
      <c r="T1322" s="16">
        <v>0</v>
      </c>
    </row>
    <row r="1323" spans="1:20" ht="16" hidden="1">
      <c r="A1323" s="80" t="s">
        <v>808</v>
      </c>
      <c r="B1323" s="81" t="s">
        <v>66</v>
      </c>
      <c r="C1323" s="18"/>
      <c r="D1323" s="21">
        <v>9852.75</v>
      </c>
      <c r="E1323" s="21">
        <v>-0.01</v>
      </c>
      <c r="F1323" s="21">
        <v>-0.01</v>
      </c>
      <c r="G1323" s="21">
        <v>4898.92</v>
      </c>
      <c r="H1323" s="21">
        <v>4898.92</v>
      </c>
      <c r="I1323" s="21">
        <v>-0.01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18"/>
      <c r="Q1323" s="82">
        <f t="shared" si="29"/>
        <v>-1.148957564758456E-9</v>
      </c>
      <c r="R1323" s="14">
        <v>0</v>
      </c>
      <c r="S1323" s="15">
        <v>0</v>
      </c>
      <c r="T1323" s="16">
        <v>-6.5940920061424988E-7</v>
      </c>
    </row>
    <row r="1324" spans="1:20" ht="16">
      <c r="A1324" s="80" t="s">
        <v>825</v>
      </c>
      <c r="B1324" s="81" t="s">
        <v>67</v>
      </c>
      <c r="C1324" s="18"/>
      <c r="D1324" s="21">
        <v>-0.01</v>
      </c>
      <c r="E1324" s="21">
        <v>-0.01</v>
      </c>
      <c r="F1324" s="21">
        <v>-0.01</v>
      </c>
      <c r="G1324" s="21">
        <v>-0.01</v>
      </c>
      <c r="H1324" s="21">
        <v>-0.01</v>
      </c>
      <c r="I1324" s="21">
        <v>-0.01</v>
      </c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>
        <v>0</v>
      </c>
      <c r="P1324" s="18"/>
      <c r="Q1324" s="82">
        <f t="shared" si="29"/>
        <v>-1.148957564758456E-9</v>
      </c>
      <c r="R1324" s="14">
        <v>0</v>
      </c>
      <c r="S1324" s="15">
        <v>0</v>
      </c>
      <c r="T1324" s="16">
        <v>3.0538676529304897E-7</v>
      </c>
    </row>
    <row r="1325" spans="1:20" ht="16" hidden="1">
      <c r="A1325" s="80" t="s">
        <v>879</v>
      </c>
      <c r="B1325" s="81" t="s">
        <v>76</v>
      </c>
      <c r="C1325" s="18"/>
      <c r="D1325" s="21">
        <v>-0.01</v>
      </c>
      <c r="E1325" s="21">
        <v>-0.01</v>
      </c>
      <c r="F1325" s="21">
        <v>-0.01</v>
      </c>
      <c r="G1325" s="21">
        <v>-0.01</v>
      </c>
      <c r="H1325" s="21">
        <v>-0.01</v>
      </c>
      <c r="I1325" s="21">
        <v>-0.01</v>
      </c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>
        <v>0</v>
      </c>
      <c r="P1325" s="18"/>
      <c r="Q1325" s="82">
        <f t="shared" si="29"/>
        <v>-1.148957564758456E-9</v>
      </c>
      <c r="R1325" s="14">
        <v>0</v>
      </c>
      <c r="S1325" s="15">
        <v>0</v>
      </c>
      <c r="T1325" s="16">
        <v>2.315834771418104E-3</v>
      </c>
    </row>
    <row r="1326" spans="1:20" ht="16" hidden="1">
      <c r="A1326" s="80" t="s">
        <v>1081</v>
      </c>
      <c r="B1326" s="81" t="s">
        <v>62</v>
      </c>
      <c r="C1326" s="18"/>
      <c r="D1326" s="21">
        <v>-0.01</v>
      </c>
      <c r="E1326" s="21">
        <v>-0.01</v>
      </c>
      <c r="F1326" s="21">
        <v>-0.01</v>
      </c>
      <c r="G1326" s="21">
        <v>-0.01</v>
      </c>
      <c r="H1326" s="21">
        <v>-0.01</v>
      </c>
      <c r="I1326" s="21">
        <v>-0.01</v>
      </c>
      <c r="J1326" s="3">
        <v>0</v>
      </c>
      <c r="K1326" s="3">
        <v>0</v>
      </c>
      <c r="L1326" s="3">
        <v>0</v>
      </c>
      <c r="M1326" s="3">
        <v>0</v>
      </c>
      <c r="N1326" s="3">
        <v>0</v>
      </c>
      <c r="O1326" s="3">
        <v>0</v>
      </c>
      <c r="P1326" s="18"/>
      <c r="Q1326" s="82">
        <f t="shared" si="29"/>
        <v>-1.148957564758456E-9</v>
      </c>
      <c r="R1326" s="14">
        <v>0</v>
      </c>
      <c r="S1326" s="15">
        <v>0</v>
      </c>
      <c r="T1326" s="16">
        <v>-1.6158029909685129E-10</v>
      </c>
    </row>
    <row r="1327" spans="1:20" ht="16" hidden="1">
      <c r="A1327" s="80" t="s">
        <v>1143</v>
      </c>
      <c r="B1327" s="81" t="s">
        <v>62</v>
      </c>
      <c r="C1327" s="18"/>
      <c r="D1327" s="21">
        <v>-0.01</v>
      </c>
      <c r="E1327" s="21">
        <v>-0.01</v>
      </c>
      <c r="F1327" s="21">
        <v>-0.01</v>
      </c>
      <c r="G1327" s="21">
        <v>-0.01</v>
      </c>
      <c r="H1327" s="21">
        <v>-0.01</v>
      </c>
      <c r="I1327" s="21">
        <v>-0.01</v>
      </c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>
        <v>0</v>
      </c>
      <c r="P1327" s="18"/>
      <c r="Q1327" s="82">
        <f t="shared" si="29"/>
        <v>-1.148957564758456E-9</v>
      </c>
      <c r="R1327" s="14">
        <v>0</v>
      </c>
      <c r="S1327" s="15">
        <v>0</v>
      </c>
      <c r="T1327" s="16">
        <v>1.6158029909685129E-10</v>
      </c>
    </row>
    <row r="1328" spans="1:20" ht="16" hidden="1">
      <c r="A1328" s="80" t="s">
        <v>1234</v>
      </c>
      <c r="B1328" s="81" t="s">
        <v>66</v>
      </c>
      <c r="C1328" s="18"/>
      <c r="D1328" s="21">
        <v>0</v>
      </c>
      <c r="E1328" s="21">
        <v>0</v>
      </c>
      <c r="F1328" s="21">
        <v>0</v>
      </c>
      <c r="G1328" s="21">
        <v>0</v>
      </c>
      <c r="H1328" s="21">
        <v>0</v>
      </c>
      <c r="I1328" s="21">
        <v>-0.01</v>
      </c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>
        <v>0</v>
      </c>
      <c r="P1328" s="18"/>
      <c r="Q1328" s="82">
        <f t="shared" si="29"/>
        <v>-1.148957564758456E-9</v>
      </c>
      <c r="R1328" s="14">
        <v>0</v>
      </c>
      <c r="S1328" s="15">
        <v>0</v>
      </c>
      <c r="T1328" s="16">
        <v>3.6335902974391431E-4</v>
      </c>
    </row>
    <row r="1329" spans="1:20" ht="16" hidden="1">
      <c r="A1329" s="80" t="s">
        <v>329</v>
      </c>
      <c r="B1329" s="81" t="s">
        <v>66</v>
      </c>
      <c r="C1329" s="18"/>
      <c r="D1329" s="21">
        <v>-3.4694469519536142E-18</v>
      </c>
      <c r="E1329" s="21">
        <v>-3.4694469519536142E-18</v>
      </c>
      <c r="F1329" s="21">
        <v>-3.4694469519536142E-18</v>
      </c>
      <c r="G1329" s="21">
        <v>-3.4694469519536142E-18</v>
      </c>
      <c r="H1329" s="21">
        <v>-3.4694469519536142E-18</v>
      </c>
      <c r="I1329" s="21">
        <v>-1.0000000000000004E-2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18"/>
      <c r="Q1329" s="82">
        <f t="shared" si="29"/>
        <v>-1.1489575647584564E-9</v>
      </c>
      <c r="R1329" s="14">
        <v>-15833.51</v>
      </c>
      <c r="S1329" s="15">
        <v>-1</v>
      </c>
      <c r="T1329" s="16">
        <v>0</v>
      </c>
    </row>
    <row r="1330" spans="1:20" ht="16" hidden="1">
      <c r="A1330" s="80" t="s">
        <v>347</v>
      </c>
      <c r="B1330" s="81" t="s">
        <v>62</v>
      </c>
      <c r="C1330" s="18"/>
      <c r="D1330" s="21">
        <v>80.359999999999957</v>
      </c>
      <c r="E1330" s="21">
        <v>80.359999999999957</v>
      </c>
      <c r="F1330" s="21">
        <v>80.359999999999957</v>
      </c>
      <c r="G1330" s="21">
        <v>80.359999999999957</v>
      </c>
      <c r="H1330" s="21">
        <v>80.359999999999957</v>
      </c>
      <c r="I1330" s="21">
        <v>-1.0000000000000004E-2</v>
      </c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>
        <v>0</v>
      </c>
      <c r="P1330" s="18"/>
      <c r="Q1330" s="82">
        <f t="shared" si="29"/>
        <v>-1.1489575647584564E-9</v>
      </c>
      <c r="R1330" s="14">
        <v>0.01</v>
      </c>
      <c r="S1330" s="15">
        <v>1</v>
      </c>
      <c r="T1330" s="16">
        <v>3.2316059819370259E-10</v>
      </c>
    </row>
    <row r="1331" spans="1:20" ht="16" hidden="1">
      <c r="A1331" s="80" t="s">
        <v>618</v>
      </c>
      <c r="B1331" s="81" t="s">
        <v>66</v>
      </c>
      <c r="C1331" s="18"/>
      <c r="D1331" s="21">
        <v>-1.0000000000000004E-2</v>
      </c>
      <c r="E1331" s="21">
        <v>-1.0000000000000004E-2</v>
      </c>
      <c r="F1331" s="21">
        <v>-1.0000000000000004E-2</v>
      </c>
      <c r="G1331" s="21">
        <v>-1.0000000000000004E-2</v>
      </c>
      <c r="H1331" s="21">
        <v>-1.0000000000000004E-2</v>
      </c>
      <c r="I1331" s="21">
        <v>-1.0000000000000004E-2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0</v>
      </c>
      <c r="P1331" s="18"/>
      <c r="Q1331" s="82">
        <f t="shared" si="29"/>
        <v>-1.1489575647584564E-9</v>
      </c>
      <c r="R1331" s="14">
        <v>2270.1399999999994</v>
      </c>
      <c r="S1331" s="15">
        <v>7.9998393082926764E-2</v>
      </c>
      <c r="T1331" s="16">
        <v>4.9520257533587858E-4</v>
      </c>
    </row>
    <row r="1332" spans="1:20" ht="16" hidden="1">
      <c r="A1332" s="80" t="s">
        <v>976</v>
      </c>
      <c r="B1332" s="81" t="s">
        <v>162</v>
      </c>
      <c r="C1332" s="18"/>
      <c r="D1332" s="21">
        <v>-1.0000000000000004E-2</v>
      </c>
      <c r="E1332" s="21">
        <v>-1.0000000000000004E-2</v>
      </c>
      <c r="F1332" s="21">
        <v>-1.0000000000000009E-2</v>
      </c>
      <c r="G1332" s="21">
        <v>-1.0000000000000009E-2</v>
      </c>
      <c r="H1332" s="21">
        <v>-1.0000000000000009E-2</v>
      </c>
      <c r="I1332" s="21">
        <v>-1.0000000000000004E-2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18"/>
      <c r="Q1332" s="82">
        <f t="shared" si="29"/>
        <v>-1.1489575647584564E-9</v>
      </c>
      <c r="R1332" s="14">
        <v>0</v>
      </c>
      <c r="S1332" s="15">
        <v>0</v>
      </c>
      <c r="T1332" s="16">
        <v>0</v>
      </c>
    </row>
    <row r="1333" spans="1:20" ht="16" hidden="1">
      <c r="A1333" s="80" t="s">
        <v>709</v>
      </c>
      <c r="B1333" s="81" t="s">
        <v>60</v>
      </c>
      <c r="C1333" s="18"/>
      <c r="D1333" s="21">
        <v>-1.0000000000000009E-2</v>
      </c>
      <c r="E1333" s="21">
        <v>-1.0000000000000009E-2</v>
      </c>
      <c r="F1333" s="21">
        <v>-1.0000000000000009E-2</v>
      </c>
      <c r="G1333" s="21">
        <v>-1.0000000000000009E-2</v>
      </c>
      <c r="H1333" s="21">
        <v>-1.0000000000000018E-2</v>
      </c>
      <c r="I1333" s="21">
        <v>-1.0000000000000009E-2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18"/>
      <c r="Q1333" s="82">
        <f t="shared" si="29"/>
        <v>-1.148957564758457E-9</v>
      </c>
      <c r="R1333" s="14">
        <v>163063.23999999996</v>
      </c>
      <c r="S1333" s="15">
        <v>1.0000001226518154</v>
      </c>
      <c r="T1333" s="16">
        <v>5.2695610950197307E-3</v>
      </c>
    </row>
    <row r="1334" spans="1:20" ht="16" hidden="1">
      <c r="A1334" s="80" t="s">
        <v>791</v>
      </c>
      <c r="B1334" s="81" t="s">
        <v>78</v>
      </c>
      <c r="C1334" s="18"/>
      <c r="D1334" s="21">
        <v>47262.329999999994</v>
      </c>
      <c r="E1334" s="21">
        <v>626.39</v>
      </c>
      <c r="F1334" s="21">
        <v>626.39</v>
      </c>
      <c r="G1334" s="21">
        <v>1252.79</v>
      </c>
      <c r="H1334" s="21">
        <v>-1.0000000000000122E-2</v>
      </c>
      <c r="I1334" s="21">
        <v>-1.000000000000012E-2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0</v>
      </c>
      <c r="P1334" s="18"/>
      <c r="Q1334" s="82">
        <f t="shared" si="29"/>
        <v>-1.1489575647584696E-9</v>
      </c>
      <c r="R1334" s="14">
        <v>0</v>
      </c>
      <c r="S1334" s="15">
        <v>0</v>
      </c>
      <c r="T1334" s="16">
        <v>0</v>
      </c>
    </row>
    <row r="1335" spans="1:20" ht="16" hidden="1">
      <c r="A1335" s="80" t="s">
        <v>483</v>
      </c>
      <c r="B1335" s="81" t="s">
        <v>62</v>
      </c>
      <c r="C1335" s="18"/>
      <c r="D1335" s="21">
        <v>3076.8367759999965</v>
      </c>
      <c r="E1335" s="21">
        <v>-1.660600000000001E-2</v>
      </c>
      <c r="F1335" s="21">
        <v>-1.660600000000001E-2</v>
      </c>
      <c r="G1335" s="21">
        <v>-1.660600000000001E-2</v>
      </c>
      <c r="H1335" s="21">
        <v>-1.660600000000001E-2</v>
      </c>
      <c r="I1335" s="21">
        <v>-1.660600000000001E-2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0</v>
      </c>
      <c r="P1335" s="18"/>
      <c r="Q1335" s="82">
        <f t="shared" si="29"/>
        <v>-1.9079589320378931E-9</v>
      </c>
      <c r="R1335" s="14">
        <v>318523.75000000006</v>
      </c>
      <c r="S1335" s="15">
        <v>2.7213078493240905</v>
      </c>
      <c r="T1335" s="16">
        <v>7.0379820106350908E-3</v>
      </c>
    </row>
    <row r="1336" spans="1:20" ht="16" hidden="1">
      <c r="A1336" s="80" t="s">
        <v>421</v>
      </c>
      <c r="B1336" s="81" t="s">
        <v>83</v>
      </c>
      <c r="C1336" s="18"/>
      <c r="D1336" s="21">
        <v>35592.020000000004</v>
      </c>
      <c r="E1336" s="21">
        <v>-1.999999999999999E-2</v>
      </c>
      <c r="F1336" s="21">
        <v>-1.9999999999999997E-2</v>
      </c>
      <c r="G1336" s="21">
        <v>-1.9999999999999997E-2</v>
      </c>
      <c r="H1336" s="21">
        <v>-1.9999999999999997E-2</v>
      </c>
      <c r="I1336" s="21">
        <v>-1.9999999999999997E-2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18"/>
      <c r="Q1336" s="82">
        <f t="shared" si="29"/>
        <v>-2.2979151295169115E-9</v>
      </c>
      <c r="R1336" s="14">
        <v>0</v>
      </c>
      <c r="S1336" s="15">
        <v>0</v>
      </c>
      <c r="T1336" s="16">
        <v>0</v>
      </c>
    </row>
    <row r="1337" spans="1:20" ht="16" hidden="1">
      <c r="A1337" s="80" t="s">
        <v>1126</v>
      </c>
      <c r="B1337" s="81" t="s">
        <v>78</v>
      </c>
      <c r="C1337" s="18"/>
      <c r="D1337" s="21">
        <v>0.01</v>
      </c>
      <c r="E1337" s="21">
        <v>0.01</v>
      </c>
      <c r="F1337" s="21">
        <v>0.01</v>
      </c>
      <c r="G1337" s="21">
        <v>0.01</v>
      </c>
      <c r="H1337" s="21">
        <v>0.01</v>
      </c>
      <c r="I1337" s="21">
        <v>-1.9999999999999997E-2</v>
      </c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>
        <v>0</v>
      </c>
      <c r="P1337" s="18"/>
      <c r="Q1337" s="82">
        <f t="shared" si="29"/>
        <v>-2.2979151295169115E-9</v>
      </c>
      <c r="R1337" s="14">
        <v>0</v>
      </c>
      <c r="S1337" s="15">
        <v>0</v>
      </c>
      <c r="T1337" s="16">
        <v>1.6158029909685129E-10</v>
      </c>
    </row>
    <row r="1338" spans="1:20" ht="16" hidden="1">
      <c r="A1338" s="80" t="s">
        <v>165</v>
      </c>
      <c r="B1338" s="81" t="s">
        <v>62</v>
      </c>
      <c r="C1338" s="18"/>
      <c r="D1338" s="21">
        <v>-0.02</v>
      </c>
      <c r="E1338" s="21">
        <v>-0.02</v>
      </c>
      <c r="F1338" s="21">
        <v>-0.02</v>
      </c>
      <c r="G1338" s="21">
        <v>-0.02</v>
      </c>
      <c r="H1338" s="21">
        <v>-0.02</v>
      </c>
      <c r="I1338" s="21">
        <v>-0.02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>
        <v>0</v>
      </c>
      <c r="P1338" s="18"/>
      <c r="Q1338" s="82">
        <f t="shared" si="29"/>
        <v>-2.2979151295169119E-9</v>
      </c>
      <c r="R1338" s="14">
        <v>0</v>
      </c>
      <c r="S1338" s="15">
        <v>0</v>
      </c>
      <c r="T1338" s="16">
        <v>0</v>
      </c>
    </row>
    <row r="1339" spans="1:20" ht="16">
      <c r="A1339" s="80" t="s">
        <v>235</v>
      </c>
      <c r="B1339" s="81" t="s">
        <v>67</v>
      </c>
      <c r="C1339" s="18"/>
      <c r="D1339" s="21">
        <v>-0.02</v>
      </c>
      <c r="E1339" s="21">
        <v>-0.02</v>
      </c>
      <c r="F1339" s="21">
        <v>-0.02</v>
      </c>
      <c r="G1339" s="21">
        <v>-0.02</v>
      </c>
      <c r="H1339" s="21">
        <v>-0.02</v>
      </c>
      <c r="I1339" s="21">
        <v>-0.02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18"/>
      <c r="Q1339" s="82">
        <f t="shared" si="29"/>
        <v>-2.2979151295169119E-9</v>
      </c>
      <c r="R1339" s="14">
        <v>0</v>
      </c>
      <c r="S1339" s="15">
        <v>0</v>
      </c>
      <c r="T1339" s="16">
        <v>-2.7468650846464717E-9</v>
      </c>
    </row>
    <row r="1340" spans="1:20" ht="16" hidden="1">
      <c r="A1340" s="80" t="s">
        <v>333</v>
      </c>
      <c r="B1340" s="81" t="s">
        <v>78</v>
      </c>
      <c r="C1340" s="18"/>
      <c r="D1340" s="21">
        <v>-0.02</v>
      </c>
      <c r="E1340" s="21">
        <v>-0.02</v>
      </c>
      <c r="F1340" s="21">
        <v>-0.02</v>
      </c>
      <c r="G1340" s="21">
        <v>-0.02</v>
      </c>
      <c r="H1340" s="21">
        <v>-0.02</v>
      </c>
      <c r="I1340" s="21">
        <v>-0.02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0</v>
      </c>
      <c r="P1340" s="18"/>
      <c r="Q1340" s="82">
        <f t="shared" si="29"/>
        <v>-2.2979151295169119E-9</v>
      </c>
      <c r="R1340" s="14">
        <v>7873.93</v>
      </c>
      <c r="S1340" s="15">
        <v>0</v>
      </c>
      <c r="T1340" s="16">
        <v>1.2722719644676705E-4</v>
      </c>
    </row>
    <row r="1341" spans="1:20" ht="16" hidden="1">
      <c r="A1341" s="80" t="s">
        <v>1036</v>
      </c>
      <c r="B1341" s="81" t="s">
        <v>78</v>
      </c>
      <c r="C1341" s="18"/>
      <c r="D1341" s="21">
        <v>-0.02</v>
      </c>
      <c r="E1341" s="21">
        <v>-0.02</v>
      </c>
      <c r="F1341" s="21">
        <v>-0.02</v>
      </c>
      <c r="G1341" s="21">
        <v>-0.02</v>
      </c>
      <c r="H1341" s="21">
        <v>-0.02</v>
      </c>
      <c r="I1341" s="21">
        <v>-0.02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0</v>
      </c>
      <c r="P1341" s="18"/>
      <c r="Q1341" s="82">
        <f t="shared" si="29"/>
        <v>-2.2979151295169119E-9</v>
      </c>
      <c r="R1341" s="14">
        <v>50963.9</v>
      </c>
      <c r="S1341" s="15">
        <v>25355.174129353243</v>
      </c>
      <c r="T1341" s="16">
        <v>8.2350869815432052E-4</v>
      </c>
    </row>
    <row r="1342" spans="1:20" ht="16">
      <c r="A1342" s="80" t="s">
        <v>1166</v>
      </c>
      <c r="B1342" s="81" t="s">
        <v>67</v>
      </c>
      <c r="C1342" s="18"/>
      <c r="D1342" s="21">
        <v>9672.9299999999985</v>
      </c>
      <c r="E1342" s="21">
        <v>-2.9999999999999992E-2</v>
      </c>
      <c r="F1342" s="21">
        <v>-0.03</v>
      </c>
      <c r="G1342" s="21">
        <v>-3.0000000000000013E-2</v>
      </c>
      <c r="H1342" s="21">
        <v>28171.31</v>
      </c>
      <c r="I1342" s="21">
        <v>-0.02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0</v>
      </c>
      <c r="P1342" s="18"/>
      <c r="Q1342" s="82">
        <f t="shared" si="29"/>
        <v>-2.2979151295169119E-9</v>
      </c>
      <c r="R1342" s="14">
        <v>0</v>
      </c>
      <c r="S1342" s="15">
        <v>0</v>
      </c>
      <c r="T1342" s="16">
        <v>3.8779271783244327E-9</v>
      </c>
    </row>
    <row r="1343" spans="1:20" ht="16">
      <c r="A1343" s="80" t="s">
        <v>289</v>
      </c>
      <c r="B1343" s="81" t="s">
        <v>67</v>
      </c>
      <c r="C1343" s="18"/>
      <c r="D1343" s="21">
        <v>-2.0000000000000004E-2</v>
      </c>
      <c r="E1343" s="21">
        <v>-2.0000000000000004E-2</v>
      </c>
      <c r="F1343" s="21">
        <v>-2.0000000000000004E-2</v>
      </c>
      <c r="G1343" s="21">
        <v>-2.0000000000000004E-2</v>
      </c>
      <c r="H1343" s="21">
        <v>-2.0000000000000004E-2</v>
      </c>
      <c r="I1343" s="21">
        <v>-2.0000000000000004E-2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0</v>
      </c>
      <c r="P1343" s="18"/>
      <c r="Q1343" s="82">
        <f t="shared" si="29"/>
        <v>-2.2979151295169123E-9</v>
      </c>
      <c r="R1343" s="14">
        <v>-10704.030000000002</v>
      </c>
      <c r="S1343" s="15">
        <v>-0.33333229530592595</v>
      </c>
      <c r="T1343" s="16">
        <v>3.4591368959132479E-4</v>
      </c>
    </row>
    <row r="1344" spans="1:20" ht="16" hidden="1">
      <c r="A1344" s="80" t="s">
        <v>365</v>
      </c>
      <c r="B1344" s="81" t="s">
        <v>85</v>
      </c>
      <c r="C1344" s="18"/>
      <c r="D1344" s="21">
        <v>0</v>
      </c>
      <c r="E1344" s="21">
        <v>-4.0000000000000008E-2</v>
      </c>
      <c r="F1344" s="21">
        <v>-0.04</v>
      </c>
      <c r="G1344" s="21">
        <v>1248.27</v>
      </c>
      <c r="H1344" s="21">
        <v>-0.04</v>
      </c>
      <c r="I1344" s="21">
        <v>-2.0000000000000004E-2</v>
      </c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>
        <v>0</v>
      </c>
      <c r="P1344" s="18"/>
      <c r="Q1344" s="82">
        <f t="shared" si="29"/>
        <v>-2.2979151295169123E-9</v>
      </c>
      <c r="R1344" s="14">
        <v>0</v>
      </c>
      <c r="S1344" s="15">
        <v>0</v>
      </c>
      <c r="T1344" s="16">
        <v>0</v>
      </c>
    </row>
    <row r="1345" spans="1:20" ht="16" hidden="1">
      <c r="A1345" s="80" t="s">
        <v>473</v>
      </c>
      <c r="B1345" s="81" t="s">
        <v>66</v>
      </c>
      <c r="C1345" s="18"/>
      <c r="D1345" s="21">
        <v>17336.830000000013</v>
      </c>
      <c r="E1345" s="21">
        <v>-2.0000000000000004E-2</v>
      </c>
      <c r="F1345" s="21">
        <v>-2.0000000000000004E-2</v>
      </c>
      <c r="G1345" s="21">
        <v>-2.0000000000000004E-2</v>
      </c>
      <c r="H1345" s="21">
        <v>-2.0000000000000004E-2</v>
      </c>
      <c r="I1345" s="21">
        <v>-2.0000000000000004E-2</v>
      </c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>
        <v>0</v>
      </c>
      <c r="P1345" s="18"/>
      <c r="Q1345" s="82">
        <f t="shared" si="29"/>
        <v>-2.2979151295169123E-9</v>
      </c>
      <c r="R1345" s="14">
        <v>13070.510000000009</v>
      </c>
      <c r="S1345" s="15">
        <v>6.033938773376276E-2</v>
      </c>
      <c r="T1345" s="16">
        <v>3.7112903853476435E-3</v>
      </c>
    </row>
    <row r="1346" spans="1:20" ht="16" hidden="1">
      <c r="A1346" s="80" t="s">
        <v>936</v>
      </c>
      <c r="B1346" s="81" t="s">
        <v>66</v>
      </c>
      <c r="C1346" s="18"/>
      <c r="D1346" s="21">
        <v>-2.0000000000000004E-2</v>
      </c>
      <c r="E1346" s="21">
        <v>-2.0000000000000004E-2</v>
      </c>
      <c r="F1346" s="21">
        <v>-2.0000000000000011E-2</v>
      </c>
      <c r="G1346" s="21">
        <v>-2.0000000000000004E-2</v>
      </c>
      <c r="H1346" s="21">
        <v>-2.0000000000000004E-2</v>
      </c>
      <c r="I1346" s="21">
        <v>-2.0000000000000004E-2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18"/>
      <c r="Q1346" s="82">
        <f t="shared" si="29"/>
        <v>-2.2979151295169123E-9</v>
      </c>
      <c r="R1346" s="14">
        <v>0</v>
      </c>
      <c r="S1346" s="15">
        <v>0</v>
      </c>
      <c r="T1346" s="16">
        <v>0</v>
      </c>
    </row>
    <row r="1347" spans="1:20" ht="16" hidden="1">
      <c r="A1347" s="80" t="s">
        <v>482</v>
      </c>
      <c r="B1347" s="81" t="s">
        <v>76</v>
      </c>
      <c r="C1347" s="18"/>
      <c r="D1347" s="21">
        <v>-2.0000000000000011E-2</v>
      </c>
      <c r="E1347" s="21">
        <v>-2.0000000000000018E-2</v>
      </c>
      <c r="F1347" s="21">
        <v>-2.0000000000000018E-2</v>
      </c>
      <c r="G1347" s="21">
        <v>-2.0000000000000018E-2</v>
      </c>
      <c r="H1347" s="21">
        <v>-2.0000000000000011E-2</v>
      </c>
      <c r="I1347" s="21">
        <v>-2.0000000000000018E-2</v>
      </c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>
        <v>0</v>
      </c>
      <c r="P1347" s="18"/>
      <c r="Q1347" s="82">
        <f t="shared" ref="Q1347:Q1410" si="30">IFERROR(I1347/$I$4," ")</f>
        <v>-2.297915129516914E-9</v>
      </c>
      <c r="R1347" s="14">
        <v>0</v>
      </c>
      <c r="S1347" s="15">
        <v>0</v>
      </c>
      <c r="T1347" s="16">
        <v>1.9400907733287147E-7</v>
      </c>
    </row>
    <row r="1348" spans="1:20" ht="16" hidden="1">
      <c r="A1348" s="80" t="s">
        <v>920</v>
      </c>
      <c r="B1348" s="81" t="s">
        <v>60</v>
      </c>
      <c r="C1348" s="18"/>
      <c r="D1348" s="21">
        <v>191165.34</v>
      </c>
      <c r="E1348" s="21">
        <v>191165.34</v>
      </c>
      <c r="F1348" s="21">
        <v>191165.34</v>
      </c>
      <c r="G1348" s="21">
        <v>191165.34</v>
      </c>
      <c r="H1348" s="21">
        <v>-2.0000000000000018E-2</v>
      </c>
      <c r="I1348" s="21">
        <v>-2.0000000000000018E-2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</v>
      </c>
      <c r="P1348" s="18"/>
      <c r="Q1348" s="82">
        <f t="shared" si="30"/>
        <v>-2.297915129516914E-9</v>
      </c>
      <c r="R1348" s="14">
        <v>0</v>
      </c>
      <c r="S1348" s="15">
        <v>0</v>
      </c>
      <c r="T1348" s="16">
        <v>3.2316059819370253E-10</v>
      </c>
    </row>
    <row r="1349" spans="1:20" ht="16" hidden="1">
      <c r="A1349" s="80" t="s">
        <v>208</v>
      </c>
      <c r="B1349" s="81" t="s">
        <v>62</v>
      </c>
      <c r="C1349" s="18"/>
      <c r="D1349" s="21">
        <v>8862.75</v>
      </c>
      <c r="E1349" s="21">
        <v>13500.03</v>
      </c>
      <c r="F1349" s="21">
        <v>0.04</v>
      </c>
      <c r="G1349" s="21">
        <v>5.000000000000001E-2</v>
      </c>
      <c r="H1349" s="21">
        <v>6.0000000000000019E-2</v>
      </c>
      <c r="I1349" s="21">
        <v>-2.999999999999995E-2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18"/>
      <c r="Q1349" s="82">
        <f t="shared" si="30"/>
        <v>-3.4468726942753619E-9</v>
      </c>
      <c r="R1349" s="14">
        <v>-1.0000000000005116E-2</v>
      </c>
      <c r="S1349" s="15">
        <v>-1.1111111111116796E-4</v>
      </c>
      <c r="T1349" s="16">
        <v>1.4540611115725647E-6</v>
      </c>
    </row>
    <row r="1350" spans="1:20" ht="16" hidden="1">
      <c r="A1350" s="80" t="s">
        <v>541</v>
      </c>
      <c r="B1350" s="81" t="s">
        <v>62</v>
      </c>
      <c r="C1350" s="18"/>
      <c r="D1350" s="21">
        <v>-2.9999999999999992E-2</v>
      </c>
      <c r="E1350" s="21">
        <v>-3.0000000000000009E-2</v>
      </c>
      <c r="F1350" s="21">
        <v>-3.0000000000000006E-2</v>
      </c>
      <c r="G1350" s="21">
        <v>-2.9999999999999992E-2</v>
      </c>
      <c r="H1350" s="21">
        <v>-2.9999999999999992E-2</v>
      </c>
      <c r="I1350" s="21">
        <v>-2.9999999999999992E-2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18"/>
      <c r="Q1350" s="82">
        <f t="shared" si="30"/>
        <v>-3.4468726942753668E-9</v>
      </c>
      <c r="R1350" s="14">
        <v>2.9999999999745341E-2</v>
      </c>
      <c r="S1350" s="15">
        <v>6.4855329378048909E-6</v>
      </c>
      <c r="T1350" s="16">
        <v>7.4742360533529636E-5</v>
      </c>
    </row>
    <row r="1351" spans="1:20" ht="16" hidden="1">
      <c r="A1351" s="80" t="s">
        <v>73</v>
      </c>
      <c r="B1351" s="81" t="s">
        <v>62</v>
      </c>
      <c r="C1351" s="18"/>
      <c r="D1351" s="21">
        <v>-0.03</v>
      </c>
      <c r="E1351" s="21">
        <v>-2.9999999999999971E-2</v>
      </c>
      <c r="F1351" s="21">
        <v>-3.0000000000000006E-2</v>
      </c>
      <c r="G1351" s="21">
        <v>-3.0000000000000013E-2</v>
      </c>
      <c r="H1351" s="21">
        <v>-0.03</v>
      </c>
      <c r="I1351" s="21">
        <v>-3.0000000000000006E-2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18"/>
      <c r="Q1351" s="82">
        <f t="shared" si="30"/>
        <v>-3.4468726942753681E-9</v>
      </c>
      <c r="R1351" s="14">
        <v>-28171.33</v>
      </c>
      <c r="S1351" s="15">
        <v>-1.0000007099421362</v>
      </c>
      <c r="T1351" s="16">
        <v>-3.2316059819370259E-10</v>
      </c>
    </row>
    <row r="1352" spans="1:20" ht="16" hidden="1">
      <c r="A1352" s="80" t="s">
        <v>493</v>
      </c>
      <c r="B1352" s="81" t="s">
        <v>66</v>
      </c>
      <c r="C1352" s="18"/>
      <c r="D1352" s="21">
        <v>-3.0000000000000006E-2</v>
      </c>
      <c r="E1352" s="21">
        <v>-3.0000000000000006E-2</v>
      </c>
      <c r="F1352" s="21">
        <v>-3.0000000000000006E-2</v>
      </c>
      <c r="G1352" s="21">
        <v>-3.0000000000000006E-2</v>
      </c>
      <c r="H1352" s="21">
        <v>-3.0000000000000006E-2</v>
      </c>
      <c r="I1352" s="21">
        <v>-3.0000000000000006E-2</v>
      </c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>
        <v>0</v>
      </c>
      <c r="P1352" s="18"/>
      <c r="Q1352" s="82">
        <f t="shared" si="30"/>
        <v>-3.4468726942753681E-9</v>
      </c>
      <c r="R1352" s="14">
        <v>0</v>
      </c>
      <c r="S1352" s="15">
        <v>0</v>
      </c>
      <c r="T1352" s="16">
        <v>0</v>
      </c>
    </row>
    <row r="1353" spans="1:20" ht="16" hidden="1">
      <c r="A1353" s="80" t="s">
        <v>671</v>
      </c>
      <c r="B1353" s="81" t="s">
        <v>78</v>
      </c>
      <c r="C1353" s="18"/>
      <c r="D1353" s="21">
        <v>-3.0000000000000006E-2</v>
      </c>
      <c r="E1353" s="21">
        <v>-3.0000000000000006E-2</v>
      </c>
      <c r="F1353" s="21">
        <v>-0.03</v>
      </c>
      <c r="G1353" s="21">
        <v>-3.0000000000000006E-2</v>
      </c>
      <c r="H1353" s="21">
        <v>-3.0000000000000006E-2</v>
      </c>
      <c r="I1353" s="21">
        <v>-3.0000000000000006E-2</v>
      </c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>
        <v>0</v>
      </c>
      <c r="P1353" s="18"/>
      <c r="Q1353" s="82">
        <f t="shared" si="30"/>
        <v>-3.4468726942753681E-9</v>
      </c>
      <c r="R1353" s="14">
        <v>0</v>
      </c>
      <c r="S1353" s="15">
        <v>0</v>
      </c>
      <c r="T1353" s="16">
        <v>0</v>
      </c>
    </row>
    <row r="1354" spans="1:20" ht="16" hidden="1">
      <c r="A1354" s="80" t="s">
        <v>386</v>
      </c>
      <c r="B1354" s="81" t="s">
        <v>85</v>
      </c>
      <c r="C1354" s="18"/>
      <c r="D1354" s="21">
        <v>-0.03</v>
      </c>
      <c r="E1354" s="21">
        <v>-0.03</v>
      </c>
      <c r="F1354" s="21">
        <v>-0.03</v>
      </c>
      <c r="G1354" s="21">
        <v>-0.03</v>
      </c>
      <c r="H1354" s="21">
        <v>46074.55</v>
      </c>
      <c r="I1354" s="21">
        <v>-0.04</v>
      </c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>
        <v>0</v>
      </c>
      <c r="P1354" s="18"/>
      <c r="Q1354" s="82">
        <f t="shared" si="30"/>
        <v>-4.5958302590338238E-9</v>
      </c>
      <c r="R1354" s="14">
        <v>0</v>
      </c>
      <c r="S1354" s="15">
        <v>0</v>
      </c>
      <c r="T1354" s="16">
        <v>0</v>
      </c>
    </row>
    <row r="1355" spans="1:20" ht="16">
      <c r="A1355" s="80" t="s">
        <v>587</v>
      </c>
      <c r="B1355" s="81" t="s">
        <v>67</v>
      </c>
      <c r="C1355" s="18"/>
      <c r="D1355" s="21">
        <v>-0.04</v>
      </c>
      <c r="E1355" s="21">
        <v>-0.04</v>
      </c>
      <c r="F1355" s="21">
        <v>-0.04</v>
      </c>
      <c r="G1355" s="21">
        <v>-0.04</v>
      </c>
      <c r="H1355" s="21">
        <v>-0.04</v>
      </c>
      <c r="I1355" s="21">
        <v>-0.04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18"/>
      <c r="Q1355" s="82">
        <f t="shared" si="30"/>
        <v>-4.5958302590338238E-9</v>
      </c>
      <c r="R1355" s="14">
        <v>0</v>
      </c>
      <c r="S1355" s="15">
        <v>0</v>
      </c>
      <c r="T1355" s="16">
        <v>-1.2764843628651254E-8</v>
      </c>
    </row>
    <row r="1356" spans="1:20" ht="16" hidden="1">
      <c r="A1356" s="80" t="s">
        <v>1035</v>
      </c>
      <c r="B1356" s="81" t="s">
        <v>89</v>
      </c>
      <c r="C1356" s="18"/>
      <c r="D1356" s="21">
        <v>-0.04</v>
      </c>
      <c r="E1356" s="21">
        <v>-0.04</v>
      </c>
      <c r="F1356" s="21">
        <v>-0.04</v>
      </c>
      <c r="G1356" s="21">
        <v>-0.04</v>
      </c>
      <c r="H1356" s="21">
        <v>-0.04</v>
      </c>
      <c r="I1356" s="21">
        <v>-0.04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18"/>
      <c r="Q1356" s="82">
        <f t="shared" si="30"/>
        <v>-4.5958302590338238E-9</v>
      </c>
      <c r="R1356" s="14">
        <v>0</v>
      </c>
      <c r="S1356" s="15">
        <v>0</v>
      </c>
      <c r="T1356" s="16">
        <v>1.6158029909685129E-10</v>
      </c>
    </row>
    <row r="1357" spans="1:20" ht="16" hidden="1">
      <c r="A1357" s="80" t="s">
        <v>137</v>
      </c>
      <c r="B1357" s="81" t="s">
        <v>85</v>
      </c>
      <c r="C1357" s="18"/>
      <c r="D1357" s="21">
        <v>-4.9999999999999885E-2</v>
      </c>
      <c r="E1357" s="21">
        <v>-4.9999999999999975E-2</v>
      </c>
      <c r="F1357" s="21">
        <v>-4.9999999999999975E-2</v>
      </c>
      <c r="G1357" s="21">
        <v>-4.9999999999999975E-2</v>
      </c>
      <c r="H1357" s="21">
        <v>-4.9999999999999975E-2</v>
      </c>
      <c r="I1357" s="21">
        <v>-4.9999999999999975E-2</v>
      </c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>
        <v>0</v>
      </c>
      <c r="P1357" s="18"/>
      <c r="Q1357" s="82">
        <f t="shared" si="30"/>
        <v>-5.7447878237922767E-9</v>
      </c>
      <c r="R1357" s="14">
        <v>0</v>
      </c>
      <c r="S1357" s="15">
        <v>0</v>
      </c>
      <c r="T1357" s="16">
        <v>0</v>
      </c>
    </row>
    <row r="1358" spans="1:20" ht="16" hidden="1">
      <c r="A1358" s="80" t="s">
        <v>484</v>
      </c>
      <c r="B1358" s="81" t="s">
        <v>60</v>
      </c>
      <c r="C1358" s="18"/>
      <c r="D1358" s="21">
        <v>0</v>
      </c>
      <c r="E1358" s="21">
        <v>0</v>
      </c>
      <c r="F1358" s="21">
        <v>0</v>
      </c>
      <c r="G1358" s="21">
        <v>0</v>
      </c>
      <c r="H1358" s="21">
        <v>0</v>
      </c>
      <c r="I1358" s="21">
        <v>-0.05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0</v>
      </c>
      <c r="P1358" s="18"/>
      <c r="Q1358" s="82">
        <f t="shared" si="30"/>
        <v>-5.74478782379228E-9</v>
      </c>
      <c r="R1358" s="14">
        <v>0</v>
      </c>
      <c r="S1358" s="15">
        <v>0</v>
      </c>
      <c r="T1358" s="16">
        <v>0</v>
      </c>
    </row>
    <row r="1359" spans="1:20" ht="16" hidden="1">
      <c r="A1359" s="80" t="s">
        <v>759</v>
      </c>
      <c r="B1359" s="81" t="s">
        <v>85</v>
      </c>
      <c r="C1359" s="18"/>
      <c r="D1359" s="21">
        <v>-0.05</v>
      </c>
      <c r="E1359" s="21">
        <v>-0.05</v>
      </c>
      <c r="F1359" s="21">
        <v>-0.05</v>
      </c>
      <c r="G1359" s="21">
        <v>-0.05</v>
      </c>
      <c r="H1359" s="21">
        <v>-0.05</v>
      </c>
      <c r="I1359" s="21">
        <v>-0.05</v>
      </c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>
        <v>0</v>
      </c>
      <c r="P1359" s="18"/>
      <c r="Q1359" s="82">
        <f t="shared" si="30"/>
        <v>-5.74478782379228E-9</v>
      </c>
      <c r="R1359" s="14">
        <v>1.0000000000000009E-2</v>
      </c>
      <c r="S1359" s="15">
        <v>9.0909090909091009E-3</v>
      </c>
      <c r="T1359" s="16">
        <v>1.7935413199750493E-8</v>
      </c>
    </row>
    <row r="1360" spans="1:20" ht="16" hidden="1">
      <c r="A1360" s="80" t="s">
        <v>311</v>
      </c>
      <c r="B1360" s="81" t="s">
        <v>66</v>
      </c>
      <c r="C1360" s="18"/>
      <c r="D1360" s="21">
        <v>-7.0000000000000007E-2</v>
      </c>
      <c r="E1360" s="21">
        <v>-7.0000000000000007E-2</v>
      </c>
      <c r="F1360" s="21">
        <v>-7.0000000000000007E-2</v>
      </c>
      <c r="G1360" s="21">
        <v>-7.0000000000000007E-2</v>
      </c>
      <c r="H1360" s="21">
        <v>-7.0000000000000007E-2</v>
      </c>
      <c r="I1360" s="21">
        <v>-7.0000000000000007E-2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18"/>
      <c r="Q1360" s="82">
        <f t="shared" si="30"/>
        <v>-8.0427029533091923E-9</v>
      </c>
      <c r="R1360" s="14">
        <v>7.6327832942979512E-17</v>
      </c>
      <c r="S1360" s="15">
        <v>1.2431850569731343E-15</v>
      </c>
      <c r="T1360" s="16">
        <v>9.9205456236493889E-10</v>
      </c>
    </row>
    <row r="1361" spans="1:20" ht="16">
      <c r="A1361" s="80" t="s">
        <v>73</v>
      </c>
      <c r="B1361" s="81" t="s">
        <v>67</v>
      </c>
      <c r="C1361" s="18"/>
      <c r="D1361" s="21">
        <v>793.9699999999998</v>
      </c>
      <c r="E1361" s="21">
        <v>793.9699999999998</v>
      </c>
      <c r="F1361" s="21">
        <v>-0.08</v>
      </c>
      <c r="G1361" s="21">
        <v>-0.08</v>
      </c>
      <c r="H1361" s="21">
        <v>-0.08</v>
      </c>
      <c r="I1361" s="21">
        <v>-0.08</v>
      </c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>
        <v>0</v>
      </c>
      <c r="P1361" s="18"/>
      <c r="Q1361" s="82">
        <f t="shared" si="30"/>
        <v>-9.1916605180676477E-9</v>
      </c>
      <c r="R1361" s="14">
        <v>0</v>
      </c>
      <c r="S1361" s="15">
        <v>0</v>
      </c>
      <c r="T1361" s="16">
        <v>0</v>
      </c>
    </row>
    <row r="1362" spans="1:20" ht="16" hidden="1">
      <c r="A1362" s="80" t="s">
        <v>824</v>
      </c>
      <c r="B1362" s="81" t="s">
        <v>62</v>
      </c>
      <c r="C1362" s="18"/>
      <c r="D1362" s="21">
        <v>-0.08</v>
      </c>
      <c r="E1362" s="21">
        <v>-0.08</v>
      </c>
      <c r="F1362" s="21">
        <v>-0.08</v>
      </c>
      <c r="G1362" s="21">
        <v>-0.08</v>
      </c>
      <c r="H1362" s="21">
        <v>-0.08</v>
      </c>
      <c r="I1362" s="21">
        <v>-0.08</v>
      </c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>
        <v>0</v>
      </c>
      <c r="P1362" s="18"/>
      <c r="Q1362" s="82">
        <f t="shared" si="30"/>
        <v>-9.1916605180676477E-9</v>
      </c>
      <c r="R1362" s="14">
        <v>0</v>
      </c>
      <c r="S1362" s="15">
        <v>0</v>
      </c>
      <c r="T1362" s="16">
        <v>9.1732690563862612E-5</v>
      </c>
    </row>
    <row r="1363" spans="1:20" ht="16" hidden="1">
      <c r="A1363" s="80" t="s">
        <v>990</v>
      </c>
      <c r="B1363" s="81" t="s">
        <v>66</v>
      </c>
      <c r="C1363" s="18"/>
      <c r="D1363" s="21">
        <v>2176.2999999999965</v>
      </c>
      <c r="E1363" s="21">
        <v>2176.2999999999965</v>
      </c>
      <c r="F1363" s="21">
        <v>-0.09</v>
      </c>
      <c r="G1363" s="21">
        <v>-0.09</v>
      </c>
      <c r="H1363" s="21">
        <v>-0.09</v>
      </c>
      <c r="I1363" s="21">
        <v>-0.09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18"/>
      <c r="Q1363" s="82">
        <f t="shared" si="30"/>
        <v>-1.0340618082826103E-8</v>
      </c>
      <c r="R1363" s="14">
        <v>0</v>
      </c>
      <c r="S1363" s="15">
        <v>0</v>
      </c>
      <c r="T1363" s="16">
        <v>2.5254772142689448E-23</v>
      </c>
    </row>
    <row r="1364" spans="1:20" ht="16">
      <c r="A1364" s="80" t="s">
        <v>630</v>
      </c>
      <c r="B1364" s="81" t="s">
        <v>67</v>
      </c>
      <c r="C1364" s="18"/>
      <c r="D1364" s="21">
        <v>-9.9999999999999811E-2</v>
      </c>
      <c r="E1364" s="21">
        <v>-9.9999999999999978E-2</v>
      </c>
      <c r="F1364" s="21">
        <v>-9.99999999999997E-2</v>
      </c>
      <c r="G1364" s="21">
        <v>-9.9999999999999978E-2</v>
      </c>
      <c r="H1364" s="21">
        <v>-9.9999999999999853E-2</v>
      </c>
      <c r="I1364" s="21">
        <v>-9.9999999999999784E-2</v>
      </c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>
        <v>0</v>
      </c>
      <c r="P1364" s="18"/>
      <c r="Q1364" s="82">
        <f t="shared" si="30"/>
        <v>-1.1489575647584534E-8</v>
      </c>
      <c r="R1364" s="14">
        <v>0</v>
      </c>
      <c r="S1364" s="15">
        <v>0</v>
      </c>
      <c r="T1364" s="16">
        <v>0</v>
      </c>
    </row>
    <row r="1365" spans="1:20" ht="16" hidden="1">
      <c r="A1365" s="80" t="s">
        <v>320</v>
      </c>
      <c r="B1365" s="81" t="s">
        <v>76</v>
      </c>
      <c r="C1365" s="18"/>
      <c r="D1365" s="21">
        <v>-0.1</v>
      </c>
      <c r="E1365" s="21">
        <v>-0.1</v>
      </c>
      <c r="F1365" s="21">
        <v>-0.1</v>
      </c>
      <c r="G1365" s="21">
        <v>-0.1</v>
      </c>
      <c r="H1365" s="21">
        <v>-0.1</v>
      </c>
      <c r="I1365" s="21">
        <v>-0.1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0</v>
      </c>
      <c r="P1365" s="18"/>
      <c r="Q1365" s="82">
        <f t="shared" si="30"/>
        <v>-1.148957564758456E-8</v>
      </c>
      <c r="R1365" s="14">
        <v>0</v>
      </c>
      <c r="S1365" s="15">
        <v>0</v>
      </c>
      <c r="T1365" s="16">
        <v>0</v>
      </c>
    </row>
    <row r="1366" spans="1:20" ht="16">
      <c r="A1366" s="80" t="s">
        <v>375</v>
      </c>
      <c r="B1366" s="81" t="s">
        <v>67</v>
      </c>
      <c r="C1366" s="18"/>
      <c r="D1366" s="21">
        <v>-0.10999999999999999</v>
      </c>
      <c r="E1366" s="21">
        <v>-0.10999999999999999</v>
      </c>
      <c r="F1366" s="21">
        <v>-0.10999999999999999</v>
      </c>
      <c r="G1366" s="21">
        <v>-0.10999999999999999</v>
      </c>
      <c r="H1366" s="21">
        <v>-0.10999999999999999</v>
      </c>
      <c r="I1366" s="21">
        <v>-0.10999999999999999</v>
      </c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>
        <v>0</v>
      </c>
      <c r="P1366" s="18"/>
      <c r="Q1366" s="82">
        <f t="shared" si="30"/>
        <v>-1.2638533212343014E-8</v>
      </c>
      <c r="R1366" s="14">
        <v>-9350.7999999999884</v>
      </c>
      <c r="S1366" s="15">
        <v>-3.6956221887514844E-2</v>
      </c>
      <c r="T1366" s="16">
        <v>3.9372740063797138E-3</v>
      </c>
    </row>
    <row r="1367" spans="1:20" ht="16" hidden="1">
      <c r="A1367" s="80" t="s">
        <v>1118</v>
      </c>
      <c r="B1367" s="81" t="s">
        <v>76</v>
      </c>
      <c r="C1367" s="18"/>
      <c r="D1367" s="21">
        <v>-0.13999999999999999</v>
      </c>
      <c r="E1367" s="21">
        <v>-0.14000000000000001</v>
      </c>
      <c r="F1367" s="21">
        <v>-0.14000000000000001</v>
      </c>
      <c r="G1367" s="21">
        <v>-0.14000000000000001</v>
      </c>
      <c r="H1367" s="21">
        <v>-0.14000000000000001</v>
      </c>
      <c r="I1367" s="21">
        <v>-0.13999999999999999</v>
      </c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>
        <v>0</v>
      </c>
      <c r="P1367" s="18"/>
      <c r="Q1367" s="82">
        <f t="shared" si="30"/>
        <v>-1.6085405906618381E-8</v>
      </c>
      <c r="R1367" s="14">
        <v>0</v>
      </c>
      <c r="S1367" s="15">
        <v>0</v>
      </c>
      <c r="T1367" s="16">
        <v>0</v>
      </c>
    </row>
    <row r="1368" spans="1:20" ht="16" hidden="1">
      <c r="A1368" s="80" t="s">
        <v>546</v>
      </c>
      <c r="B1368" s="81" t="s">
        <v>162</v>
      </c>
      <c r="C1368" s="18"/>
      <c r="D1368" s="21">
        <v>-0.14000000000000004</v>
      </c>
      <c r="E1368" s="21">
        <v>-0.14000000000000001</v>
      </c>
      <c r="F1368" s="21">
        <v>-0.14000000000000001</v>
      </c>
      <c r="G1368" s="21">
        <v>-0.14000000000000001</v>
      </c>
      <c r="H1368" s="21">
        <v>-0.13999999999999999</v>
      </c>
      <c r="I1368" s="21">
        <v>-0.14000000000000001</v>
      </c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>
        <v>0</v>
      </c>
      <c r="P1368" s="18"/>
      <c r="Q1368" s="82">
        <f t="shared" si="30"/>
        <v>-1.6085405906618385E-8</v>
      </c>
      <c r="R1368" s="14">
        <v>9999.99</v>
      </c>
      <c r="S1368" s="15">
        <v>0</v>
      </c>
      <c r="T1368" s="16">
        <v>1.6158013751655219E-4</v>
      </c>
    </row>
    <row r="1369" spans="1:20" ht="16" hidden="1">
      <c r="A1369" s="80" t="s">
        <v>73</v>
      </c>
      <c r="B1369" s="81" t="s">
        <v>66</v>
      </c>
      <c r="C1369" s="18"/>
      <c r="D1369" s="21">
        <v>-0.15999999999999998</v>
      </c>
      <c r="E1369" s="21">
        <v>-0.15999999999999998</v>
      </c>
      <c r="F1369" s="21">
        <v>-0.15999999999999998</v>
      </c>
      <c r="G1369" s="21">
        <v>-0.15999999999999998</v>
      </c>
      <c r="H1369" s="21">
        <v>-0.15999999999999998</v>
      </c>
      <c r="I1369" s="21">
        <v>-0.15999999999999998</v>
      </c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>
        <v>0</v>
      </c>
      <c r="P1369" s="18"/>
      <c r="Q1369" s="82">
        <f t="shared" si="30"/>
        <v>-1.8383321036135292E-8</v>
      </c>
      <c r="R1369" s="14">
        <v>0</v>
      </c>
      <c r="S1369" s="15">
        <v>0</v>
      </c>
      <c r="T1369" s="16">
        <v>0</v>
      </c>
    </row>
    <row r="1370" spans="1:20" ht="16" hidden="1">
      <c r="A1370" s="80" t="s">
        <v>365</v>
      </c>
      <c r="B1370" s="81" t="s">
        <v>76</v>
      </c>
      <c r="C1370" s="18"/>
      <c r="D1370" s="21">
        <v>0</v>
      </c>
      <c r="E1370" s="21">
        <v>-0.14000000000000001</v>
      </c>
      <c r="F1370" s="21">
        <v>-0.14000000000000001</v>
      </c>
      <c r="G1370" s="21">
        <v>-0.14000000000000001</v>
      </c>
      <c r="H1370" s="21">
        <v>-0.14000000000000004</v>
      </c>
      <c r="I1370" s="21">
        <v>-0.16</v>
      </c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>
        <v>0</v>
      </c>
      <c r="P1370" s="18"/>
      <c r="Q1370" s="82">
        <f t="shared" si="30"/>
        <v>-1.8383321036135295E-8</v>
      </c>
      <c r="R1370" s="14">
        <v>-3695.1199999999953</v>
      </c>
      <c r="S1370" s="15">
        <v>-1.3278906557985592E-2</v>
      </c>
      <c r="T1370" s="16">
        <v>4.4365875076852147E-3</v>
      </c>
    </row>
    <row r="1371" spans="1:20" ht="16" hidden="1">
      <c r="A1371" s="80" t="s">
        <v>1154</v>
      </c>
      <c r="B1371" s="81" t="s">
        <v>145</v>
      </c>
      <c r="C1371" s="18"/>
      <c r="D1371" s="21">
        <v>-0.16999999999999998</v>
      </c>
      <c r="E1371" s="21">
        <v>-0.16999999999999998</v>
      </c>
      <c r="F1371" s="21">
        <v>-0.16999999999999998</v>
      </c>
      <c r="G1371" s="21">
        <v>-0.16999999999999998</v>
      </c>
      <c r="H1371" s="21">
        <v>-0.16999999999999998</v>
      </c>
      <c r="I1371" s="21">
        <v>-0.16999999999999998</v>
      </c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>
        <v>0</v>
      </c>
      <c r="P1371" s="18"/>
      <c r="Q1371" s="82">
        <f t="shared" si="30"/>
        <v>-1.9532278600893747E-8</v>
      </c>
      <c r="R1371" s="14">
        <v>0</v>
      </c>
      <c r="S1371" s="15">
        <v>0</v>
      </c>
      <c r="T1371" s="16">
        <v>0</v>
      </c>
    </row>
    <row r="1372" spans="1:20" ht="16" hidden="1">
      <c r="A1372" s="80" t="s">
        <v>75</v>
      </c>
      <c r="B1372" s="81" t="s">
        <v>76</v>
      </c>
      <c r="C1372" s="18"/>
      <c r="D1372" s="21">
        <v>-0.17000000000000004</v>
      </c>
      <c r="E1372" s="21">
        <v>-0.17000000000000004</v>
      </c>
      <c r="F1372" s="21">
        <v>-0.17000000000000004</v>
      </c>
      <c r="G1372" s="21">
        <v>-0.17000000000000004</v>
      </c>
      <c r="H1372" s="21">
        <v>-0.17</v>
      </c>
      <c r="I1372" s="21">
        <v>-0.17000000000000004</v>
      </c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>
        <v>0</v>
      </c>
      <c r="P1372" s="18"/>
      <c r="Q1372" s="82">
        <f t="shared" si="30"/>
        <v>-1.9532278600893754E-8</v>
      </c>
      <c r="R1372" s="14">
        <v>0</v>
      </c>
      <c r="S1372" s="15">
        <v>0</v>
      </c>
      <c r="T1372" s="16">
        <v>0</v>
      </c>
    </row>
    <row r="1373" spans="1:20" ht="16" hidden="1">
      <c r="A1373" s="80" t="s">
        <v>1028</v>
      </c>
      <c r="B1373" s="81" t="s">
        <v>66</v>
      </c>
      <c r="C1373" s="18"/>
      <c r="D1373" s="21">
        <v>-0.22000000000000008</v>
      </c>
      <c r="E1373" s="21">
        <v>-0.22000000000000003</v>
      </c>
      <c r="F1373" s="21">
        <v>-0.22000000000000006</v>
      </c>
      <c r="G1373" s="21">
        <v>-0.22000000000000008</v>
      </c>
      <c r="H1373" s="21">
        <v>-0.22000000000000006</v>
      </c>
      <c r="I1373" s="21">
        <v>-0.23000000000000004</v>
      </c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>
        <v>0</v>
      </c>
      <c r="P1373" s="18"/>
      <c r="Q1373" s="82">
        <f t="shared" si="30"/>
        <v>-2.6426023989444489E-8</v>
      </c>
      <c r="R1373" s="14">
        <v>281.74</v>
      </c>
      <c r="S1373" s="15">
        <v>7.2501286670097791</v>
      </c>
      <c r="T1373" s="16">
        <v>5.1802643890450533E-6</v>
      </c>
    </row>
    <row r="1374" spans="1:20" ht="16" hidden="1">
      <c r="A1374" s="80" t="s">
        <v>684</v>
      </c>
      <c r="B1374" s="81" t="s">
        <v>76</v>
      </c>
      <c r="C1374" s="18"/>
      <c r="D1374" s="21">
        <v>0</v>
      </c>
      <c r="E1374" s="21">
        <v>31133.34</v>
      </c>
      <c r="F1374" s="21">
        <v>172414</v>
      </c>
      <c r="G1374" s="21">
        <v>60000.24</v>
      </c>
      <c r="H1374" s="21">
        <v>-0.24</v>
      </c>
      <c r="I1374" s="21">
        <v>-0.24</v>
      </c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>
        <v>0</v>
      </c>
      <c r="P1374" s="18"/>
      <c r="Q1374" s="82">
        <f t="shared" si="30"/>
        <v>-2.7574981554202941E-8</v>
      </c>
      <c r="R1374" s="14">
        <v>13985</v>
      </c>
      <c r="S1374" s="15">
        <v>0.59831436639000601</v>
      </c>
      <c r="T1374" s="16">
        <v>6.0364783939592681E-4</v>
      </c>
    </row>
    <row r="1375" spans="1:20" ht="16" hidden="1">
      <c r="A1375" s="80" t="s">
        <v>710</v>
      </c>
      <c r="B1375" s="81" t="s">
        <v>62</v>
      </c>
      <c r="C1375" s="18"/>
      <c r="D1375" s="21">
        <v>-0.24</v>
      </c>
      <c r="E1375" s="21">
        <v>-0.24</v>
      </c>
      <c r="F1375" s="21">
        <v>-0.24</v>
      </c>
      <c r="G1375" s="21">
        <v>-0.24</v>
      </c>
      <c r="H1375" s="21">
        <v>-0.24</v>
      </c>
      <c r="I1375" s="21">
        <v>-0.24</v>
      </c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>
        <v>0</v>
      </c>
      <c r="P1375" s="18"/>
      <c r="Q1375" s="82">
        <f t="shared" si="30"/>
        <v>-2.7574981554202941E-8</v>
      </c>
      <c r="R1375" s="14">
        <v>0</v>
      </c>
      <c r="S1375" s="15">
        <v>0</v>
      </c>
      <c r="T1375" s="16">
        <v>9.503113746812699E-3</v>
      </c>
    </row>
    <row r="1376" spans="1:20" ht="16">
      <c r="A1376" s="80" t="s">
        <v>1119</v>
      </c>
      <c r="B1376" s="81" t="s">
        <v>67</v>
      </c>
      <c r="C1376" s="18"/>
      <c r="D1376" s="21">
        <v>-0.33000000000000007</v>
      </c>
      <c r="E1376" s="21">
        <v>-0.33000000000000007</v>
      </c>
      <c r="F1376" s="21">
        <v>-0.33000000000000007</v>
      </c>
      <c r="G1376" s="21">
        <v>-0.33000000000000007</v>
      </c>
      <c r="H1376" s="21">
        <v>-0.33000000000000013</v>
      </c>
      <c r="I1376" s="21">
        <v>-0.33000000000000013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0</v>
      </c>
      <c r="P1376" s="18"/>
      <c r="Q1376" s="82">
        <f t="shared" si="30"/>
        <v>-3.7915599637029056E-8</v>
      </c>
      <c r="R1376" s="14">
        <v>0</v>
      </c>
      <c r="S1376" s="15">
        <v>0</v>
      </c>
      <c r="T1376" s="16">
        <v>1.6158029909685127E-10</v>
      </c>
    </row>
    <row r="1377" spans="1:20" ht="16">
      <c r="A1377" s="80" t="s">
        <v>1214</v>
      </c>
      <c r="B1377" s="81" t="s">
        <v>67</v>
      </c>
      <c r="C1377" s="18"/>
      <c r="D1377" s="21">
        <v>-0.4</v>
      </c>
      <c r="E1377" s="21">
        <v>-0.4</v>
      </c>
      <c r="F1377" s="21">
        <v>-0.4</v>
      </c>
      <c r="G1377" s="21">
        <v>-0.4</v>
      </c>
      <c r="H1377" s="21">
        <v>-0.4</v>
      </c>
      <c r="I1377" s="21">
        <v>-0.37</v>
      </c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>
        <v>0</v>
      </c>
      <c r="P1377" s="18"/>
      <c r="Q1377" s="82">
        <f t="shared" si="30"/>
        <v>-4.2511429896062864E-8</v>
      </c>
      <c r="R1377" s="14">
        <v>0</v>
      </c>
      <c r="S1377" s="15">
        <v>0</v>
      </c>
      <c r="T1377" s="16">
        <v>1.615802990968513E-8</v>
      </c>
    </row>
    <row r="1378" spans="1:20" ht="16" hidden="1">
      <c r="A1378" s="80" t="s">
        <v>193</v>
      </c>
      <c r="B1378" s="81" t="s">
        <v>76</v>
      </c>
      <c r="C1378" s="18"/>
      <c r="D1378" s="21">
        <v>-0.37000000000000005</v>
      </c>
      <c r="E1378" s="21">
        <v>-0.37000000000000005</v>
      </c>
      <c r="F1378" s="21">
        <v>-0.37000000000000005</v>
      </c>
      <c r="G1378" s="21">
        <v>-0.37000000000000005</v>
      </c>
      <c r="H1378" s="21">
        <v>-0.37000000000000005</v>
      </c>
      <c r="I1378" s="21">
        <v>-0.37000000000000005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0</v>
      </c>
      <c r="P1378" s="18"/>
      <c r="Q1378" s="82">
        <f t="shared" si="30"/>
        <v>-4.2511429896062871E-8</v>
      </c>
      <c r="R1378" s="14">
        <v>0</v>
      </c>
      <c r="S1378" s="15">
        <v>0</v>
      </c>
      <c r="T1378" s="16">
        <v>1.6158029909685129E-10</v>
      </c>
    </row>
    <row r="1379" spans="1:20" ht="16" hidden="1">
      <c r="A1379" s="80" t="s">
        <v>889</v>
      </c>
      <c r="B1379" s="81" t="s">
        <v>76</v>
      </c>
      <c r="C1379" s="18"/>
      <c r="D1379" s="21">
        <v>-0.37999999999999989</v>
      </c>
      <c r="E1379" s="21">
        <v>-0.37999999999999989</v>
      </c>
      <c r="F1379" s="21">
        <v>-0.37999999999999989</v>
      </c>
      <c r="G1379" s="21">
        <v>-0.37999999999999989</v>
      </c>
      <c r="H1379" s="21">
        <v>-0.37999999999999989</v>
      </c>
      <c r="I1379" s="21">
        <v>-0.37999999999999989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</v>
      </c>
      <c r="P1379" s="18"/>
      <c r="Q1379" s="82">
        <f t="shared" si="30"/>
        <v>-4.366038746082131E-8</v>
      </c>
      <c r="R1379" s="14">
        <v>0</v>
      </c>
      <c r="S1379" s="15">
        <v>0</v>
      </c>
      <c r="T1379" s="16">
        <v>5.2022357549556461E-3</v>
      </c>
    </row>
    <row r="1380" spans="1:20" ht="16" hidden="1">
      <c r="A1380" s="80" t="s">
        <v>1233</v>
      </c>
      <c r="B1380" s="81" t="s">
        <v>78</v>
      </c>
      <c r="C1380" s="18"/>
      <c r="D1380" s="21">
        <v>0</v>
      </c>
      <c r="E1380" s="21">
        <v>6311.4500000000007</v>
      </c>
      <c r="F1380" s="21">
        <v>3749.61</v>
      </c>
      <c r="G1380" s="21">
        <v>-0.39</v>
      </c>
      <c r="H1380" s="21">
        <v>-0.39</v>
      </c>
      <c r="I1380" s="21">
        <v>-0.39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18"/>
      <c r="Q1380" s="82">
        <f t="shared" si="30"/>
        <v>-4.4809345025579781E-8</v>
      </c>
      <c r="R1380" s="14">
        <v>0</v>
      </c>
      <c r="S1380" s="15">
        <v>0</v>
      </c>
      <c r="T1380" s="16">
        <v>5.8168907674866486E-9</v>
      </c>
    </row>
    <row r="1381" spans="1:20" ht="16" hidden="1">
      <c r="A1381" s="80" t="s">
        <v>985</v>
      </c>
      <c r="B1381" s="81" t="s">
        <v>62</v>
      </c>
      <c r="C1381" s="18"/>
      <c r="D1381" s="21">
        <v>-0.41000000000000003</v>
      </c>
      <c r="E1381" s="21">
        <v>-0.40999999999999992</v>
      </c>
      <c r="F1381" s="21">
        <v>-0.41</v>
      </c>
      <c r="G1381" s="21">
        <v>-0.40999999999999992</v>
      </c>
      <c r="H1381" s="21">
        <v>-0.40999999999999992</v>
      </c>
      <c r="I1381" s="21">
        <v>-0.40999999999999992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0</v>
      </c>
      <c r="P1381" s="18"/>
      <c r="Q1381" s="82">
        <f t="shared" si="30"/>
        <v>-4.7107260155096679E-8</v>
      </c>
      <c r="R1381" s="14">
        <v>0</v>
      </c>
      <c r="S1381" s="15">
        <v>0</v>
      </c>
      <c r="T1381" s="16">
        <v>0</v>
      </c>
    </row>
    <row r="1382" spans="1:20" ht="16" hidden="1">
      <c r="A1382" s="80" t="s">
        <v>323</v>
      </c>
      <c r="B1382" s="81" t="s">
        <v>62</v>
      </c>
      <c r="C1382" s="18"/>
      <c r="D1382" s="21">
        <v>30022.660000000003</v>
      </c>
      <c r="E1382" s="21">
        <v>30022.66</v>
      </c>
      <c r="F1382" s="21">
        <v>27798.720000000008</v>
      </c>
      <c r="G1382" s="21">
        <v>27798.720000000001</v>
      </c>
      <c r="H1382" s="21">
        <v>27798.720000000001</v>
      </c>
      <c r="I1382" s="21">
        <v>-0.48000000000000004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18"/>
      <c r="Q1382" s="82">
        <f t="shared" si="30"/>
        <v>-5.5149963108405889E-8</v>
      </c>
      <c r="R1382" s="14">
        <v>0</v>
      </c>
      <c r="S1382" s="15">
        <v>0</v>
      </c>
      <c r="T1382" s="16">
        <v>6.2854736348675155E-8</v>
      </c>
    </row>
    <row r="1383" spans="1:20" ht="16" hidden="1">
      <c r="A1383" s="80" t="s">
        <v>803</v>
      </c>
      <c r="B1383" s="81" t="s">
        <v>62</v>
      </c>
      <c r="C1383" s="18"/>
      <c r="D1383" s="21">
        <v>-0.5</v>
      </c>
      <c r="E1383" s="21">
        <v>-0.5</v>
      </c>
      <c r="F1383" s="21">
        <v>-0.5</v>
      </c>
      <c r="G1383" s="21">
        <v>-0.5</v>
      </c>
      <c r="H1383" s="21">
        <v>-0.5</v>
      </c>
      <c r="I1383" s="21">
        <v>-0.5</v>
      </c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>
        <v>0</v>
      </c>
      <c r="P1383" s="18"/>
      <c r="Q1383" s="82">
        <f t="shared" si="30"/>
        <v>-5.7447878237922794E-8</v>
      </c>
      <c r="R1383" s="14">
        <v>0</v>
      </c>
      <c r="S1383" s="15">
        <v>0</v>
      </c>
      <c r="T1383" s="16">
        <v>4.8053980951403558E-7</v>
      </c>
    </row>
    <row r="1384" spans="1:20" ht="16" hidden="1">
      <c r="A1384" s="80" t="s">
        <v>905</v>
      </c>
      <c r="B1384" s="81" t="s">
        <v>76</v>
      </c>
      <c r="C1384" s="18"/>
      <c r="D1384" s="21">
        <v>-0.51000000000000023</v>
      </c>
      <c r="E1384" s="21">
        <v>-0.51000000000000023</v>
      </c>
      <c r="F1384" s="21">
        <v>-0.51000000000000012</v>
      </c>
      <c r="G1384" s="21">
        <v>-0.51000000000000012</v>
      </c>
      <c r="H1384" s="21">
        <v>-0.51</v>
      </c>
      <c r="I1384" s="21">
        <v>-0.51000000000000023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18"/>
      <c r="Q1384" s="82">
        <f t="shared" si="30"/>
        <v>-5.8596835802681279E-8</v>
      </c>
      <c r="R1384" s="14">
        <v>30248.619999999966</v>
      </c>
      <c r="S1384" s="15">
        <v>0.25194953283093802</v>
      </c>
      <c r="T1384" s="16">
        <v>2.4286629010911542E-3</v>
      </c>
    </row>
    <row r="1385" spans="1:20" ht="16" hidden="1">
      <c r="A1385" s="80" t="s">
        <v>812</v>
      </c>
      <c r="B1385" s="81" t="s">
        <v>85</v>
      </c>
      <c r="C1385" s="18"/>
      <c r="D1385" s="21">
        <v>-0.52999999999999936</v>
      </c>
      <c r="E1385" s="21">
        <v>-0.5299999999999998</v>
      </c>
      <c r="F1385" s="21">
        <v>-0.53000000000000014</v>
      </c>
      <c r="G1385" s="21">
        <v>-0.52999999999999969</v>
      </c>
      <c r="H1385" s="21">
        <v>-0.52999999999999881</v>
      </c>
      <c r="I1385" s="21">
        <v>-0.52999999999999969</v>
      </c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>
        <v>0</v>
      </c>
      <c r="P1385" s="18"/>
      <c r="Q1385" s="82">
        <f t="shared" si="30"/>
        <v>-6.0894750932198123E-8</v>
      </c>
      <c r="R1385" s="14">
        <v>0</v>
      </c>
      <c r="S1385" s="15">
        <v>0</v>
      </c>
      <c r="T1385" s="16">
        <v>0</v>
      </c>
    </row>
    <row r="1386" spans="1:20" ht="16" hidden="1">
      <c r="A1386" s="80" t="s">
        <v>829</v>
      </c>
      <c r="B1386" s="81" t="s">
        <v>62</v>
      </c>
      <c r="C1386" s="18"/>
      <c r="D1386" s="21">
        <v>-0.55999999999999994</v>
      </c>
      <c r="E1386" s="21">
        <v>-0.55999999999999994</v>
      </c>
      <c r="F1386" s="21">
        <v>-0.55999999999999994</v>
      </c>
      <c r="G1386" s="21">
        <v>-0.55999999999999994</v>
      </c>
      <c r="H1386" s="21">
        <v>-0.55999999999999994</v>
      </c>
      <c r="I1386" s="21">
        <v>-0.55999999999999994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18"/>
      <c r="Q1386" s="82">
        <f t="shared" si="30"/>
        <v>-6.4341623626473526E-8</v>
      </c>
      <c r="R1386" s="14">
        <v>0</v>
      </c>
      <c r="S1386" s="15">
        <v>0</v>
      </c>
      <c r="T1386" s="16">
        <v>0</v>
      </c>
    </row>
    <row r="1387" spans="1:20" ht="16">
      <c r="A1387" s="80" t="s">
        <v>913</v>
      </c>
      <c r="B1387" s="81" t="s">
        <v>67</v>
      </c>
      <c r="C1387" s="18"/>
      <c r="D1387" s="21">
        <v>-0.59000000000000008</v>
      </c>
      <c r="E1387" s="21">
        <v>-0.59000000000000008</v>
      </c>
      <c r="F1387" s="21">
        <v>-0.59000000000000008</v>
      </c>
      <c r="G1387" s="21">
        <v>-0.59000000000000008</v>
      </c>
      <c r="H1387" s="21">
        <v>-0.59000000000000008</v>
      </c>
      <c r="I1387" s="21">
        <v>-0.59000000000000008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18"/>
      <c r="Q1387" s="82">
        <f t="shared" si="30"/>
        <v>-6.7788496320748902E-8</v>
      </c>
      <c r="R1387" s="14">
        <v>34053.53</v>
      </c>
      <c r="S1387" s="15">
        <v>0.42400258284811554</v>
      </c>
      <c r="T1387" s="16">
        <v>1.8479610799699714E-3</v>
      </c>
    </row>
    <row r="1388" spans="1:20" ht="16">
      <c r="A1388" s="80" t="s">
        <v>523</v>
      </c>
      <c r="B1388" s="81" t="s">
        <v>67</v>
      </c>
      <c r="C1388" s="18"/>
      <c r="D1388" s="21">
        <v>-0.68</v>
      </c>
      <c r="E1388" s="21">
        <v>-0.67999999999999994</v>
      </c>
      <c r="F1388" s="21">
        <v>-0.68</v>
      </c>
      <c r="G1388" s="21">
        <v>-0.67999999999999994</v>
      </c>
      <c r="H1388" s="21">
        <v>-0.67999999999999994</v>
      </c>
      <c r="I1388" s="21">
        <v>-0.67999999999999994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0</v>
      </c>
      <c r="P1388" s="18"/>
      <c r="Q1388" s="82">
        <f t="shared" si="30"/>
        <v>-7.812911440357499E-8</v>
      </c>
      <c r="R1388" s="14">
        <v>0</v>
      </c>
      <c r="S1388" s="15">
        <v>0</v>
      </c>
      <c r="T1388" s="16">
        <v>0</v>
      </c>
    </row>
    <row r="1389" spans="1:20" ht="16" hidden="1">
      <c r="A1389" s="80" t="s">
        <v>845</v>
      </c>
      <c r="B1389" s="81" t="s">
        <v>66</v>
      </c>
      <c r="C1389" s="18"/>
      <c r="D1389" s="21">
        <v>-0.7</v>
      </c>
      <c r="E1389" s="21">
        <v>-0.7</v>
      </c>
      <c r="F1389" s="21">
        <v>-0.7</v>
      </c>
      <c r="G1389" s="21">
        <v>-0.7</v>
      </c>
      <c r="H1389" s="21">
        <v>-0.7</v>
      </c>
      <c r="I1389" s="21">
        <v>-0.7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0</v>
      </c>
      <c r="P1389" s="18"/>
      <c r="Q1389" s="82">
        <f t="shared" si="30"/>
        <v>-8.0427029533091907E-8</v>
      </c>
      <c r="R1389" s="14">
        <v>0</v>
      </c>
      <c r="S1389" s="15">
        <v>0</v>
      </c>
      <c r="T1389" s="16">
        <v>0</v>
      </c>
    </row>
    <row r="1390" spans="1:20" ht="16">
      <c r="A1390" s="80" t="s">
        <v>640</v>
      </c>
      <c r="B1390" s="81" t="s">
        <v>67</v>
      </c>
      <c r="C1390" s="18"/>
      <c r="D1390" s="21">
        <v>-0.72</v>
      </c>
      <c r="E1390" s="21">
        <v>-0.72</v>
      </c>
      <c r="F1390" s="21">
        <v>-0.72</v>
      </c>
      <c r="G1390" s="21">
        <v>-0.72</v>
      </c>
      <c r="H1390" s="21">
        <v>-0.72</v>
      </c>
      <c r="I1390" s="21">
        <v>-0.73</v>
      </c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>
        <v>0</v>
      </c>
      <c r="P1390" s="18"/>
      <c r="Q1390" s="82">
        <f t="shared" si="30"/>
        <v>-8.3873902227367283E-8</v>
      </c>
      <c r="R1390" s="14">
        <v>786.04999999999973</v>
      </c>
      <c r="S1390" s="15">
        <v>0.34899880122541382</v>
      </c>
      <c r="T1390" s="16">
        <v>4.9093750176091818E-5</v>
      </c>
    </row>
    <row r="1391" spans="1:20" ht="16" hidden="1">
      <c r="A1391" s="80" t="s">
        <v>304</v>
      </c>
      <c r="B1391" s="81" t="s">
        <v>66</v>
      </c>
      <c r="C1391" s="18"/>
      <c r="D1391" s="21">
        <v>-0.76999999999999991</v>
      </c>
      <c r="E1391" s="21">
        <v>-0.76999999999999991</v>
      </c>
      <c r="F1391" s="21">
        <v>-0.76999999999999991</v>
      </c>
      <c r="G1391" s="21">
        <v>-0.76999999999999991</v>
      </c>
      <c r="H1391" s="21">
        <v>-0.76999999999999991</v>
      </c>
      <c r="I1391" s="21">
        <v>-0.76999999999999991</v>
      </c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>
        <v>0</v>
      </c>
      <c r="P1391" s="18"/>
      <c r="Q1391" s="82">
        <f t="shared" si="30"/>
        <v>-8.8469732486401091E-8</v>
      </c>
      <c r="R1391" s="14">
        <v>0</v>
      </c>
      <c r="S1391" s="15">
        <v>0</v>
      </c>
      <c r="T1391" s="16">
        <v>0</v>
      </c>
    </row>
    <row r="1392" spans="1:20" ht="16" hidden="1">
      <c r="A1392" s="80" t="s">
        <v>1170</v>
      </c>
      <c r="B1392" s="81" t="s">
        <v>60</v>
      </c>
      <c r="C1392" s="18"/>
      <c r="D1392" s="21">
        <v>-0.79</v>
      </c>
      <c r="E1392" s="21">
        <v>-0.79</v>
      </c>
      <c r="F1392" s="21">
        <v>-0.79</v>
      </c>
      <c r="G1392" s="21">
        <v>-0.79</v>
      </c>
      <c r="H1392" s="21">
        <v>-0.79</v>
      </c>
      <c r="I1392" s="21">
        <v>-0.79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0</v>
      </c>
      <c r="P1392" s="18"/>
      <c r="Q1392" s="82">
        <f t="shared" si="30"/>
        <v>-9.0767647615918022E-8</v>
      </c>
      <c r="R1392" s="14">
        <v>0</v>
      </c>
      <c r="S1392" s="15">
        <v>0</v>
      </c>
      <c r="T1392" s="16">
        <v>3.2445324058647743E-7</v>
      </c>
    </row>
    <row r="1393" spans="1:20" ht="16" hidden="1">
      <c r="A1393" s="80" t="s">
        <v>659</v>
      </c>
      <c r="B1393" s="81" t="s">
        <v>85</v>
      </c>
      <c r="C1393" s="18"/>
      <c r="D1393" s="21">
        <v>-0.8</v>
      </c>
      <c r="E1393" s="21">
        <v>-0.8</v>
      </c>
      <c r="F1393" s="21">
        <v>-0.8</v>
      </c>
      <c r="G1393" s="21">
        <v>-0.8</v>
      </c>
      <c r="H1393" s="21">
        <v>-0.8</v>
      </c>
      <c r="I1393" s="21">
        <v>-0.8</v>
      </c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>
        <v>0</v>
      </c>
      <c r="P1393" s="18"/>
      <c r="Q1393" s="82">
        <f t="shared" si="30"/>
        <v>-9.191660518067648E-8</v>
      </c>
      <c r="R1393" s="14">
        <v>-27011.040000000001</v>
      </c>
      <c r="S1393" s="15">
        <v>-0.96193025366060736</v>
      </c>
      <c r="T1393" s="16">
        <v>1.7272933973453403E-5</v>
      </c>
    </row>
    <row r="1394" spans="1:20" ht="16" hidden="1">
      <c r="A1394" s="80" t="s">
        <v>819</v>
      </c>
      <c r="B1394" s="81" t="s">
        <v>76</v>
      </c>
      <c r="C1394" s="18"/>
      <c r="D1394" s="21">
        <v>2598.7200000000003</v>
      </c>
      <c r="E1394" s="21">
        <v>2598.7199999999998</v>
      </c>
      <c r="F1394" s="21">
        <v>-0.84</v>
      </c>
      <c r="G1394" s="21">
        <v>-0.84</v>
      </c>
      <c r="H1394" s="21">
        <v>-0.84</v>
      </c>
      <c r="I1394" s="21">
        <v>-0.84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</v>
      </c>
      <c r="P1394" s="18"/>
      <c r="Q1394" s="82">
        <f t="shared" si="30"/>
        <v>-9.6512435439710288E-8</v>
      </c>
      <c r="R1394" s="14">
        <v>-207574.44000000026</v>
      </c>
      <c r="S1394" s="15">
        <v>-0.8000050565312099</v>
      </c>
      <c r="T1394" s="16">
        <v>8.3847200333248288E-4</v>
      </c>
    </row>
    <row r="1395" spans="1:20" ht="16" hidden="1">
      <c r="A1395" s="80" t="s">
        <v>329</v>
      </c>
      <c r="B1395" s="81" t="s">
        <v>78</v>
      </c>
      <c r="C1395" s="18"/>
      <c r="D1395" s="21">
        <v>-0.86999999999999966</v>
      </c>
      <c r="E1395" s="21">
        <v>-0.86999999999999944</v>
      </c>
      <c r="F1395" s="21">
        <v>-0.85999999999999965</v>
      </c>
      <c r="G1395" s="21">
        <v>-0.85999999999999965</v>
      </c>
      <c r="H1395" s="21">
        <v>-0.85999999999999943</v>
      </c>
      <c r="I1395" s="21">
        <v>-0.84999999999999987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18"/>
      <c r="Q1395" s="82">
        <f t="shared" si="30"/>
        <v>-9.7661393004468734E-8</v>
      </c>
      <c r="R1395" s="14">
        <v>-82100.589999999909</v>
      </c>
      <c r="S1395" s="15">
        <v>-0.24529546986442796</v>
      </c>
      <c r="T1395" s="16">
        <v>4.0815217483727451E-3</v>
      </c>
    </row>
    <row r="1396" spans="1:20" ht="16" hidden="1">
      <c r="A1396" s="80" t="s">
        <v>374</v>
      </c>
      <c r="B1396" s="81" t="s">
        <v>145</v>
      </c>
      <c r="C1396" s="18"/>
      <c r="D1396" s="21">
        <v>10878.67</v>
      </c>
      <c r="E1396" s="21">
        <v>10878.67</v>
      </c>
      <c r="F1396" s="21">
        <v>-0.92</v>
      </c>
      <c r="G1396" s="21">
        <v>-0.92</v>
      </c>
      <c r="H1396" s="21">
        <v>-0.92</v>
      </c>
      <c r="I1396" s="21">
        <v>-0.92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18"/>
      <c r="Q1396" s="82">
        <f t="shared" si="30"/>
        <v>-1.0570409595777794E-7</v>
      </c>
      <c r="R1396" s="14">
        <v>193170.26000000004</v>
      </c>
      <c r="S1396" s="15">
        <v>1.0411126011589604</v>
      </c>
      <c r="T1396" s="16">
        <v>6.1192462863686398E-3</v>
      </c>
    </row>
    <row r="1397" spans="1:20" ht="16" hidden="1">
      <c r="A1397" s="80" t="s">
        <v>407</v>
      </c>
      <c r="B1397" s="81" t="s">
        <v>66</v>
      </c>
      <c r="C1397" s="18"/>
      <c r="D1397" s="21">
        <v>-0.93</v>
      </c>
      <c r="E1397" s="21">
        <v>-0.93</v>
      </c>
      <c r="F1397" s="21">
        <v>-0.93</v>
      </c>
      <c r="G1397" s="21">
        <v>-0.93</v>
      </c>
      <c r="H1397" s="21">
        <v>-0.93</v>
      </c>
      <c r="I1397" s="21">
        <v>-0.93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18"/>
      <c r="Q1397" s="82">
        <f t="shared" si="30"/>
        <v>-1.068530535225364E-7</v>
      </c>
      <c r="R1397" s="14">
        <v>0</v>
      </c>
      <c r="S1397" s="15">
        <v>0</v>
      </c>
      <c r="T1397" s="16">
        <v>0</v>
      </c>
    </row>
    <row r="1398" spans="1:20" ht="16" hidden="1">
      <c r="A1398" s="80" t="s">
        <v>1120</v>
      </c>
      <c r="B1398" s="81" t="s">
        <v>66</v>
      </c>
      <c r="C1398" s="18"/>
      <c r="D1398" s="21">
        <v>-1.0500000000000014</v>
      </c>
      <c r="E1398" s="21">
        <v>-1.0499999999999998</v>
      </c>
      <c r="F1398" s="21">
        <v>-1.0500000000000012</v>
      </c>
      <c r="G1398" s="21">
        <v>-1.0500000000000007</v>
      </c>
      <c r="H1398" s="21">
        <v>-1.0499999999999998</v>
      </c>
      <c r="I1398" s="21">
        <v>-1.0500000000000016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18"/>
      <c r="Q1398" s="82">
        <f t="shared" si="30"/>
        <v>-1.2064054429963805E-7</v>
      </c>
      <c r="R1398" s="14">
        <v>0</v>
      </c>
      <c r="S1398" s="15">
        <v>0</v>
      </c>
      <c r="T1398" s="16">
        <v>0</v>
      </c>
    </row>
    <row r="1399" spans="1:20" ht="16">
      <c r="A1399" s="80" t="s">
        <v>1236</v>
      </c>
      <c r="B1399" s="81" t="s">
        <v>67</v>
      </c>
      <c r="C1399" s="18"/>
      <c r="D1399" s="21">
        <v>-1.07</v>
      </c>
      <c r="E1399" s="21">
        <v>-1.07</v>
      </c>
      <c r="F1399" s="21">
        <v>-1.07</v>
      </c>
      <c r="G1399" s="21">
        <v>-1.07</v>
      </c>
      <c r="H1399" s="21">
        <v>-1.07</v>
      </c>
      <c r="I1399" s="21">
        <v>-1.07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0</v>
      </c>
      <c r="P1399" s="18"/>
      <c r="Q1399" s="82">
        <f t="shared" si="30"/>
        <v>-1.2293845942915478E-7</v>
      </c>
      <c r="R1399" s="14">
        <v>0</v>
      </c>
      <c r="S1399" s="15">
        <v>0</v>
      </c>
      <c r="T1399" s="16">
        <v>0</v>
      </c>
    </row>
    <row r="1400" spans="1:20" ht="16" hidden="1">
      <c r="A1400" s="80" t="s">
        <v>913</v>
      </c>
      <c r="B1400" s="81" t="s">
        <v>62</v>
      </c>
      <c r="C1400" s="18"/>
      <c r="D1400" s="21">
        <v>-1.1632229999999999</v>
      </c>
      <c r="E1400" s="21">
        <v>-0.96562700000000024</v>
      </c>
      <c r="F1400" s="21">
        <v>-1.1281899999999996</v>
      </c>
      <c r="G1400" s="21">
        <v>17421.021809999995</v>
      </c>
      <c r="H1400" s="21">
        <v>-1.12819</v>
      </c>
      <c r="I1400" s="21">
        <v>-1.12819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18"/>
      <c r="Q1400" s="82">
        <f t="shared" si="30"/>
        <v>-1.2962424349848424E-7</v>
      </c>
      <c r="R1400" s="14">
        <v>0</v>
      </c>
      <c r="S1400" s="15">
        <v>0</v>
      </c>
      <c r="T1400" s="16">
        <v>1.173250709772147E-5</v>
      </c>
    </row>
    <row r="1401" spans="1:20" ht="16" hidden="1">
      <c r="A1401" s="80" t="s">
        <v>905</v>
      </c>
      <c r="B1401" s="81" t="s">
        <v>66</v>
      </c>
      <c r="C1401" s="18"/>
      <c r="D1401" s="21">
        <v>-1.1900000000000004</v>
      </c>
      <c r="E1401" s="21">
        <v>-1.1900000000000004</v>
      </c>
      <c r="F1401" s="21">
        <v>-1.1900000000000004</v>
      </c>
      <c r="G1401" s="21">
        <v>-1.1900000000000004</v>
      </c>
      <c r="H1401" s="21">
        <v>-1.1900000000000004</v>
      </c>
      <c r="I1401" s="21">
        <v>-1.1900000000000004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</v>
      </c>
      <c r="P1401" s="18"/>
      <c r="Q1401" s="82">
        <f t="shared" si="30"/>
        <v>-1.3672595020625629E-7</v>
      </c>
      <c r="R1401" s="14">
        <v>0</v>
      </c>
      <c r="S1401" s="15">
        <v>0</v>
      </c>
      <c r="T1401" s="16">
        <v>0</v>
      </c>
    </row>
    <row r="1402" spans="1:20" ht="16">
      <c r="A1402" s="80" t="s">
        <v>949</v>
      </c>
      <c r="B1402" s="81" t="s">
        <v>67</v>
      </c>
      <c r="C1402" s="18"/>
      <c r="D1402" s="21">
        <v>0.04</v>
      </c>
      <c r="E1402" s="21">
        <v>0.04</v>
      </c>
      <c r="F1402" s="21">
        <v>3.9999999999999994E-2</v>
      </c>
      <c r="G1402" s="21">
        <v>-1.96</v>
      </c>
      <c r="H1402" s="21">
        <v>-1.96</v>
      </c>
      <c r="I1402" s="21">
        <v>-1.97</v>
      </c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>
        <v>0</v>
      </c>
      <c r="P1402" s="18"/>
      <c r="Q1402" s="82">
        <f t="shared" si="30"/>
        <v>-2.263446402574158E-7</v>
      </c>
      <c r="R1402" s="14">
        <v>1430.38</v>
      </c>
      <c r="S1402" s="15">
        <v>3.5272736239889539</v>
      </c>
      <c r="T1402" s="16">
        <v>2.9664527111190927E-5</v>
      </c>
    </row>
    <row r="1403" spans="1:20" ht="16" hidden="1">
      <c r="A1403" s="80" t="s">
        <v>583</v>
      </c>
      <c r="B1403" s="81" t="s">
        <v>62</v>
      </c>
      <c r="C1403" s="18"/>
      <c r="D1403" s="21">
        <v>107483.39832499999</v>
      </c>
      <c r="E1403" s="21">
        <v>106345.27427899999</v>
      </c>
      <c r="F1403" s="21">
        <v>104460.88019899998</v>
      </c>
      <c r="G1403" s="21">
        <v>107606.03081299993</v>
      </c>
      <c r="H1403" s="21">
        <v>13213.202913000005</v>
      </c>
      <c r="I1403" s="21">
        <v>-1.9770870000000003</v>
      </c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>
        <v>0</v>
      </c>
      <c r="P1403" s="18"/>
      <c r="Q1403" s="82">
        <f t="shared" si="30"/>
        <v>-2.2715890648356016E-7</v>
      </c>
      <c r="R1403" s="14">
        <v>0</v>
      </c>
      <c r="S1403" s="15">
        <v>0</v>
      </c>
      <c r="T1403" s="16">
        <v>0</v>
      </c>
    </row>
    <row r="1404" spans="1:20" ht="16" hidden="1">
      <c r="A1404" s="80" t="s">
        <v>354</v>
      </c>
      <c r="B1404" s="81" t="s">
        <v>85</v>
      </c>
      <c r="C1404" s="18"/>
      <c r="D1404" s="21">
        <v>-1.98</v>
      </c>
      <c r="E1404" s="21">
        <v>-1.98</v>
      </c>
      <c r="F1404" s="21">
        <v>-1.98</v>
      </c>
      <c r="G1404" s="21">
        <v>-1.98</v>
      </c>
      <c r="H1404" s="21">
        <v>-1.98</v>
      </c>
      <c r="I1404" s="21">
        <v>-1.98</v>
      </c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>
        <v>0</v>
      </c>
      <c r="P1404" s="18"/>
      <c r="Q1404" s="82">
        <f t="shared" si="30"/>
        <v>-2.2749359782217426E-7</v>
      </c>
      <c r="R1404" s="14">
        <v>0</v>
      </c>
      <c r="S1404" s="15">
        <v>0</v>
      </c>
      <c r="T1404" s="16">
        <v>1.9439725784342179E-4</v>
      </c>
    </row>
    <row r="1405" spans="1:20" ht="16" hidden="1">
      <c r="A1405" s="80" t="s">
        <v>816</v>
      </c>
      <c r="B1405" s="81" t="s">
        <v>60</v>
      </c>
      <c r="C1405" s="18"/>
      <c r="D1405" s="21">
        <v>-2.5900000000000003</v>
      </c>
      <c r="E1405" s="21">
        <v>-2.5900000000000003</v>
      </c>
      <c r="F1405" s="21">
        <v>-2.5900000000000003</v>
      </c>
      <c r="G1405" s="21">
        <v>-2.5900000000000003</v>
      </c>
      <c r="H1405" s="21">
        <v>-2.5900000000000003</v>
      </c>
      <c r="I1405" s="21">
        <v>-2.5900000000000003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18"/>
      <c r="Q1405" s="82">
        <f t="shared" si="30"/>
        <v>-2.9758000927244013E-7</v>
      </c>
      <c r="R1405" s="14">
        <v>1.2878587085651816E-14</v>
      </c>
      <c r="S1405" s="15">
        <v>-4.3362246079635556E-15</v>
      </c>
      <c r="T1405" s="16">
        <v>-4.798934883176484E-8</v>
      </c>
    </row>
    <row r="1406" spans="1:20" ht="16" hidden="1">
      <c r="A1406" s="80" t="s">
        <v>1213</v>
      </c>
      <c r="B1406" s="81" t="s">
        <v>89</v>
      </c>
      <c r="C1406" s="18"/>
      <c r="D1406" s="21">
        <v>-2.9700000000000104</v>
      </c>
      <c r="E1406" s="21">
        <v>-2.9700000000000193</v>
      </c>
      <c r="F1406" s="21">
        <v>-2.9700000000000131</v>
      </c>
      <c r="G1406" s="21">
        <v>-2.9700000000000193</v>
      </c>
      <c r="H1406" s="21">
        <v>-2.9700000000000131</v>
      </c>
      <c r="I1406" s="21">
        <v>-2.97</v>
      </c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>
        <v>0</v>
      </c>
      <c r="P1406" s="18"/>
      <c r="Q1406" s="82">
        <f t="shared" si="30"/>
        <v>-3.412403967332614E-7</v>
      </c>
      <c r="R1406" s="14">
        <v>3.0000000000000027E-2</v>
      </c>
      <c r="S1406" s="15">
        <v>-7.5000000000000067E-2</v>
      </c>
      <c r="T1406" s="16">
        <v>-5.9784710665834983E-9</v>
      </c>
    </row>
    <row r="1407" spans="1:20" ht="16" hidden="1">
      <c r="A1407" s="80" t="s">
        <v>209</v>
      </c>
      <c r="B1407" s="81" t="s">
        <v>62</v>
      </c>
      <c r="C1407" s="18"/>
      <c r="D1407" s="21">
        <v>48399.55</v>
      </c>
      <c r="E1407" s="21">
        <v>48399.55</v>
      </c>
      <c r="F1407" s="21">
        <v>0.43000000000000005</v>
      </c>
      <c r="G1407" s="21">
        <v>-4.57</v>
      </c>
      <c r="H1407" s="21">
        <v>-4.57</v>
      </c>
      <c r="I1407" s="21">
        <v>-4.57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>
        <v>0</v>
      </c>
      <c r="P1407" s="18"/>
      <c r="Q1407" s="82">
        <f t="shared" si="30"/>
        <v>-5.2507360709461436E-7</v>
      </c>
      <c r="R1407" s="14">
        <v>0</v>
      </c>
      <c r="S1407" s="15">
        <v>0</v>
      </c>
      <c r="T1407" s="16">
        <v>3.2316059819370261E-7</v>
      </c>
    </row>
    <row r="1408" spans="1:20" ht="16" hidden="1">
      <c r="A1408" s="80" t="s">
        <v>466</v>
      </c>
      <c r="B1408" s="81" t="s">
        <v>76</v>
      </c>
      <c r="C1408" s="18"/>
      <c r="D1408" s="21">
        <v>-4.7700000000000014</v>
      </c>
      <c r="E1408" s="21">
        <v>-4.7699999999999996</v>
      </c>
      <c r="F1408" s="21">
        <v>-4.7699999999999996</v>
      </c>
      <c r="G1408" s="21">
        <v>-4.7699999999999996</v>
      </c>
      <c r="H1408" s="21">
        <v>-4.78</v>
      </c>
      <c r="I1408" s="21">
        <v>-4.7899999999999991</v>
      </c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>
        <v>0</v>
      </c>
      <c r="P1408" s="18"/>
      <c r="Q1408" s="82">
        <f t="shared" si="30"/>
        <v>-5.5035067351930029E-7</v>
      </c>
      <c r="R1408" s="14">
        <v>-53215.66</v>
      </c>
      <c r="S1408" s="15">
        <v>-0.67817984216823191</v>
      </c>
      <c r="T1408" s="16">
        <v>4.0803388190030558E-4</v>
      </c>
    </row>
    <row r="1409" spans="1:20" ht="16" hidden="1">
      <c r="A1409" s="80" t="s">
        <v>524</v>
      </c>
      <c r="B1409" s="81" t="s">
        <v>89</v>
      </c>
      <c r="C1409" s="18"/>
      <c r="D1409" s="21">
        <v>-5.9999999999999982</v>
      </c>
      <c r="E1409" s="21">
        <v>-5.9999999999999991</v>
      </c>
      <c r="F1409" s="21">
        <v>-6</v>
      </c>
      <c r="G1409" s="21">
        <v>-6</v>
      </c>
      <c r="H1409" s="21">
        <v>-5.9999999999999991</v>
      </c>
      <c r="I1409" s="21">
        <v>-5.9999999999999991</v>
      </c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>
        <v>0</v>
      </c>
      <c r="P1409" s="18"/>
      <c r="Q1409" s="82">
        <f t="shared" si="30"/>
        <v>-6.8937453885507339E-7</v>
      </c>
      <c r="R1409" s="14">
        <v>1994.1900000000023</v>
      </c>
      <c r="S1409" s="15">
        <v>4.1841505462481922E-2</v>
      </c>
      <c r="T1409" s="16">
        <v>8.0232309723823696E-4</v>
      </c>
    </row>
    <row r="1410" spans="1:20" ht="16" hidden="1">
      <c r="A1410" s="80" t="s">
        <v>1231</v>
      </c>
      <c r="B1410" s="81" t="s">
        <v>78</v>
      </c>
      <c r="C1410" s="18"/>
      <c r="D1410" s="21">
        <v>0</v>
      </c>
      <c r="E1410" s="21">
        <v>0</v>
      </c>
      <c r="F1410" s="21">
        <v>0</v>
      </c>
      <c r="G1410" s="21">
        <v>0</v>
      </c>
      <c r="H1410" s="21">
        <v>-6.93</v>
      </c>
      <c r="I1410" s="21">
        <v>-6.93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</v>
      </c>
      <c r="P1410" s="18"/>
      <c r="Q1410" s="82">
        <f t="shared" si="30"/>
        <v>-7.9622759237760986E-7</v>
      </c>
      <c r="R1410" s="14">
        <v>0</v>
      </c>
      <c r="S1410" s="15">
        <v>0</v>
      </c>
      <c r="T1410" s="16">
        <v>6.7863725620677545E-9</v>
      </c>
    </row>
    <row r="1411" spans="1:20" ht="16" hidden="1">
      <c r="A1411" s="80" t="s">
        <v>927</v>
      </c>
      <c r="B1411" s="81" t="s">
        <v>62</v>
      </c>
      <c r="C1411" s="18"/>
      <c r="D1411" s="21">
        <v>-7.139999999999997</v>
      </c>
      <c r="E1411" s="21">
        <v>-7.1400000000000006</v>
      </c>
      <c r="F1411" s="21">
        <v>-7.1399999999999952</v>
      </c>
      <c r="G1411" s="21">
        <v>-7.1400000000000006</v>
      </c>
      <c r="H1411" s="21">
        <v>-7.1400000000000006</v>
      </c>
      <c r="I1411" s="21">
        <v>-7.1400000000000006</v>
      </c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>
        <v>0</v>
      </c>
      <c r="P1411" s="18"/>
      <c r="Q1411" s="82">
        <f t="shared" ref="Q1411" si="31">IFERROR(I1411/$I$4," ")</f>
        <v>-8.2035570123753752E-7</v>
      </c>
      <c r="R1411" s="14">
        <v>15469.25</v>
      </c>
      <c r="S1411" s="15">
        <v>5.1710135761565593E-2</v>
      </c>
      <c r="T1411" s="16">
        <v>5.0836781494569203E-3</v>
      </c>
    </row>
    <row r="1412" spans="1:20" customFormat="1" ht="16" hidden="1">
      <c r="A1412" s="11" t="s">
        <v>160</v>
      </c>
      <c r="B1412" s="12" t="s">
        <v>69</v>
      </c>
      <c r="C1412" s="1"/>
      <c r="D1412" s="3">
        <v>-7.2</v>
      </c>
      <c r="E1412" s="3">
        <v>-7.2</v>
      </c>
      <c r="F1412" s="3">
        <v>-7.2</v>
      </c>
      <c r="G1412" s="3">
        <v>-7.2</v>
      </c>
      <c r="H1412" s="3">
        <v>-7.2</v>
      </c>
      <c r="I1412" s="3">
        <v>-7.2</v>
      </c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>
        <v>0</v>
      </c>
      <c r="P1412" s="1"/>
      <c r="Q1412" s="1"/>
      <c r="R1412" s="14">
        <v>0</v>
      </c>
      <c r="S1412" s="15">
        <v>0</v>
      </c>
      <c r="T1412" s="16">
        <v>0</v>
      </c>
    </row>
    <row r="1413" spans="1:20" customFormat="1" ht="16" hidden="1">
      <c r="A1413" s="11" t="s">
        <v>204</v>
      </c>
      <c r="B1413" s="12" t="s">
        <v>69</v>
      </c>
      <c r="C1413" s="1"/>
      <c r="D1413" s="3">
        <v>-7.2</v>
      </c>
      <c r="E1413" s="3">
        <v>-7.2</v>
      </c>
      <c r="F1413" s="3">
        <v>-7.2</v>
      </c>
      <c r="G1413" s="3">
        <v>-7.2</v>
      </c>
      <c r="H1413" s="3">
        <v>-7.2</v>
      </c>
      <c r="I1413" s="3">
        <v>-7.2</v>
      </c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>
        <v>0</v>
      </c>
      <c r="P1413" s="1"/>
      <c r="Q1413" s="1"/>
      <c r="R1413" s="14">
        <v>0</v>
      </c>
      <c r="S1413" s="15">
        <v>0</v>
      </c>
      <c r="T1413" s="16">
        <v>0</v>
      </c>
    </row>
    <row r="1414" spans="1:20" customFormat="1" ht="16" hidden="1">
      <c r="A1414" s="11" t="s">
        <v>508</v>
      </c>
      <c r="B1414" s="12" t="s">
        <v>69</v>
      </c>
      <c r="C1414" s="1"/>
      <c r="D1414" s="3">
        <v>-7.2</v>
      </c>
      <c r="E1414" s="3">
        <v>-7.2</v>
      </c>
      <c r="F1414" s="3">
        <v>-7.2</v>
      </c>
      <c r="G1414" s="3">
        <v>-7.2</v>
      </c>
      <c r="H1414" s="3">
        <v>-7.2</v>
      </c>
      <c r="I1414" s="3">
        <v>-7.2</v>
      </c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>
        <v>0</v>
      </c>
      <c r="P1414" s="1"/>
      <c r="Q1414" s="1"/>
      <c r="R1414" s="14">
        <v>6860.1999999999971</v>
      </c>
      <c r="S1414" s="15">
        <v>0.13414598137928155</v>
      </c>
      <c r="T1414" s="16">
        <v>9.3716589634203662E-4</v>
      </c>
    </row>
    <row r="1415" spans="1:20" customFormat="1" ht="16" hidden="1">
      <c r="A1415" s="11" t="s">
        <v>68</v>
      </c>
      <c r="B1415" s="12" t="s">
        <v>69</v>
      </c>
      <c r="C1415" s="1"/>
      <c r="D1415" s="3">
        <v>-7.68</v>
      </c>
      <c r="E1415" s="3">
        <v>-7.68</v>
      </c>
      <c r="F1415" s="3">
        <v>-7.68</v>
      </c>
      <c r="G1415" s="3">
        <v>-7.68</v>
      </c>
      <c r="H1415" s="3">
        <v>-7.68</v>
      </c>
      <c r="I1415" s="3">
        <v>-7.68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1"/>
      <c r="Q1415" s="1"/>
      <c r="R1415" s="14">
        <v>0</v>
      </c>
      <c r="S1415" s="15">
        <v>0</v>
      </c>
      <c r="T1415" s="16">
        <v>9.2908671980689518E-8</v>
      </c>
    </row>
    <row r="1416" spans="1:20" customFormat="1" ht="16" hidden="1">
      <c r="A1416" s="11" t="s">
        <v>415</v>
      </c>
      <c r="B1416" s="12" t="s">
        <v>69</v>
      </c>
      <c r="C1416" s="1"/>
      <c r="D1416" s="3">
        <v>0</v>
      </c>
      <c r="E1416" s="3">
        <v>0</v>
      </c>
      <c r="F1416" s="3">
        <v>0</v>
      </c>
      <c r="G1416" s="3">
        <v>0</v>
      </c>
      <c r="H1416" s="3">
        <v>-8.64</v>
      </c>
      <c r="I1416" s="3">
        <v>-8.64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</v>
      </c>
      <c r="P1416" s="1"/>
      <c r="Q1416" s="1"/>
      <c r="R1416" s="14">
        <v>0</v>
      </c>
      <c r="S1416" s="15">
        <v>0</v>
      </c>
      <c r="T1416" s="16">
        <v>0</v>
      </c>
    </row>
    <row r="1417" spans="1:20" ht="16" hidden="1">
      <c r="A1417" s="80" t="s">
        <v>294</v>
      </c>
      <c r="B1417" s="81" t="s">
        <v>62</v>
      </c>
      <c r="C1417" s="18"/>
      <c r="D1417" s="21">
        <v>-10.440000000000001</v>
      </c>
      <c r="E1417" s="21">
        <v>-10.439999999999996</v>
      </c>
      <c r="F1417" s="21">
        <v>-9.6199999999999974</v>
      </c>
      <c r="G1417" s="21">
        <v>-8.8000000000000007</v>
      </c>
      <c r="H1417" s="21">
        <v>-8.8000000000000007</v>
      </c>
      <c r="I1417" s="21">
        <v>-8.7999999999999989</v>
      </c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>
        <v>0</v>
      </c>
      <c r="P1417" s="18"/>
      <c r="Q1417" s="82">
        <f>IFERROR(I1417/$I$4," ")</f>
        <v>-1.0110826569874411E-6</v>
      </c>
      <c r="R1417" s="14">
        <v>0</v>
      </c>
      <c r="S1417" s="15">
        <v>0</v>
      </c>
      <c r="T1417" s="16">
        <v>1.2559024744205572E-2</v>
      </c>
    </row>
    <row r="1418" spans="1:20" customFormat="1" ht="16" hidden="1">
      <c r="A1418" s="11" t="s">
        <v>119</v>
      </c>
      <c r="B1418" s="12" t="s">
        <v>69</v>
      </c>
      <c r="C1418" s="1"/>
      <c r="D1418" s="3">
        <v>-17.28</v>
      </c>
      <c r="E1418" s="3">
        <v>-17.28</v>
      </c>
      <c r="F1418" s="3">
        <v>-17.28</v>
      </c>
      <c r="G1418" s="3">
        <v>-17.28</v>
      </c>
      <c r="H1418" s="3">
        <v>-17.28</v>
      </c>
      <c r="I1418" s="3">
        <v>-17.28</v>
      </c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>
        <v>0</v>
      </c>
      <c r="P1418" s="1"/>
      <c r="Q1418" s="1"/>
      <c r="R1418" s="14">
        <v>0</v>
      </c>
      <c r="S1418" s="15">
        <v>0</v>
      </c>
      <c r="T1418" s="16">
        <v>0</v>
      </c>
    </row>
    <row r="1419" spans="1:20" customFormat="1" ht="16" hidden="1">
      <c r="A1419" s="11" t="s">
        <v>1061</v>
      </c>
      <c r="B1419" s="12" t="s">
        <v>69</v>
      </c>
      <c r="C1419" s="1"/>
      <c r="D1419" s="3">
        <v>-17.71</v>
      </c>
      <c r="E1419" s="3">
        <v>-17.71</v>
      </c>
      <c r="F1419" s="3">
        <v>-17.71</v>
      </c>
      <c r="G1419" s="3">
        <v>-17.71</v>
      </c>
      <c r="H1419" s="3">
        <v>-17.71</v>
      </c>
      <c r="I1419" s="3">
        <v>-17.71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</v>
      </c>
      <c r="P1419" s="1"/>
      <c r="Q1419" s="1"/>
      <c r="R1419" s="14">
        <v>0</v>
      </c>
      <c r="S1419" s="15">
        <v>0</v>
      </c>
      <c r="T1419" s="16">
        <v>0</v>
      </c>
    </row>
    <row r="1420" spans="1:20" customFormat="1" ht="16" hidden="1">
      <c r="A1420" s="11" t="s">
        <v>961</v>
      </c>
      <c r="B1420" s="12" t="s">
        <v>69</v>
      </c>
      <c r="C1420" s="1"/>
      <c r="D1420" s="3">
        <v>-21.6</v>
      </c>
      <c r="E1420" s="3">
        <v>-21.6</v>
      </c>
      <c r="F1420" s="3">
        <v>-21.6</v>
      </c>
      <c r="G1420" s="3">
        <v>-21.6</v>
      </c>
      <c r="H1420" s="3">
        <v>-21.6</v>
      </c>
      <c r="I1420" s="3">
        <v>-21.6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1"/>
      <c r="Q1420" s="1"/>
      <c r="R1420" s="14">
        <v>1.0000000000218279E-2</v>
      </c>
      <c r="S1420" s="15">
        <v>3.6274467128869678E-6</v>
      </c>
      <c r="T1420" s="16">
        <v>4.4543972114122683E-5</v>
      </c>
    </row>
    <row r="1421" spans="1:20" ht="16" hidden="1">
      <c r="A1421" s="80" t="s">
        <v>208</v>
      </c>
      <c r="B1421" s="81" t="s">
        <v>89</v>
      </c>
      <c r="C1421" s="18"/>
      <c r="D1421" s="21">
        <v>-30.69</v>
      </c>
      <c r="E1421" s="21">
        <v>-30.690000000000008</v>
      </c>
      <c r="F1421" s="21">
        <v>-30.689999999999998</v>
      </c>
      <c r="G1421" s="21">
        <v>-30.689999999999998</v>
      </c>
      <c r="H1421" s="21">
        <v>-30.690000000000012</v>
      </c>
      <c r="I1421" s="21">
        <v>-30.689999999999998</v>
      </c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>
        <v>0</v>
      </c>
      <c r="P1421" s="18"/>
      <c r="Q1421" s="82">
        <f>IFERROR(I1421/$I$4," ")</f>
        <v>-3.5261507662437008E-6</v>
      </c>
      <c r="R1421" s="14">
        <v>0</v>
      </c>
      <c r="S1421" s="15">
        <v>0</v>
      </c>
      <c r="T1421" s="16">
        <v>-5.6059427619732405E-26</v>
      </c>
    </row>
    <row r="1422" spans="1:20" customFormat="1" ht="16" hidden="1">
      <c r="A1422" s="11" t="s">
        <v>515</v>
      </c>
      <c r="B1422" s="12" t="s">
        <v>69</v>
      </c>
      <c r="C1422" s="1"/>
      <c r="D1422" s="3">
        <v>-34.56</v>
      </c>
      <c r="E1422" s="3">
        <v>-34.56</v>
      </c>
      <c r="F1422" s="3">
        <v>-34.56</v>
      </c>
      <c r="G1422" s="3">
        <v>-34.56</v>
      </c>
      <c r="H1422" s="3">
        <v>-34.56</v>
      </c>
      <c r="I1422" s="3">
        <v>-34.56</v>
      </c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>
        <v>0</v>
      </c>
      <c r="P1422" s="1"/>
      <c r="Q1422" s="1"/>
      <c r="R1422" s="14">
        <v>0</v>
      </c>
      <c r="S1422" s="15">
        <v>0</v>
      </c>
      <c r="T1422" s="16">
        <v>0</v>
      </c>
    </row>
    <row r="1423" spans="1:20" customFormat="1" ht="16" hidden="1">
      <c r="A1423" s="11" t="s">
        <v>878</v>
      </c>
      <c r="B1423" s="12" t="s">
        <v>69</v>
      </c>
      <c r="C1423" s="1"/>
      <c r="D1423" s="3">
        <v>-34.56</v>
      </c>
      <c r="E1423" s="3">
        <v>-34.56</v>
      </c>
      <c r="F1423" s="3">
        <v>-34.56</v>
      </c>
      <c r="G1423" s="3">
        <v>-34.56</v>
      </c>
      <c r="H1423" s="3">
        <v>-34.56</v>
      </c>
      <c r="I1423" s="3">
        <v>-34.56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0</v>
      </c>
      <c r="P1423" s="1"/>
      <c r="Q1423" s="1"/>
      <c r="R1423" s="14">
        <v>0</v>
      </c>
      <c r="S1423" s="15">
        <v>0</v>
      </c>
      <c r="T1423" s="16">
        <v>0</v>
      </c>
    </row>
    <row r="1424" spans="1:20" ht="16">
      <c r="A1424" s="80" t="s">
        <v>1141</v>
      </c>
      <c r="B1424" s="81" t="s">
        <v>67</v>
      </c>
      <c r="C1424" s="18"/>
      <c r="D1424" s="21">
        <v>-40.809999999999981</v>
      </c>
      <c r="E1424" s="21">
        <v>-40.809999999999988</v>
      </c>
      <c r="F1424" s="21">
        <v>-40.810000000000009</v>
      </c>
      <c r="G1424" s="21">
        <v>-40.809999999999974</v>
      </c>
      <c r="H1424" s="21">
        <v>-40.809999999999974</v>
      </c>
      <c r="I1424" s="21">
        <v>-40.809999999999981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0</v>
      </c>
      <c r="P1424" s="18"/>
      <c r="Q1424" s="82">
        <f t="shared" ref="Q1424:Q1429" si="32">IFERROR(I1424/$I$4," ")</f>
        <v>-4.688895821779256E-6</v>
      </c>
      <c r="R1424" s="14">
        <v>0</v>
      </c>
      <c r="S1424" s="15">
        <v>0</v>
      </c>
      <c r="T1424" s="16">
        <v>-1.1197514727411795E-7</v>
      </c>
    </row>
    <row r="1425" spans="1:20" ht="16" hidden="1">
      <c r="A1425" s="80" t="s">
        <v>703</v>
      </c>
      <c r="B1425" s="81" t="s">
        <v>83</v>
      </c>
      <c r="C1425" s="18"/>
      <c r="D1425" s="21">
        <v>-84.643636000000001</v>
      </c>
      <c r="E1425" s="21">
        <v>-84.643636000000001</v>
      </c>
      <c r="F1425" s="21">
        <v>-84.643636000000001</v>
      </c>
      <c r="G1425" s="21">
        <v>-84.643636000000001</v>
      </c>
      <c r="H1425" s="21">
        <v>-84.643636000000001</v>
      </c>
      <c r="I1425" s="21">
        <v>-84.643636000000001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0</v>
      </c>
      <c r="P1425" s="18"/>
      <c r="Q1425" s="82">
        <f t="shared" si="32"/>
        <v>-9.7251945890861172E-6</v>
      </c>
      <c r="R1425" s="14">
        <v>0</v>
      </c>
      <c r="S1425" s="15">
        <v>0</v>
      </c>
      <c r="T1425" s="16">
        <v>0</v>
      </c>
    </row>
    <row r="1426" spans="1:20" ht="16" hidden="1">
      <c r="A1426" s="80" t="s">
        <v>1135</v>
      </c>
      <c r="B1426" s="81" t="s">
        <v>83</v>
      </c>
      <c r="C1426" s="18"/>
      <c r="D1426" s="21">
        <v>97.057131999999939</v>
      </c>
      <c r="E1426" s="21">
        <v>99.38683199999997</v>
      </c>
      <c r="F1426" s="21">
        <v>137.42593899999997</v>
      </c>
      <c r="G1426" s="21">
        <v>182.71695199999994</v>
      </c>
      <c r="H1426" s="21">
        <v>-112.19967100000001</v>
      </c>
      <c r="I1426" s="21">
        <v>-180.13727600000001</v>
      </c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>
        <v>0</v>
      </c>
      <c r="P1426" s="18"/>
      <c r="Q1426" s="82">
        <f t="shared" si="32"/>
        <v>-2.0697008595518186E-5</v>
      </c>
      <c r="R1426" s="14">
        <v>0</v>
      </c>
      <c r="S1426" s="15">
        <v>0</v>
      </c>
      <c r="T1426" s="16">
        <v>-6.3016316647772011E-9</v>
      </c>
    </row>
    <row r="1427" spans="1:20" ht="16" hidden="1">
      <c r="A1427" s="80" t="s">
        <v>394</v>
      </c>
      <c r="B1427" s="81" t="s">
        <v>85</v>
      </c>
      <c r="C1427" s="18"/>
      <c r="D1427" s="21">
        <v>57998.51</v>
      </c>
      <c r="E1427" s="21">
        <v>37325.230000000003</v>
      </c>
      <c r="F1427" s="21">
        <v>37325.230000000003</v>
      </c>
      <c r="G1427" s="21">
        <v>18635.400000000001</v>
      </c>
      <c r="H1427" s="21">
        <v>-13364.599999999999</v>
      </c>
      <c r="I1427" s="21">
        <v>-3369.1999999999971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18"/>
      <c r="Q1427" s="82">
        <f t="shared" si="32"/>
        <v>-3.8710678271841863E-4</v>
      </c>
      <c r="R1427" s="14">
        <v>-0.01</v>
      </c>
      <c r="S1427" s="15">
        <v>0</v>
      </c>
      <c r="T1427" s="16">
        <v>-1.6158029909685129E-10</v>
      </c>
    </row>
    <row r="1428" spans="1:20" ht="16">
      <c r="A1428" s="80" t="s">
        <v>438</v>
      </c>
      <c r="B1428" s="81" t="s">
        <v>67</v>
      </c>
      <c r="C1428" s="18"/>
      <c r="D1428" s="21">
        <v>-11800</v>
      </c>
      <c r="E1428" s="21">
        <v>-11800</v>
      </c>
      <c r="F1428" s="21">
        <v>-11800</v>
      </c>
      <c r="G1428" s="21">
        <v>-11800</v>
      </c>
      <c r="H1428" s="21">
        <v>-11800</v>
      </c>
      <c r="I1428" s="21">
        <v>-11800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18"/>
      <c r="Q1428" s="82">
        <f t="shared" si="32"/>
        <v>-1.3557699264149779E-3</v>
      </c>
      <c r="R1428" s="14">
        <v>0</v>
      </c>
      <c r="S1428" s="15">
        <v>0</v>
      </c>
      <c r="T1428" s="16">
        <v>6.4632119638740538E-10</v>
      </c>
    </row>
    <row r="1429" spans="1:20" ht="16" hidden="1">
      <c r="A1429" s="80" t="s">
        <v>936</v>
      </c>
      <c r="B1429" s="81" t="s">
        <v>85</v>
      </c>
      <c r="C1429" s="18"/>
      <c r="D1429" s="21">
        <v>8553.9199999999964</v>
      </c>
      <c r="E1429" s="21">
        <v>8553.9199999999964</v>
      </c>
      <c r="F1429" s="21">
        <v>8553.9199999999983</v>
      </c>
      <c r="G1429" s="21">
        <v>8553.9199999999964</v>
      </c>
      <c r="H1429" s="21">
        <v>-17494.78999999999</v>
      </c>
      <c r="I1429" s="21">
        <v>-17494.78999999999</v>
      </c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>
        <v>0</v>
      </c>
      <c r="P1429" s="18"/>
      <c r="Q1429" s="82">
        <f t="shared" si="32"/>
        <v>-2.0100771314360577E-3</v>
      </c>
      <c r="R1429" s="14">
        <v>0</v>
      </c>
      <c r="S1429" s="15">
        <v>0</v>
      </c>
      <c r="T1429" s="16">
        <v>-1.7289092003363091E-8</v>
      </c>
    </row>
  </sheetData>
  <autoFilter ref="A3:T1429" xr:uid="{36F794A6-7CDF-4225-B616-E236B6D7D87E}">
    <filterColumn colId="1">
      <filters>
        <filter val="PLAZA PABELLON"/>
      </filters>
    </filterColumn>
  </autoFilter>
  <sortState xmlns:xlrd2="http://schemas.microsoft.com/office/spreadsheetml/2017/richdata2" ref="A4:I1429">
    <sortCondition descending="1" ref="I4:I1429"/>
  </sortState>
  <mergeCells count="1">
    <mergeCell ref="D2:O2"/>
  </mergeCells>
  <conditionalFormatting sqref="R4:S1429">
    <cfRule type="cellIs" dxfId="4" priority="1" operator="lessThanOrEqual">
      <formula>0</formula>
    </cfRule>
    <cfRule type="cellIs" dxfId="3" priority="2" operator="greaterThan">
      <formula>0</formula>
    </cfRule>
  </conditionalFormatting>
  <conditionalFormatting sqref="T5:T142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{798424B2-ADA6-46FE-AD33-512BD630433D}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8424B2-ADA6-46FE-AD33-512BD630433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T5:T1429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412C5-7EE7-45A1-A8B1-A1F2B0685917}">
  <sheetPr>
    <pageSetUpPr fitToPage="1"/>
  </sheetPr>
  <dimension ref="A2:V57"/>
  <sheetViews>
    <sheetView showGridLines="0" tabSelected="1" zoomScaleNormal="100" workbookViewId="0">
      <selection activeCell="B6" sqref="B6:V9"/>
    </sheetView>
  </sheetViews>
  <sheetFormatPr baseColWidth="10" defaultRowHeight="18"/>
  <cols>
    <col min="1" max="1" width="10.83203125" style="23"/>
    <col min="2" max="2" width="13.5" style="23" customWidth="1"/>
    <col min="3" max="3" width="1.83203125" style="23" customWidth="1"/>
    <col min="4" max="4" width="18.6640625" style="23" hidden="1" customWidth="1"/>
    <col min="5" max="5" width="18.83203125" style="23" hidden="1" customWidth="1"/>
    <col min="6" max="6" width="19.33203125" style="23" hidden="1" customWidth="1"/>
    <col min="7" max="7" width="19" style="23" hidden="1" customWidth="1"/>
    <col min="8" max="10" width="16.83203125" style="23" customWidth="1"/>
    <col min="11" max="11" width="1.33203125" style="23" customWidth="1"/>
    <col min="12" max="12" width="16.83203125" style="23" customWidth="1"/>
    <col min="13" max="13" width="18" style="23" bestFit="1" customWidth="1"/>
    <col min="14" max="14" width="12.6640625" style="23" bestFit="1" customWidth="1"/>
    <col min="15" max="15" width="1.33203125" style="23" customWidth="1"/>
    <col min="16" max="16" width="17.33203125" style="23" bestFit="1" customWidth="1"/>
    <col min="17" max="17" width="12.83203125" style="23" customWidth="1"/>
    <col min="18" max="18" width="15.1640625" style="23" hidden="1" customWidth="1"/>
    <col min="19" max="19" width="0" style="23" hidden="1" customWidth="1"/>
    <col min="20" max="20" width="17.6640625" style="23" bestFit="1" customWidth="1"/>
    <col min="21" max="21" width="1.83203125" style="23" customWidth="1"/>
    <col min="22" max="22" width="9" style="23" bestFit="1" customWidth="1"/>
    <col min="23" max="16384" width="10.83203125" style="23"/>
  </cols>
  <sheetData>
    <row r="2" spans="1:22">
      <c r="P2" s="24"/>
    </row>
    <row r="3" spans="1:22">
      <c r="B3" s="25" t="s">
        <v>0</v>
      </c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6"/>
      <c r="V3" s="27"/>
    </row>
    <row r="4" spans="1:22">
      <c r="B4" s="26"/>
      <c r="C4" s="26"/>
      <c r="D4" s="26"/>
      <c r="E4" s="26"/>
      <c r="F4" s="26"/>
      <c r="G4" s="26"/>
      <c r="V4" s="28"/>
    </row>
    <row r="5" spans="1:22">
      <c r="A5" s="29"/>
      <c r="B5" s="29"/>
      <c r="C5" s="29"/>
      <c r="D5" s="30">
        <v>2025</v>
      </c>
      <c r="E5" s="31">
        <v>2026</v>
      </c>
      <c r="F5" s="32"/>
      <c r="G5" s="32"/>
      <c r="H5" s="32"/>
      <c r="I5" s="32"/>
      <c r="J5" s="33"/>
      <c r="K5" s="29"/>
      <c r="L5" s="34" t="s">
        <v>1</v>
      </c>
      <c r="M5" s="34"/>
      <c r="N5" s="34"/>
      <c r="O5" s="35"/>
      <c r="P5" s="29"/>
      <c r="Q5" s="29"/>
      <c r="R5" s="29"/>
      <c r="S5" s="29"/>
      <c r="T5" s="36"/>
      <c r="V5" s="29"/>
    </row>
    <row r="6" spans="1:22" ht="38">
      <c r="B6" s="37" t="s">
        <v>2</v>
      </c>
      <c r="C6" s="38"/>
      <c r="D6" s="39" t="s">
        <v>3</v>
      </c>
      <c r="E6" s="39" t="s">
        <v>4</v>
      </c>
      <c r="F6" s="39" t="s">
        <v>5</v>
      </c>
      <c r="G6" s="39" t="s">
        <v>6</v>
      </c>
      <c r="H6" s="92" t="s">
        <v>7</v>
      </c>
      <c r="I6" s="92" t="s">
        <v>8</v>
      </c>
      <c r="J6" s="92" t="s">
        <v>9</v>
      </c>
      <c r="K6" s="40"/>
      <c r="L6" s="93">
        <v>45444</v>
      </c>
      <c r="M6" s="94" t="s">
        <v>1239</v>
      </c>
      <c r="N6" s="95" t="s">
        <v>1238</v>
      </c>
      <c r="O6" s="96"/>
      <c r="P6" s="97" t="s">
        <v>10</v>
      </c>
      <c r="Q6" s="98" t="s">
        <v>11</v>
      </c>
      <c r="R6" s="97" t="s">
        <v>12</v>
      </c>
      <c r="S6" s="99"/>
      <c r="T6" s="100" t="s">
        <v>13</v>
      </c>
      <c r="U6" s="99"/>
      <c r="V6" s="97" t="s">
        <v>1240</v>
      </c>
    </row>
    <row r="7" spans="1:22" hidden="1">
      <c r="B7" s="70" t="s">
        <v>14</v>
      </c>
      <c r="D7" s="41">
        <v>7570333.213410981</v>
      </c>
      <c r="E7" s="42">
        <v>9544250.2165949699</v>
      </c>
      <c r="F7" s="42">
        <v>9737277.0667629708</v>
      </c>
      <c r="G7" s="42">
        <v>9943509.6301199216</v>
      </c>
      <c r="H7" s="42">
        <v>10614366.49073397</v>
      </c>
      <c r="I7" s="42">
        <v>11097641.195745973</v>
      </c>
      <c r="J7" s="67">
        <v>12354583.272833971</v>
      </c>
      <c r="K7" s="43"/>
      <c r="L7" s="66">
        <v>5954100.6544950027</v>
      </c>
      <c r="M7" s="42">
        <v>6400482.6183389686</v>
      </c>
      <c r="N7" s="44">
        <v>1.0749705101990463</v>
      </c>
      <c r="O7" s="45"/>
      <c r="P7" s="42">
        <v>1256942.0770879984</v>
      </c>
      <c r="Q7" s="44">
        <v>0.11326209371139323</v>
      </c>
      <c r="R7" s="46">
        <v>0.20484002085301717</v>
      </c>
      <c r="S7" s="29"/>
      <c r="T7" s="42">
        <v>95639917.13893199</v>
      </c>
      <c r="V7" s="72">
        <v>23.252058927232863</v>
      </c>
    </row>
    <row r="8" spans="1:22" hidden="1">
      <c r="B8" s="70" t="s">
        <v>15</v>
      </c>
      <c r="D8" s="41">
        <v>5382958.6768889986</v>
      </c>
      <c r="E8" s="42">
        <v>6120623.484145998</v>
      </c>
      <c r="F8" s="42">
        <v>6832415.3592620026</v>
      </c>
      <c r="G8" s="42">
        <v>7615214.9145729626</v>
      </c>
      <c r="H8" s="42">
        <v>7913594.7224220019</v>
      </c>
      <c r="I8" s="42">
        <v>8281879.255609001</v>
      </c>
      <c r="J8" s="67">
        <v>8750672.6242100038</v>
      </c>
      <c r="K8" s="43"/>
      <c r="L8" s="66">
        <v>2946958.1772759994</v>
      </c>
      <c r="M8" s="42">
        <v>5803714.4469340043</v>
      </c>
      <c r="N8" s="44">
        <v>1.9693915209542023</v>
      </c>
      <c r="O8" s="45"/>
      <c r="P8" s="42">
        <v>468793.36860100273</v>
      </c>
      <c r="Q8" s="44">
        <v>5.6604709406202325E-2</v>
      </c>
      <c r="R8" s="46">
        <v>0.14508688178601201</v>
      </c>
      <c r="S8" s="29"/>
      <c r="T8" s="42">
        <v>56432542.330208905</v>
      </c>
      <c r="V8" s="72">
        <v>27.911573842290327</v>
      </c>
    </row>
    <row r="9" spans="1:22">
      <c r="B9" s="70" t="s">
        <v>16</v>
      </c>
      <c r="D9" s="41">
        <v>6354932.402029993</v>
      </c>
      <c r="E9" s="42">
        <v>9252137.5284799766</v>
      </c>
      <c r="F9" s="42">
        <v>9184272.0434999745</v>
      </c>
      <c r="G9" s="42">
        <v>9063851.302029971</v>
      </c>
      <c r="H9" s="42">
        <v>9117703.3581999689</v>
      </c>
      <c r="I9" s="42">
        <v>8605593.6103699598</v>
      </c>
      <c r="J9" s="67">
        <v>8703541.6334999576</v>
      </c>
      <c r="K9" s="43"/>
      <c r="L9" s="66">
        <v>5149780.2306549922</v>
      </c>
      <c r="M9" s="42">
        <v>3553761.4028449655</v>
      </c>
      <c r="N9" s="44">
        <v>0.69008020608152598</v>
      </c>
      <c r="O9" s="45"/>
      <c r="P9" s="42">
        <v>97948.023129997775</v>
      </c>
      <c r="Q9" s="44">
        <v>1.1381902000574127E-2</v>
      </c>
      <c r="R9" s="46">
        <v>0.14430544603001222</v>
      </c>
      <c r="S9" s="29"/>
      <c r="T9" s="42">
        <v>65786572.726639837</v>
      </c>
      <c r="V9" s="72">
        <v>23.813939974343622</v>
      </c>
    </row>
    <row r="10" spans="1:22">
      <c r="B10" s="70" t="s">
        <v>17</v>
      </c>
      <c r="D10" s="41">
        <v>418522.2300000001</v>
      </c>
      <c r="E10" s="42">
        <v>575548.87999999977</v>
      </c>
      <c r="F10" s="42">
        <v>668868.20000000007</v>
      </c>
      <c r="G10" s="42">
        <v>636184.93000000075</v>
      </c>
      <c r="H10" s="42">
        <v>494529.02000000019</v>
      </c>
      <c r="I10" s="42">
        <v>482782.57000000012</v>
      </c>
      <c r="J10" s="67">
        <v>586807.73999999987</v>
      </c>
      <c r="K10" s="43"/>
      <c r="L10" s="66">
        <v>364681.08</v>
      </c>
      <c r="M10" s="42">
        <v>222126.65999999986</v>
      </c>
      <c r="N10" s="44">
        <v>0.60909839358817253</v>
      </c>
      <c r="O10" s="45"/>
      <c r="P10" s="42">
        <v>104025.16999999975</v>
      </c>
      <c r="Q10" s="44">
        <v>0.21547001997193008</v>
      </c>
      <c r="R10" s="46">
        <v>9.7293212602823174E-3</v>
      </c>
      <c r="S10" s="29"/>
      <c r="T10" s="42">
        <v>5217542.8141999999</v>
      </c>
      <c r="V10" s="72">
        <v>20.244279148516274</v>
      </c>
    </row>
    <row r="11" spans="1:22">
      <c r="B11" s="70" t="s">
        <v>18</v>
      </c>
      <c r="D11" s="41">
        <v>3140690.8999999939</v>
      </c>
      <c r="E11" s="42">
        <v>4198361.899999992</v>
      </c>
      <c r="F11" s="42">
        <v>4918568.8399999775</v>
      </c>
      <c r="G11" s="42">
        <v>4685301.4999999795</v>
      </c>
      <c r="H11" s="42">
        <v>4268963.8299999852</v>
      </c>
      <c r="I11" s="42">
        <v>3805102.299999991</v>
      </c>
      <c r="J11" s="67">
        <v>3805483.6399999899</v>
      </c>
      <c r="K11" s="43"/>
      <c r="L11" s="66">
        <v>925454.05</v>
      </c>
      <c r="M11" s="42">
        <v>2880029.5899999896</v>
      </c>
      <c r="N11" s="44">
        <v>3.1120179224457329</v>
      </c>
      <c r="O11" s="45"/>
      <c r="P11" s="42">
        <v>381.33999999891967</v>
      </c>
      <c r="Q11" s="44">
        <v>1.0021806772420299E-4</v>
      </c>
      <c r="R11" s="46">
        <v>6.309523607222435E-2</v>
      </c>
      <c r="S11" s="46"/>
      <c r="T11" s="42">
        <v>32686222.02463324</v>
      </c>
      <c r="V11" s="72">
        <v>20.956446256889922</v>
      </c>
    </row>
    <row r="12" spans="1:22">
      <c r="B12" s="70" t="s">
        <v>19</v>
      </c>
      <c r="D12" s="41">
        <v>659059.93000000017</v>
      </c>
      <c r="E12" s="42">
        <v>1001623.4000000003</v>
      </c>
      <c r="F12" s="42">
        <v>800701.45000000077</v>
      </c>
      <c r="G12" s="42">
        <v>850081.67000000074</v>
      </c>
      <c r="H12" s="42">
        <v>828060.04000000074</v>
      </c>
      <c r="I12" s="42">
        <v>1003468.3700000001</v>
      </c>
      <c r="J12" s="67">
        <v>776935.65000000049</v>
      </c>
      <c r="K12" s="43"/>
      <c r="L12" s="66">
        <v>947760.33000000042</v>
      </c>
      <c r="M12" s="42">
        <v>-170824.67999999993</v>
      </c>
      <c r="N12" s="44">
        <v>-0.18024037786008607</v>
      </c>
      <c r="O12" s="45"/>
      <c r="P12" s="42">
        <v>-226532.71999999962</v>
      </c>
      <c r="Q12" s="44">
        <v>-0.22574973638680768</v>
      </c>
      <c r="R12" s="46">
        <v>1.2881657861936633E-2</v>
      </c>
      <c r="S12" s="46"/>
      <c r="T12" s="42">
        <v>6045385.1058</v>
      </c>
      <c r="V12" s="72">
        <v>23.133086569758508</v>
      </c>
    </row>
    <row r="13" spans="1:22">
      <c r="B13" s="70" t="s">
        <v>20</v>
      </c>
      <c r="D13" s="41">
        <v>346762.27</v>
      </c>
      <c r="E13" s="42">
        <v>346762.27</v>
      </c>
      <c r="F13" s="42">
        <v>346762.27</v>
      </c>
      <c r="G13" s="42">
        <v>346762.27</v>
      </c>
      <c r="H13" s="42">
        <v>346762.27</v>
      </c>
      <c r="I13" s="42">
        <v>346762.27</v>
      </c>
      <c r="J13" s="68">
        <v>346762.27</v>
      </c>
      <c r="K13" s="43"/>
      <c r="L13" s="66">
        <v>371420.92000000004</v>
      </c>
      <c r="M13" s="42">
        <v>-24658.650000000023</v>
      </c>
      <c r="N13" s="44">
        <v>-6.63900407117618E-2</v>
      </c>
      <c r="O13" s="45"/>
      <c r="P13" s="42">
        <v>0</v>
      </c>
      <c r="Q13" s="44">
        <v>0</v>
      </c>
      <c r="R13" s="46">
        <v>5.7493473514421576E-3</v>
      </c>
      <c r="S13" s="46"/>
      <c r="T13" s="42">
        <v>0</v>
      </c>
      <c r="V13" s="72" t="s">
        <v>21</v>
      </c>
    </row>
    <row r="14" spans="1:22">
      <c r="B14" s="70" t="s">
        <v>22</v>
      </c>
      <c r="D14" s="41">
        <v>3927844.5099999905</v>
      </c>
      <c r="E14" s="42">
        <v>5378506.919999986</v>
      </c>
      <c r="F14" s="42">
        <v>4868589.3999999873</v>
      </c>
      <c r="G14" s="42">
        <v>4546070.8699999889</v>
      </c>
      <c r="H14" s="42">
        <v>4745138.2499999916</v>
      </c>
      <c r="I14" s="42">
        <v>4888604.8199999845</v>
      </c>
      <c r="J14" s="68">
        <v>4955269.8299999833</v>
      </c>
      <c r="K14" s="43"/>
      <c r="L14" s="66">
        <v>7938866.1899999995</v>
      </c>
      <c r="M14" s="42">
        <v>-2983596.3600000162</v>
      </c>
      <c r="N14" s="44">
        <v>-0.37582146979101766</v>
      </c>
      <c r="O14" s="45"/>
      <c r="P14" s="42">
        <v>66665.009999998845</v>
      </c>
      <c r="Q14" s="44">
        <v>1.3636817139986998E-2</v>
      </c>
      <c r="R14" s="46">
        <v>8.215878697757871E-2</v>
      </c>
      <c r="S14" s="46"/>
      <c r="T14" s="42">
        <v>83426598.102578238</v>
      </c>
      <c r="V14" s="72">
        <v>10.691417242056188</v>
      </c>
    </row>
    <row r="15" spans="1:22">
      <c r="B15" s="70" t="s">
        <v>23</v>
      </c>
      <c r="D15" s="41">
        <v>8415193.8300000038</v>
      </c>
      <c r="E15" s="42">
        <v>11749277.510000004</v>
      </c>
      <c r="F15" s="42">
        <v>9511432.2600000016</v>
      </c>
      <c r="G15" s="42">
        <v>9801977.160000002</v>
      </c>
      <c r="H15" s="42">
        <v>11227114.530000001</v>
      </c>
      <c r="I15" s="42">
        <v>10750606.08</v>
      </c>
      <c r="J15" s="68">
        <v>16136127.720000004</v>
      </c>
      <c r="K15" s="43"/>
      <c r="L15" s="66">
        <v>16535364.329999998</v>
      </c>
      <c r="M15" s="42">
        <v>-399236.60999999382</v>
      </c>
      <c r="N15" s="44">
        <v>-2.4144409644223052E-2</v>
      </c>
      <c r="O15" s="45"/>
      <c r="P15" s="42">
        <v>5385521.6400000043</v>
      </c>
      <c r="Q15" s="44">
        <v>0.50095051385233191</v>
      </c>
      <c r="R15" s="46">
        <v>0.26753834311188007</v>
      </c>
      <c r="S15" s="46"/>
      <c r="T15" s="42">
        <v>48853961.760778636</v>
      </c>
      <c r="V15" s="72">
        <v>59.45276257885434</v>
      </c>
    </row>
    <row r="16" spans="1:22">
      <c r="B16" s="70" t="s">
        <v>24</v>
      </c>
      <c r="D16" s="41">
        <v>2173476.06</v>
      </c>
      <c r="E16" s="42">
        <v>2942436.89</v>
      </c>
      <c r="F16" s="42">
        <v>3002331.6100000003</v>
      </c>
      <c r="G16" s="42">
        <v>2889080.1500000004</v>
      </c>
      <c r="H16" s="42">
        <v>2641220.41</v>
      </c>
      <c r="I16" s="42">
        <v>2538526.7200000002</v>
      </c>
      <c r="J16" s="68">
        <v>2463414.29</v>
      </c>
      <c r="K16" s="43"/>
      <c r="L16" s="66">
        <v>3200775.5100000007</v>
      </c>
      <c r="M16" s="42">
        <v>-737361.22000000067</v>
      </c>
      <c r="N16" s="44">
        <v>-0.23036955190899985</v>
      </c>
      <c r="O16" s="45"/>
      <c r="P16" s="42">
        <v>-75112.430000000168</v>
      </c>
      <c r="Q16" s="44">
        <v>-2.9588985378101579E-2</v>
      </c>
      <c r="R16" s="46">
        <v>4.0843614340499795E-2</v>
      </c>
      <c r="S16" s="46"/>
      <c r="T16" s="42">
        <v>14787377.6456</v>
      </c>
      <c r="V16" s="72">
        <v>29.986017996364517</v>
      </c>
    </row>
    <row r="17" spans="1:22">
      <c r="B17" s="70" t="s">
        <v>25</v>
      </c>
      <c r="D17" s="41">
        <v>194391.09390899999</v>
      </c>
      <c r="E17" s="42">
        <v>165045.94347499995</v>
      </c>
      <c r="F17" s="42">
        <v>119790.20521100002</v>
      </c>
      <c r="G17" s="42">
        <v>135194.98261600002</v>
      </c>
      <c r="H17" s="42">
        <v>104785.885694</v>
      </c>
      <c r="I17" s="42">
        <v>136518.91930999997</v>
      </c>
      <c r="J17" s="68">
        <v>181112.88836800001</v>
      </c>
      <c r="K17" s="43"/>
      <c r="L17" s="66">
        <v>380183.22818999999</v>
      </c>
      <c r="M17" s="42">
        <v>-199070.33982199998</v>
      </c>
      <c r="N17" s="44">
        <v>-0.52361683804345205</v>
      </c>
      <c r="O17" s="45"/>
      <c r="P17" s="42">
        <v>44593.969058000046</v>
      </c>
      <c r="Q17" s="44">
        <v>0.32665046927846253</v>
      </c>
      <c r="R17" s="46">
        <v>3.0028667912763403E-3</v>
      </c>
      <c r="S17" s="46"/>
      <c r="T17" s="42">
        <v>14765718.210407816</v>
      </c>
      <c r="V17" s="72">
        <v>2.2078384160996127</v>
      </c>
    </row>
    <row r="18" spans="1:22">
      <c r="B18" s="70" t="s">
        <v>26</v>
      </c>
      <c r="D18" s="41">
        <v>475021.6</v>
      </c>
      <c r="E18" s="42">
        <v>532474.6</v>
      </c>
      <c r="F18" s="42">
        <v>578520.44000000006</v>
      </c>
      <c r="G18" s="42">
        <v>512577.92000000004</v>
      </c>
      <c r="H18" s="42">
        <v>541596.5199999999</v>
      </c>
      <c r="I18" s="42">
        <v>651389.5199999999</v>
      </c>
      <c r="J18" s="68">
        <v>764326.5199999999</v>
      </c>
      <c r="K18" s="43"/>
      <c r="L18" s="43">
        <v>0</v>
      </c>
      <c r="M18" s="42">
        <v>764326.5199999999</v>
      </c>
      <c r="N18" s="44">
        <v>0</v>
      </c>
      <c r="O18" s="45"/>
      <c r="P18" s="42">
        <v>112937</v>
      </c>
      <c r="Q18" s="44">
        <v>0.17337859534491745</v>
      </c>
      <c r="R18" s="46">
        <v>1.2672597435121764E-2</v>
      </c>
      <c r="S18" s="46"/>
      <c r="T18" s="42">
        <v>456329</v>
      </c>
      <c r="V18" s="72">
        <v>301.49031422504373</v>
      </c>
    </row>
    <row r="19" spans="1:22">
      <c r="B19" s="70" t="s">
        <v>27</v>
      </c>
      <c r="D19" s="41">
        <v>400295.71</v>
      </c>
      <c r="E19" s="42">
        <v>193358.30999999997</v>
      </c>
      <c r="F19" s="42">
        <v>7.0000000000000034E-2</v>
      </c>
      <c r="G19" s="42">
        <v>7.0000000000000007E-2</v>
      </c>
      <c r="H19" s="42">
        <v>114340.03000000001</v>
      </c>
      <c r="I19" s="42">
        <v>230721.66999999998</v>
      </c>
      <c r="J19" s="68">
        <v>333592.55</v>
      </c>
      <c r="K19" s="43"/>
      <c r="L19" s="43">
        <v>0</v>
      </c>
      <c r="M19" s="42">
        <v>333592.55</v>
      </c>
      <c r="N19" s="44">
        <v>0</v>
      </c>
      <c r="O19" s="45"/>
      <c r="P19" s="42">
        <v>102870.88</v>
      </c>
      <c r="Q19" s="44">
        <v>0.44586570476886722</v>
      </c>
      <c r="R19" s="46">
        <v>5.5309922956823859E-3</v>
      </c>
      <c r="S19" s="46"/>
      <c r="T19" s="42">
        <v>520560.31</v>
      </c>
      <c r="V19" s="72">
        <v>115.35005233111221</v>
      </c>
    </row>
    <row r="20" spans="1:22">
      <c r="B20" s="70" t="s">
        <v>28</v>
      </c>
      <c r="D20" s="41">
        <v>181861.89000000007</v>
      </c>
      <c r="E20" s="42">
        <v>482968.75999999989</v>
      </c>
      <c r="F20" s="42">
        <v>938619.72000000032</v>
      </c>
      <c r="G20" s="42">
        <v>360153.14</v>
      </c>
      <c r="H20" s="42">
        <v>449385.99000000011</v>
      </c>
      <c r="I20" s="42">
        <v>148021.47000000009</v>
      </c>
      <c r="J20" s="68">
        <v>86075.67999999992</v>
      </c>
      <c r="K20" s="43"/>
      <c r="L20" s="28">
        <v>297962.19000000006</v>
      </c>
      <c r="M20" s="42">
        <v>-211886.51000000013</v>
      </c>
      <c r="N20" s="44">
        <v>-0.71111878322548272</v>
      </c>
      <c r="O20" s="45"/>
      <c r="P20" s="42">
        <v>-61945.790000000168</v>
      </c>
      <c r="Q20" s="44">
        <v>-0.4184919255294528</v>
      </c>
      <c r="R20" s="46">
        <v>1.427141951838019E-3</v>
      </c>
      <c r="S20" s="46"/>
      <c r="T20" s="42">
        <v>52412845.70417048</v>
      </c>
      <c r="V20" s="72">
        <v>0.29560734953124596</v>
      </c>
    </row>
    <row r="21" spans="1:22" ht="19" thickBot="1">
      <c r="B21" s="70" t="s">
        <v>29</v>
      </c>
      <c r="D21" s="41">
        <v>1.1599999999999999</v>
      </c>
      <c r="E21" s="42">
        <v>1.1599999999999999</v>
      </c>
      <c r="F21" s="42">
        <v>1.1599999999999999</v>
      </c>
      <c r="G21" s="42">
        <v>68621.240000000005</v>
      </c>
      <c r="H21" s="42">
        <v>1.1599999999999999</v>
      </c>
      <c r="I21" s="42">
        <v>1.1599999999999999</v>
      </c>
      <c r="J21" s="68">
        <v>68621.240000000005</v>
      </c>
      <c r="K21" s="43"/>
      <c r="L21" s="43">
        <v>0</v>
      </c>
      <c r="M21" s="42">
        <v>68621.240000000005</v>
      </c>
      <c r="N21" s="44">
        <v>0</v>
      </c>
      <c r="O21" s="45"/>
      <c r="P21" s="42">
        <v>68620.08</v>
      </c>
      <c r="Q21" s="44">
        <v>59155.241379310348</v>
      </c>
      <c r="R21" s="46">
        <v>1.1377458811960039E-3</v>
      </c>
      <c r="S21" s="46"/>
      <c r="T21" s="42">
        <v>354931.42920000007</v>
      </c>
      <c r="V21" s="72">
        <v>34.800590152978202</v>
      </c>
    </row>
    <row r="22" spans="1:22" ht="19" thickBot="1">
      <c r="A22" s="47"/>
      <c r="B22" s="71" t="s">
        <v>30</v>
      </c>
      <c r="C22" s="48"/>
      <c r="D22" s="49">
        <v>39641345.476238966</v>
      </c>
      <c r="E22" s="49">
        <v>52483377.772695921</v>
      </c>
      <c r="F22" s="49">
        <v>51508150.094735913</v>
      </c>
      <c r="G22" s="49">
        <v>51454581.749338828</v>
      </c>
      <c r="H22" s="49">
        <v>53407562.507049918</v>
      </c>
      <c r="I22" s="49">
        <v>52967619.931034908</v>
      </c>
      <c r="J22" s="69">
        <v>60313327.548911914</v>
      </c>
      <c r="K22" s="49"/>
      <c r="L22" s="49">
        <v>45013306.890615985</v>
      </c>
      <c r="M22" s="50">
        <v>15300020.658295929</v>
      </c>
      <c r="N22" s="51">
        <v>0.33989994770825327</v>
      </c>
      <c r="O22" s="52"/>
      <c r="P22" s="50">
        <v>7345707.6178770065</v>
      </c>
      <c r="Q22" s="51">
        <v>0.13868298457512895</v>
      </c>
      <c r="R22" s="53">
        <v>0.99999999999999989</v>
      </c>
      <c r="S22" s="54"/>
      <c r="T22" s="50">
        <v>477386504.3031491</v>
      </c>
      <c r="V22" s="72">
        <v>22.741319373180549</v>
      </c>
    </row>
    <row r="23" spans="1:22" ht="19" thickTop="1">
      <c r="T23" s="55"/>
    </row>
    <row r="28" spans="1:22">
      <c r="B28" s="56" t="s">
        <v>31</v>
      </c>
      <c r="D28" s="56" t="s">
        <v>32</v>
      </c>
      <c r="E28" s="56"/>
      <c r="F28" s="56"/>
      <c r="G28" s="56"/>
      <c r="H28" s="56"/>
      <c r="I28" s="56"/>
      <c r="J28" s="56"/>
    </row>
    <row r="29" spans="1:22">
      <c r="B29" s="56"/>
      <c r="D29" s="56">
        <v>2026</v>
      </c>
      <c r="E29" s="56"/>
      <c r="F29" s="56"/>
      <c r="G29" s="56"/>
      <c r="H29" s="56"/>
      <c r="I29" s="56"/>
      <c r="J29" s="56" t="s">
        <v>33</v>
      </c>
    </row>
    <row r="30" spans="1:22">
      <c r="B30" s="56" t="s">
        <v>34</v>
      </c>
      <c r="D30" s="56" t="s">
        <v>4</v>
      </c>
      <c r="E30" s="56" t="s">
        <v>35</v>
      </c>
      <c r="F30" s="56" t="s">
        <v>6</v>
      </c>
      <c r="G30" s="56" t="s">
        <v>36</v>
      </c>
      <c r="H30" s="56" t="s">
        <v>8</v>
      </c>
      <c r="I30" s="56" t="s">
        <v>9</v>
      </c>
      <c r="J30" s="56"/>
    </row>
    <row r="31" spans="1:22">
      <c r="B31" s="57" t="s">
        <v>37</v>
      </c>
      <c r="D31" s="55">
        <v>54865935.3707169</v>
      </c>
      <c r="E31" s="55">
        <v>54151418.24597542</v>
      </c>
      <c r="F31" s="55">
        <v>53280222.298815064</v>
      </c>
      <c r="G31" s="55">
        <v>53808368.02422142</v>
      </c>
      <c r="H31" s="55">
        <v>53888255.622626036</v>
      </c>
      <c r="I31" s="55">
        <v>58818093.364049241</v>
      </c>
      <c r="J31" s="55">
        <v>328812292.92640406</v>
      </c>
    </row>
    <row r="32" spans="1:22">
      <c r="B32" s="57" t="s">
        <v>38</v>
      </c>
      <c r="D32" s="55">
        <v>12428977.348275701</v>
      </c>
      <c r="E32" s="55">
        <v>4643418.8868091004</v>
      </c>
      <c r="F32" s="55">
        <v>3719753.3207231299</v>
      </c>
      <c r="G32" s="55">
        <v>4829581.5014292561</v>
      </c>
      <c r="H32" s="55">
        <v>6959596.1209999993</v>
      </c>
      <c r="I32" s="55">
        <v>6105141.4633695204</v>
      </c>
      <c r="J32" s="55">
        <v>38686468.641606711</v>
      </c>
    </row>
    <row r="33" spans="2:10">
      <c r="B33" s="57" t="s">
        <v>39</v>
      </c>
      <c r="D33" s="55">
        <v>8139729.1741711367</v>
      </c>
      <c r="E33" s="55">
        <v>7767263.2433503354</v>
      </c>
      <c r="F33" s="55">
        <v>7664450.6645614775</v>
      </c>
      <c r="G33" s="55">
        <v>7661229.0631099893</v>
      </c>
      <c r="H33" s="55">
        <v>7631971.0650353609</v>
      </c>
      <c r="I33" s="55">
        <v>7719887.8568110196</v>
      </c>
      <c r="J33" s="55">
        <v>46584531.067039318</v>
      </c>
    </row>
    <row r="34" spans="2:10">
      <c r="B34" s="57" t="s">
        <v>40</v>
      </c>
      <c r="D34" s="55">
        <v>24108.971301320002</v>
      </c>
      <c r="E34" s="55">
        <v>23948.960314100001</v>
      </c>
      <c r="F34" s="55">
        <v>23931.12560693</v>
      </c>
      <c r="G34" s="55">
        <v>24133.347788630002</v>
      </c>
      <c r="H34" s="55">
        <v>23988.067744280001</v>
      </c>
      <c r="I34" s="55">
        <v>23946.644428430001</v>
      </c>
      <c r="J34" s="55">
        <v>144057.11718369002</v>
      </c>
    </row>
    <row r="35" spans="2:10">
      <c r="B35" s="57" t="s">
        <v>41</v>
      </c>
      <c r="D35" s="55">
        <v>8044947.6978132799</v>
      </c>
      <c r="E35" s="55">
        <v>7798997.3572939951</v>
      </c>
      <c r="F35" s="55">
        <v>9044146.1244970597</v>
      </c>
      <c r="G35" s="55">
        <v>9185790.8670941237</v>
      </c>
      <c r="H35" s="55">
        <v>9843230.9855151977</v>
      </c>
      <c r="I35" s="55">
        <v>10033156.830869986</v>
      </c>
      <c r="J35" s="55">
        <v>53950269.863083646</v>
      </c>
    </row>
    <row r="36" spans="2:10">
      <c r="B36" s="57" t="s">
        <v>42</v>
      </c>
      <c r="D36" s="55">
        <v>243802.27000000005</v>
      </c>
      <c r="E36" s="55">
        <v>163764.99</v>
      </c>
      <c r="F36" s="55">
        <v>209618.58</v>
      </c>
      <c r="G36" s="55">
        <v>270631.28000000003</v>
      </c>
      <c r="H36" s="55">
        <v>327085.7</v>
      </c>
      <c r="I36" s="55">
        <v>290859.08</v>
      </c>
      <c r="J36" s="55">
        <v>1505761.9000000001</v>
      </c>
    </row>
    <row r="37" spans="2:10">
      <c r="B37" s="57" t="s">
        <v>43</v>
      </c>
      <c r="D37" s="55">
        <v>293677.27720000001</v>
      </c>
      <c r="E37" s="55">
        <v>367539.50790000003</v>
      </c>
      <c r="F37" s="55">
        <v>255960.55530000007</v>
      </c>
      <c r="G37" s="55">
        <v>315345.66670000006</v>
      </c>
      <c r="H37" s="55">
        <v>337722.26359999995</v>
      </c>
      <c r="I37" s="55">
        <v>305015.4694</v>
      </c>
      <c r="J37" s="55">
        <v>1875260.7401000001</v>
      </c>
    </row>
    <row r="38" spans="2:10">
      <c r="B38" s="57" t="s">
        <v>44</v>
      </c>
      <c r="D38" s="55">
        <v>1017201.6099284803</v>
      </c>
      <c r="E38" s="55">
        <v>1118826.8970884734</v>
      </c>
      <c r="F38" s="55">
        <v>1088427.0268675862</v>
      </c>
      <c r="G38" s="55">
        <v>1593942.1395259257</v>
      </c>
      <c r="H38" s="55">
        <v>1110346.7342741999</v>
      </c>
      <c r="I38" s="55">
        <v>1557633.9236308651</v>
      </c>
      <c r="J38" s="55">
        <v>7486378.3313155314</v>
      </c>
    </row>
    <row r="39" spans="2:10">
      <c r="B39" s="58" t="s">
        <v>33</v>
      </c>
      <c r="D39" s="59">
        <v>85058379.719406798</v>
      </c>
      <c r="E39" s="59">
        <v>76035178.088731423</v>
      </c>
      <c r="F39" s="59">
        <v>75286509.696371242</v>
      </c>
      <c r="G39" s="59">
        <v>77689021.889869347</v>
      </c>
      <c r="H39" s="59">
        <v>80122196.559795082</v>
      </c>
      <c r="I39" s="59">
        <v>84853734.632559061</v>
      </c>
      <c r="J39" s="59">
        <v>479045020.58673292</v>
      </c>
    </row>
    <row r="41" spans="2:10">
      <c r="D41" s="55"/>
      <c r="E41" s="55"/>
      <c r="F41" s="55"/>
      <c r="G41" s="55"/>
      <c r="H41" s="55"/>
      <c r="I41" s="55"/>
      <c r="J41" s="55"/>
    </row>
    <row r="42" spans="2:10">
      <c r="B42" s="56"/>
      <c r="D42" s="56" t="s">
        <v>32</v>
      </c>
      <c r="E42" s="56"/>
      <c r="F42" s="56"/>
      <c r="G42" s="56"/>
      <c r="H42" s="56"/>
      <c r="I42" s="56"/>
    </row>
    <row r="43" spans="2:10">
      <c r="B43" s="56"/>
      <c r="D43" s="56">
        <v>2026</v>
      </c>
      <c r="E43" s="56"/>
      <c r="F43" s="56"/>
      <c r="G43" s="56"/>
      <c r="H43" s="56"/>
      <c r="I43" s="56"/>
    </row>
    <row r="44" spans="2:10">
      <c r="B44" s="56"/>
      <c r="D44" s="56" t="s">
        <v>4</v>
      </c>
      <c r="E44" s="56" t="s">
        <v>35</v>
      </c>
      <c r="F44" s="56" t="s">
        <v>6</v>
      </c>
      <c r="G44" s="56" t="s">
        <v>36</v>
      </c>
      <c r="H44" s="60" t="s">
        <v>8</v>
      </c>
      <c r="I44" s="60" t="s">
        <v>9</v>
      </c>
    </row>
    <row r="45" spans="2:10">
      <c r="B45" s="23" t="s">
        <v>45</v>
      </c>
      <c r="D45" s="59">
        <v>53605133.832695931</v>
      </c>
      <c r="E45" s="59">
        <v>52778085.034735918</v>
      </c>
      <c r="F45" s="59">
        <v>52745500.759338833</v>
      </c>
      <c r="G45" s="59">
        <v>54725544.987049922</v>
      </c>
      <c r="H45" s="59">
        <v>54376756.17103491</v>
      </c>
      <c r="I45" s="59">
        <v>61888733.06891191</v>
      </c>
    </row>
    <row r="46" spans="2:10">
      <c r="F46" s="61"/>
      <c r="G46" s="61"/>
      <c r="H46" s="61"/>
      <c r="I46" s="61"/>
      <c r="J46" s="61"/>
    </row>
    <row r="47" spans="2:10">
      <c r="F47" s="61"/>
      <c r="G47" s="61"/>
      <c r="H47" s="61"/>
      <c r="I47" s="61"/>
      <c r="J47" s="61"/>
    </row>
    <row r="49" spans="2:9" ht="19" thickBot="1">
      <c r="B49" s="62" t="s">
        <v>46</v>
      </c>
      <c r="D49" s="27">
        <v>85058379.719406798</v>
      </c>
      <c r="E49" s="27">
        <v>76035178.088731423</v>
      </c>
      <c r="F49" s="27">
        <v>75286509.696371242</v>
      </c>
      <c r="G49" s="27">
        <v>77689021.889869347</v>
      </c>
      <c r="H49" s="27">
        <v>80122196.559795082</v>
      </c>
      <c r="I49" s="27">
        <v>84853734.632559061</v>
      </c>
    </row>
    <row r="52" spans="2:9" ht="19" thickBot="1">
      <c r="B52" s="62" t="s">
        <v>47</v>
      </c>
      <c r="D52" s="63">
        <v>18.906473651225262</v>
      </c>
      <c r="E52" s="63">
        <v>19.657428547550388</v>
      </c>
      <c r="F52" s="63">
        <v>20.082467690512583</v>
      </c>
      <c r="G52" s="63">
        <v>20.909620272116879</v>
      </c>
      <c r="H52" s="63">
        <v>20.691764928064543</v>
      </c>
      <c r="I52" s="63">
        <v>23.254540750178215</v>
      </c>
    </row>
    <row r="55" spans="2:9" ht="19" thickBot="1">
      <c r="B55" s="64" t="s">
        <v>48</v>
      </c>
      <c r="D55" s="41">
        <v>85058379.719406798</v>
      </c>
      <c r="E55" s="41">
        <v>161093557.80813822</v>
      </c>
      <c r="F55" s="41">
        <v>236380067.50450945</v>
      </c>
      <c r="G55" s="41">
        <v>314069089.39437878</v>
      </c>
      <c r="H55" s="41">
        <v>394191285.95417386</v>
      </c>
      <c r="I55" s="41">
        <v>479045020.58673292</v>
      </c>
    </row>
    <row r="57" spans="2:9" ht="19" thickBot="1">
      <c r="B57" s="64" t="s">
        <v>49</v>
      </c>
      <c r="D57" s="63" t="s">
        <v>21</v>
      </c>
      <c r="E57" s="65">
        <v>19.657428547550388</v>
      </c>
      <c r="F57" s="65">
        <v>20.082467690512583</v>
      </c>
      <c r="G57" s="65">
        <v>20.909620272116879</v>
      </c>
      <c r="H57" s="65">
        <v>20.691764928064543</v>
      </c>
      <c r="I57" s="65">
        <v>23.254540750178215</v>
      </c>
    </row>
  </sheetData>
  <mergeCells count="3">
    <mergeCell ref="B3:R3"/>
    <mergeCell ref="E5:I5"/>
    <mergeCell ref="L5:N5"/>
  </mergeCells>
  <conditionalFormatting sqref="D57">
    <cfRule type="notContainsBlanks" dxfId="2" priority="1">
      <formula>LEN(TRIM(D57))&gt;0</formula>
    </cfRule>
  </conditionalFormatting>
  <conditionalFormatting sqref="D49:I49">
    <cfRule type="notContainsBlanks" dxfId="1" priority="4">
      <formula>LEN(TRIM(D49))&gt;0</formula>
    </cfRule>
  </conditionalFormatting>
  <conditionalFormatting sqref="D52:I52">
    <cfRule type="notContainsBlanks" dxfId="0" priority="3">
      <formula>LEN(TRIM(D52))&gt;0</formula>
    </cfRule>
  </conditionalFormatting>
  <conditionalFormatting sqref="S11:S21 R7:R21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{041749D9-735D-44E8-9347-D352F217179D}</x14:id>
        </ext>
      </extLst>
    </cfRule>
  </conditionalFormatting>
  <printOptions horizontalCentered="1"/>
  <pageMargins left="0.31496062992125984" right="0.31496062992125984" top="0.35433070866141736" bottom="0.35433070866141736" header="0.31496062992125984" footer="0.31496062992125984"/>
  <pageSetup scale="45" orientation="landscape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30C7F247-718D-48A4-807D-A33100CB5B02}">
            <x14:iconSet iconSet="4TrafficLights" custom="1">
              <x14:cfvo type="percent">
                <xm:f>0</xm:f>
              </x14:cfvo>
              <x14:cfvo type="num">
                <xm:f>10</xm:f>
              </x14:cfvo>
              <x14:cfvo type="num">
                <xm:f>20</xm:f>
              </x14:cfvo>
              <x14:cfvo type="num">
                <xm:f>25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D57</xm:sqref>
        </x14:conditionalFormatting>
        <x14:conditionalFormatting xmlns:xm="http://schemas.microsoft.com/office/excel/2006/main">
          <x14:cfRule type="iconSet" priority="5" id="{E82C9FC0-9D03-46B0-81D2-9977EE7731AB}">
            <x14:iconSet iconSet="4TrafficLights" custom="1">
              <x14:cfvo type="percent">
                <xm:f>0</xm:f>
              </x14:cfvo>
              <x14:cfvo type="num">
                <xm:f>10</xm:f>
              </x14:cfvo>
              <x14:cfvo type="num">
                <xm:f>20</xm:f>
              </x14:cfvo>
              <x14:cfvo type="num">
                <xm:f>25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D52:I52</xm:sqref>
        </x14:conditionalFormatting>
        <x14:conditionalFormatting xmlns:xm="http://schemas.microsoft.com/office/excel/2006/main">
          <x14:cfRule type="iconSet" priority="12" id="{15712958-180E-4777-A730-D63F15E3B249}">
            <x14:iconSet iconSet="3Triangles" reverse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M7:M21</xm:sqref>
        </x14:conditionalFormatting>
        <x14:conditionalFormatting xmlns:xm="http://schemas.microsoft.com/office/excel/2006/main">
          <x14:cfRule type="iconSet" priority="11" id="{6C21131C-EC89-49C3-8691-5BAC29EEEBE6}">
            <x14:iconSet iconSet="3Triangles" reverse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M22</xm:sqref>
        </x14:conditionalFormatting>
        <x14:conditionalFormatting xmlns:xm="http://schemas.microsoft.com/office/excel/2006/main">
          <x14:cfRule type="iconSet" priority="10" id="{7FD1F001-C343-4E14-8EBC-353FD83936ED}">
            <x14:iconSet iconSet="3Triangles" reverse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N7:O21</xm:sqref>
        </x14:conditionalFormatting>
        <x14:conditionalFormatting xmlns:xm="http://schemas.microsoft.com/office/excel/2006/main">
          <x14:cfRule type="iconSet" priority="9" id="{0CF7E5B1-7236-46B5-BC77-5DF0C8559307}">
            <x14:iconSet iconSet="3Triangles" reverse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N22:O22</xm:sqref>
        </x14:conditionalFormatting>
        <x14:conditionalFormatting xmlns:xm="http://schemas.microsoft.com/office/excel/2006/main">
          <x14:cfRule type="iconSet" priority="13" id="{145DB6B1-D325-46DA-A5B8-C85A7E9B5EBB}">
            <x14:iconSet iconSet="3Triangles" reverse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</x14:iconSet>
          </x14:cfRule>
          <xm:sqref>P7:Q22</xm:sqref>
        </x14:conditionalFormatting>
        <x14:conditionalFormatting xmlns:xm="http://schemas.microsoft.com/office/excel/2006/main">
          <x14:cfRule type="dataBar" id="{041749D9-735D-44E8-9347-D352F21717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S11:S21 R7:R21</xm:sqref>
        </x14:conditionalFormatting>
        <x14:conditionalFormatting xmlns:xm="http://schemas.microsoft.com/office/excel/2006/main">
          <x14:cfRule type="iconSet" priority="15" id="{0647080F-723A-4772-954C-64D726DD987E}">
            <x14:iconSet iconSet="3Flags" custom="1">
              <x14:cfvo type="percent">
                <xm:f>0</xm:f>
              </x14:cfvo>
              <x14:cfvo type="num">
                <xm:f>20</xm:f>
              </x14:cfvo>
              <x14:cfvo type="num">
                <xm:f>25</xm:f>
              </x14:cfvo>
              <x14:cfIcon iconSet="3Flags" iconId="2"/>
              <x14:cfIcon iconSet="3Flags" iconId="1"/>
              <x14:cfIcon iconSet="3Flags" iconId="0"/>
            </x14:iconSet>
          </x14:cfRule>
          <xm:sqref>V7:V22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E9E62F07B252646A6DB2ED335F27F07" ma:contentTypeVersion="11" ma:contentTypeDescription="Crear nuevo documento." ma:contentTypeScope="" ma:versionID="39ac273c5c06a7cb7c21762ee9bb8a1d">
  <xsd:schema xmlns:xsd="http://www.w3.org/2001/XMLSchema" xmlns:xs="http://www.w3.org/2001/XMLSchema" xmlns:p="http://schemas.microsoft.com/office/2006/metadata/properties" xmlns:ns2="0d74850c-170b-494a-850e-3db988be99f4" xmlns:ns3="14a9f5ab-452a-4721-8085-2a41b3c634cc" targetNamespace="http://schemas.microsoft.com/office/2006/metadata/properties" ma:root="true" ma:fieldsID="34e434d165fe8ae08ff814278c7e5f56" ns2:_="" ns3:_="">
    <xsd:import namespace="0d74850c-170b-494a-850e-3db988be99f4"/>
    <xsd:import namespace="14a9f5ab-452a-4721-8085-2a41b3c634c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4850c-170b-494a-850e-3db988be99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dcf5a42a-c1c2-4e6e-9344-8d9e2bb561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9f5ab-452a-4721-8085-2a41b3c634cc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ab02e78-b21f-47fe-894b-eb3b7be112b1}" ma:internalName="TaxCatchAll" ma:showField="CatchAllData" ma:web="14a9f5ab-452a-4721-8085-2a41b3c634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d74850c-170b-494a-850e-3db988be99f4">
      <Terms xmlns="http://schemas.microsoft.com/office/infopath/2007/PartnerControls"/>
    </lcf76f155ced4ddcb4097134ff3c332f>
    <TaxCatchAll xmlns="14a9f5ab-452a-4721-8085-2a41b3c634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0AC024-CD47-4534-BF3D-CDC509A959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4850c-170b-494a-850e-3db988be99f4"/>
    <ds:schemaRef ds:uri="14a9f5ab-452a-4721-8085-2a41b3c634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BEC3097-652C-4C9B-9CB7-11EEFCBD8770}">
  <ds:schemaRefs>
    <ds:schemaRef ds:uri="http://schemas.microsoft.com/office/2006/metadata/properties"/>
    <ds:schemaRef ds:uri="http://schemas.microsoft.com/office/infopath/2007/PartnerControls"/>
    <ds:schemaRef ds:uri="0d74850c-170b-494a-850e-3db988be99f4"/>
    <ds:schemaRef ds:uri="14a9f5ab-452a-4721-8085-2a41b3c634cc"/>
  </ds:schemaRefs>
</ds:datastoreItem>
</file>

<file path=customXml/itemProps3.xml><?xml version="1.0" encoding="utf-8"?>
<ds:datastoreItem xmlns:ds="http://schemas.openxmlformats.org/officeDocument/2006/customXml" ds:itemID="{8282C02A-5E32-489D-A765-A8338124511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Jun 26 Job</vt:lpstr>
      <vt:lpstr>Historico Jun 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Rojo Calderón</dc:creator>
  <cp:lastModifiedBy>Enrique Valenzuela</cp:lastModifiedBy>
  <cp:lastPrinted>2026-07-14T20:04:17Z</cp:lastPrinted>
  <dcterms:created xsi:type="dcterms:W3CDTF">2026-07-14T19:42:11Z</dcterms:created>
  <dcterms:modified xsi:type="dcterms:W3CDTF">2026-07-16T22:31:50Z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0x010100AE9E62F07B252646A6DB2ED335F27F07</vt:lpwstr>
  </property>
</Properties>
</file>